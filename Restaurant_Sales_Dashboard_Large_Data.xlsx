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6.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7.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adha\Downloads\"/>
    </mc:Choice>
  </mc:AlternateContent>
  <xr:revisionPtr revIDLastSave="0" documentId="13_ncr:1_{7D677A4C-4D2C-45B9-8315-507D10AD02F1}" xr6:coauthVersionLast="47" xr6:coauthVersionMax="47" xr10:uidLastSave="{00000000-0000-0000-0000-000000000000}"/>
  <bookViews>
    <workbookView xWindow="-108" yWindow="-108" windowWidth="23256" windowHeight="12456" firstSheet="4" activeTab="7" xr2:uid="{00000000-000D-0000-FFFF-FFFF00000000}"/>
  </bookViews>
  <sheets>
    <sheet name="Restaurants" sheetId="1" r:id="rId1"/>
    <sheet name="Customers" sheetId="2" r:id="rId2"/>
    <sheet name="Desserts" sheetId="3" r:id="rId3"/>
    <sheet name="Orders" sheetId="4" r:id="rId4"/>
    <sheet name="Dashboard" sheetId="5" r:id="rId5"/>
    <sheet name="TotalProfit_Restaurent" sheetId="11" r:id="rId6"/>
    <sheet name="Discount_Eligible" sheetId="12" r:id="rId7"/>
    <sheet name="Monthly Profit" sheetId="8" r:id="rId8"/>
  </sheets>
  <definedNames>
    <definedName name="Slicer_Customer_ID">#N/A</definedName>
    <definedName name="Slicer_Dessert_ID">#N/A</definedName>
    <definedName name="Slicer_Discount_Eligible">#N/A</definedName>
    <definedName name="Slicer_Restaurant_ID">#N/A</definedName>
  </definedNames>
  <calcPr calcId="191029"/>
  <pivotCaches>
    <pivotCache cacheId="8" r:id="rId9"/>
    <pivotCache cacheId="28" r:id="rId10"/>
    <pivotCache cacheId="40" r:id="rId11"/>
    <pivotCache cacheId="45"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01" i="12" l="1"/>
  <c r="I501" i="12" s="1"/>
  <c r="J501" i="12" s="1"/>
  <c r="H500" i="12"/>
  <c r="I500" i="12" s="1"/>
  <c r="J500" i="12" s="1"/>
  <c r="H499" i="12"/>
  <c r="I499" i="12" s="1"/>
  <c r="J499" i="12" s="1"/>
  <c r="H498" i="12"/>
  <c r="I498" i="12" s="1"/>
  <c r="J498" i="12" s="1"/>
  <c r="I497" i="12"/>
  <c r="J497" i="12" s="1"/>
  <c r="H497" i="12"/>
  <c r="H496" i="12"/>
  <c r="I496" i="12" s="1"/>
  <c r="J496" i="12" s="1"/>
  <c r="H495" i="12"/>
  <c r="I495" i="12" s="1"/>
  <c r="J495" i="12" s="1"/>
  <c r="H494" i="12"/>
  <c r="I494" i="12" s="1"/>
  <c r="J494" i="12" s="1"/>
  <c r="I493" i="12"/>
  <c r="J493" i="12" s="1"/>
  <c r="H493" i="12"/>
  <c r="I492" i="12"/>
  <c r="J492" i="12" s="1"/>
  <c r="H492" i="12"/>
  <c r="I491" i="12"/>
  <c r="J491" i="12" s="1"/>
  <c r="H491" i="12"/>
  <c r="H490" i="12"/>
  <c r="I490" i="12" s="1"/>
  <c r="J490" i="12" s="1"/>
  <c r="H489" i="12"/>
  <c r="I489" i="12" s="1"/>
  <c r="J489" i="12" s="1"/>
  <c r="H488" i="12"/>
  <c r="I488" i="12" s="1"/>
  <c r="J488" i="12" s="1"/>
  <c r="H487" i="12"/>
  <c r="I487" i="12" s="1"/>
  <c r="J487" i="12" s="1"/>
  <c r="I486" i="12"/>
  <c r="J486" i="12" s="1"/>
  <c r="H486" i="12"/>
  <c r="H485" i="12"/>
  <c r="I485" i="12" s="1"/>
  <c r="J485" i="12" s="1"/>
  <c r="I484" i="12"/>
  <c r="J484" i="12" s="1"/>
  <c r="H484" i="12"/>
  <c r="H483" i="12"/>
  <c r="I483" i="12" s="1"/>
  <c r="J483" i="12" s="1"/>
  <c r="H482" i="12"/>
  <c r="I482" i="12" s="1"/>
  <c r="J482" i="12" s="1"/>
  <c r="H481" i="12"/>
  <c r="I481" i="12" s="1"/>
  <c r="J481" i="12" s="1"/>
  <c r="H480" i="12"/>
  <c r="I480" i="12" s="1"/>
  <c r="J480" i="12" s="1"/>
  <c r="I479" i="12"/>
  <c r="J479" i="12" s="1"/>
  <c r="H479" i="12"/>
  <c r="H478" i="12"/>
  <c r="I478" i="12" s="1"/>
  <c r="J478" i="12" s="1"/>
  <c r="H477" i="12"/>
  <c r="I477" i="12" s="1"/>
  <c r="J477" i="12" s="1"/>
  <c r="I476" i="12"/>
  <c r="J476" i="12" s="1"/>
  <c r="H476" i="12"/>
  <c r="H475" i="12"/>
  <c r="I475" i="12" s="1"/>
  <c r="J475" i="12" s="1"/>
  <c r="H474" i="12"/>
  <c r="I474" i="12" s="1"/>
  <c r="J474" i="12" s="1"/>
  <c r="H473" i="12"/>
  <c r="I473" i="12" s="1"/>
  <c r="J473" i="12" s="1"/>
  <c r="H472" i="12"/>
  <c r="I472" i="12" s="1"/>
  <c r="J472" i="12" s="1"/>
  <c r="I471" i="12"/>
  <c r="J471" i="12" s="1"/>
  <c r="H471" i="12"/>
  <c r="H470" i="12"/>
  <c r="I470" i="12" s="1"/>
  <c r="J470" i="12" s="1"/>
  <c r="H469" i="12"/>
  <c r="I469" i="12" s="1"/>
  <c r="J469" i="12" s="1"/>
  <c r="I468" i="12"/>
  <c r="J468" i="12" s="1"/>
  <c r="H468" i="12"/>
  <c r="H467" i="12"/>
  <c r="I467" i="12" s="1"/>
  <c r="J467" i="12" s="1"/>
  <c r="I466" i="12"/>
  <c r="J466" i="12" s="1"/>
  <c r="H466" i="12"/>
  <c r="H465" i="12"/>
  <c r="I465" i="12" s="1"/>
  <c r="J465" i="12" s="1"/>
  <c r="H464" i="12"/>
  <c r="I464" i="12" s="1"/>
  <c r="J464" i="12" s="1"/>
  <c r="H463" i="12"/>
  <c r="I463" i="12" s="1"/>
  <c r="J463" i="12" s="1"/>
  <c r="J462" i="12"/>
  <c r="H462" i="12"/>
  <c r="I462" i="12" s="1"/>
  <c r="H461" i="12"/>
  <c r="I461" i="12" s="1"/>
  <c r="J461" i="12" s="1"/>
  <c r="H460" i="12"/>
  <c r="I460" i="12" s="1"/>
  <c r="J460" i="12" s="1"/>
  <c r="H459" i="12"/>
  <c r="I459" i="12" s="1"/>
  <c r="J459" i="12" s="1"/>
  <c r="I458" i="12"/>
  <c r="J458" i="12" s="1"/>
  <c r="H458" i="12"/>
  <c r="I457" i="12"/>
  <c r="J457" i="12" s="1"/>
  <c r="H457" i="12"/>
  <c r="I456" i="12"/>
  <c r="J456" i="12" s="1"/>
  <c r="H456" i="12"/>
  <c r="H455" i="12"/>
  <c r="I455" i="12" s="1"/>
  <c r="J455" i="12" s="1"/>
  <c r="H454" i="12"/>
  <c r="I454" i="12" s="1"/>
  <c r="J454" i="12" s="1"/>
  <c r="H453" i="12"/>
  <c r="I453" i="12" s="1"/>
  <c r="J453" i="12" s="1"/>
  <c r="H452" i="12"/>
  <c r="I452" i="12" s="1"/>
  <c r="J452" i="12" s="1"/>
  <c r="I451" i="12"/>
  <c r="J451" i="12" s="1"/>
  <c r="H451" i="12"/>
  <c r="H450" i="12"/>
  <c r="I450" i="12" s="1"/>
  <c r="J450" i="12" s="1"/>
  <c r="I449" i="12"/>
  <c r="J449" i="12" s="1"/>
  <c r="H449" i="12"/>
  <c r="H448" i="12"/>
  <c r="I448" i="12" s="1"/>
  <c r="J448" i="12" s="1"/>
  <c r="H447" i="12"/>
  <c r="I447" i="12" s="1"/>
  <c r="J447" i="12" s="1"/>
  <c r="I446" i="12"/>
  <c r="J446" i="12" s="1"/>
  <c r="H446" i="12"/>
  <c r="H445" i="12"/>
  <c r="I445" i="12" s="1"/>
  <c r="J445" i="12" s="1"/>
  <c r="I444" i="12"/>
  <c r="J444" i="12" s="1"/>
  <c r="H444" i="12"/>
  <c r="H443" i="12"/>
  <c r="I443" i="12" s="1"/>
  <c r="J443" i="12" s="1"/>
  <c r="H442" i="12"/>
  <c r="I442" i="12" s="1"/>
  <c r="J442" i="12" s="1"/>
  <c r="I441" i="12"/>
  <c r="J441" i="12" s="1"/>
  <c r="H441" i="12"/>
  <c r="H440" i="12"/>
  <c r="I440" i="12" s="1"/>
  <c r="J440" i="12" s="1"/>
  <c r="H439" i="12"/>
  <c r="I439" i="12" s="1"/>
  <c r="J439" i="12" s="1"/>
  <c r="H438" i="12"/>
  <c r="I438" i="12" s="1"/>
  <c r="J438" i="12" s="1"/>
  <c r="H437" i="12"/>
  <c r="I437" i="12" s="1"/>
  <c r="J437" i="12" s="1"/>
  <c r="I436" i="12"/>
  <c r="J436" i="12" s="1"/>
  <c r="H436" i="12"/>
  <c r="H435" i="12"/>
  <c r="I435" i="12" s="1"/>
  <c r="J435" i="12" s="1"/>
  <c r="H434" i="12"/>
  <c r="I434" i="12" s="1"/>
  <c r="J434" i="12" s="1"/>
  <c r="H433" i="12"/>
  <c r="I433" i="12" s="1"/>
  <c r="J433" i="12" s="1"/>
  <c r="H432" i="12"/>
  <c r="I432" i="12" s="1"/>
  <c r="J432" i="12" s="1"/>
  <c r="I431" i="12"/>
  <c r="J431" i="12" s="1"/>
  <c r="H431" i="12"/>
  <c r="H430" i="12"/>
  <c r="I430" i="12" s="1"/>
  <c r="J430" i="12" s="1"/>
  <c r="H429" i="12"/>
  <c r="I429" i="12" s="1"/>
  <c r="J429" i="12" s="1"/>
  <c r="H428" i="12"/>
  <c r="I428" i="12" s="1"/>
  <c r="J428" i="12" s="1"/>
  <c r="H427" i="12"/>
  <c r="I427" i="12" s="1"/>
  <c r="J427" i="12" s="1"/>
  <c r="H426" i="12"/>
  <c r="I426" i="12" s="1"/>
  <c r="J426" i="12" s="1"/>
  <c r="H425" i="12"/>
  <c r="I425" i="12" s="1"/>
  <c r="J425" i="12" s="1"/>
  <c r="H424" i="12"/>
  <c r="I424" i="12" s="1"/>
  <c r="J424" i="12" s="1"/>
  <c r="I423" i="12"/>
  <c r="J423" i="12" s="1"/>
  <c r="H423" i="12"/>
  <c r="H422" i="12"/>
  <c r="I422" i="12" s="1"/>
  <c r="J422" i="12" s="1"/>
  <c r="H421" i="12"/>
  <c r="I421" i="12" s="1"/>
  <c r="J421" i="12" s="1"/>
  <c r="H420" i="12"/>
  <c r="I420" i="12" s="1"/>
  <c r="J420" i="12" s="1"/>
  <c r="H419" i="12"/>
  <c r="I419" i="12" s="1"/>
  <c r="J419" i="12" s="1"/>
  <c r="I418" i="12"/>
  <c r="J418" i="12" s="1"/>
  <c r="H418" i="12"/>
  <c r="H417" i="12"/>
  <c r="I417" i="12" s="1"/>
  <c r="J417" i="12" s="1"/>
  <c r="H416" i="12"/>
  <c r="I416" i="12" s="1"/>
  <c r="J416" i="12" s="1"/>
  <c r="H415" i="12"/>
  <c r="I415" i="12" s="1"/>
  <c r="J415" i="12" s="1"/>
  <c r="H414" i="12"/>
  <c r="I414" i="12" s="1"/>
  <c r="J414" i="12" s="1"/>
  <c r="H413" i="12"/>
  <c r="I413" i="12" s="1"/>
  <c r="J413" i="12" s="1"/>
  <c r="H412" i="12"/>
  <c r="I412" i="12" s="1"/>
  <c r="J412" i="12" s="1"/>
  <c r="H411" i="12"/>
  <c r="I411" i="12" s="1"/>
  <c r="J411" i="12" s="1"/>
  <c r="I410" i="12"/>
  <c r="J410" i="12" s="1"/>
  <c r="H410" i="12"/>
  <c r="I409" i="12"/>
  <c r="J409" i="12" s="1"/>
  <c r="H409" i="12"/>
  <c r="H408" i="12"/>
  <c r="I408" i="12" s="1"/>
  <c r="J408" i="12" s="1"/>
  <c r="H407" i="12"/>
  <c r="I407" i="12" s="1"/>
  <c r="J407" i="12" s="1"/>
  <c r="H406" i="12"/>
  <c r="I406" i="12" s="1"/>
  <c r="J406" i="12" s="1"/>
  <c r="H405" i="12"/>
  <c r="I405" i="12" s="1"/>
  <c r="J405" i="12" s="1"/>
  <c r="H404" i="12"/>
  <c r="I404" i="12" s="1"/>
  <c r="J404" i="12" s="1"/>
  <c r="H403" i="12"/>
  <c r="I403" i="12" s="1"/>
  <c r="J403" i="12" s="1"/>
  <c r="H402" i="12"/>
  <c r="I402" i="12" s="1"/>
  <c r="J402" i="12" s="1"/>
  <c r="I401" i="12"/>
  <c r="J401" i="12" s="1"/>
  <c r="H401" i="12"/>
  <c r="H400" i="12"/>
  <c r="I400" i="12" s="1"/>
  <c r="J400" i="12" s="1"/>
  <c r="H399" i="12"/>
  <c r="I399" i="12" s="1"/>
  <c r="J399" i="12" s="1"/>
  <c r="H398" i="12"/>
  <c r="I398" i="12" s="1"/>
  <c r="J398" i="12" s="1"/>
  <c r="H397" i="12"/>
  <c r="I397" i="12" s="1"/>
  <c r="J397" i="12" s="1"/>
  <c r="I396" i="12"/>
  <c r="J396" i="12" s="1"/>
  <c r="H396" i="12"/>
  <c r="H395" i="12"/>
  <c r="I395" i="12" s="1"/>
  <c r="J395" i="12" s="1"/>
  <c r="H394" i="12"/>
  <c r="I394" i="12" s="1"/>
  <c r="J394" i="12" s="1"/>
  <c r="I393" i="12"/>
  <c r="J393" i="12" s="1"/>
  <c r="H393" i="12"/>
  <c r="J392" i="12"/>
  <c r="H392" i="12"/>
  <c r="I392" i="12" s="1"/>
  <c r="H391" i="12"/>
  <c r="I391" i="12" s="1"/>
  <c r="J391" i="12" s="1"/>
  <c r="H390" i="12"/>
  <c r="I390" i="12" s="1"/>
  <c r="J390" i="12" s="1"/>
  <c r="H389" i="12"/>
  <c r="I389" i="12" s="1"/>
  <c r="J389" i="12" s="1"/>
  <c r="I388" i="12"/>
  <c r="J388" i="12" s="1"/>
  <c r="H388" i="12"/>
  <c r="H387" i="12"/>
  <c r="I387" i="12" s="1"/>
  <c r="J387" i="12" s="1"/>
  <c r="H386" i="12"/>
  <c r="I386" i="12" s="1"/>
  <c r="J386" i="12" s="1"/>
  <c r="H385" i="12"/>
  <c r="I385" i="12" s="1"/>
  <c r="J385" i="12" s="1"/>
  <c r="H384" i="12"/>
  <c r="I384" i="12" s="1"/>
  <c r="J384" i="12" s="1"/>
  <c r="I383" i="12"/>
  <c r="J383" i="12" s="1"/>
  <c r="H383" i="12"/>
  <c r="H382" i="12"/>
  <c r="I382" i="12" s="1"/>
  <c r="J382" i="12" s="1"/>
  <c r="H381" i="12"/>
  <c r="I381" i="12" s="1"/>
  <c r="J381" i="12" s="1"/>
  <c r="H380" i="12"/>
  <c r="I380" i="12" s="1"/>
  <c r="J380" i="12" s="1"/>
  <c r="H379" i="12"/>
  <c r="I379" i="12" s="1"/>
  <c r="J379" i="12" s="1"/>
  <c r="H378" i="12"/>
  <c r="I378" i="12" s="1"/>
  <c r="J378" i="12" s="1"/>
  <c r="H377" i="12"/>
  <c r="I377" i="12" s="1"/>
  <c r="J377" i="12" s="1"/>
  <c r="H376" i="12"/>
  <c r="I376" i="12" s="1"/>
  <c r="J376" i="12" s="1"/>
  <c r="I375" i="12"/>
  <c r="J375" i="12" s="1"/>
  <c r="H375" i="12"/>
  <c r="H374" i="12"/>
  <c r="I374" i="12" s="1"/>
  <c r="J374" i="12" s="1"/>
  <c r="H373" i="12"/>
  <c r="I373" i="12" s="1"/>
  <c r="J373" i="12" s="1"/>
  <c r="H372" i="12"/>
  <c r="I372" i="12" s="1"/>
  <c r="J372" i="12" s="1"/>
  <c r="H371" i="12"/>
  <c r="I371" i="12" s="1"/>
  <c r="J371" i="12" s="1"/>
  <c r="I370" i="12"/>
  <c r="J370" i="12" s="1"/>
  <c r="H370" i="12"/>
  <c r="H369" i="12"/>
  <c r="I369" i="12" s="1"/>
  <c r="J369" i="12" s="1"/>
  <c r="H368" i="12"/>
  <c r="I368" i="12" s="1"/>
  <c r="J368" i="12" s="1"/>
  <c r="H367" i="12"/>
  <c r="I367" i="12" s="1"/>
  <c r="J367" i="12" s="1"/>
  <c r="H366" i="12"/>
  <c r="I366" i="12" s="1"/>
  <c r="J366" i="12" s="1"/>
  <c r="H365" i="12"/>
  <c r="I365" i="12" s="1"/>
  <c r="J365" i="12" s="1"/>
  <c r="H364" i="12"/>
  <c r="I364" i="12" s="1"/>
  <c r="J364" i="12" s="1"/>
  <c r="H363" i="12"/>
  <c r="I363" i="12" s="1"/>
  <c r="J363" i="12" s="1"/>
  <c r="I362" i="12"/>
  <c r="J362" i="12" s="1"/>
  <c r="H362" i="12"/>
  <c r="I361" i="12"/>
  <c r="J361" i="12" s="1"/>
  <c r="H361" i="12"/>
  <c r="H360" i="12"/>
  <c r="I360" i="12" s="1"/>
  <c r="J360" i="12" s="1"/>
  <c r="H359" i="12"/>
  <c r="I359" i="12" s="1"/>
  <c r="J359" i="12" s="1"/>
  <c r="H358" i="12"/>
  <c r="I358" i="12" s="1"/>
  <c r="J358" i="12" s="1"/>
  <c r="H357" i="12"/>
  <c r="I357" i="12" s="1"/>
  <c r="J357" i="12" s="1"/>
  <c r="H356" i="12"/>
  <c r="I356" i="12" s="1"/>
  <c r="J356" i="12" s="1"/>
  <c r="H355" i="12"/>
  <c r="I355" i="12" s="1"/>
  <c r="J355" i="12" s="1"/>
  <c r="H354" i="12"/>
  <c r="I354" i="12" s="1"/>
  <c r="J354" i="12" s="1"/>
  <c r="I353" i="12"/>
  <c r="J353" i="12" s="1"/>
  <c r="H353" i="12"/>
  <c r="H352" i="12"/>
  <c r="I352" i="12" s="1"/>
  <c r="J352" i="12" s="1"/>
  <c r="H351" i="12"/>
  <c r="I351" i="12" s="1"/>
  <c r="J351" i="12" s="1"/>
  <c r="H350" i="12"/>
  <c r="I350" i="12" s="1"/>
  <c r="J350" i="12" s="1"/>
  <c r="H349" i="12"/>
  <c r="I349" i="12" s="1"/>
  <c r="J349" i="12" s="1"/>
  <c r="I348" i="12"/>
  <c r="J348" i="12" s="1"/>
  <c r="H348" i="12"/>
  <c r="H347" i="12"/>
  <c r="I347" i="12" s="1"/>
  <c r="J347" i="12" s="1"/>
  <c r="I346" i="12"/>
  <c r="J346" i="12" s="1"/>
  <c r="H346" i="12"/>
  <c r="H345" i="12"/>
  <c r="I345" i="12" s="1"/>
  <c r="J345" i="12" s="1"/>
  <c r="H344" i="12"/>
  <c r="I344" i="12" s="1"/>
  <c r="J344" i="12" s="1"/>
  <c r="H343" i="12"/>
  <c r="I343" i="12" s="1"/>
  <c r="J343" i="12" s="1"/>
  <c r="H342" i="12"/>
  <c r="I342" i="12" s="1"/>
  <c r="J342" i="12" s="1"/>
  <c r="H341" i="12"/>
  <c r="I341" i="12" s="1"/>
  <c r="J341" i="12" s="1"/>
  <c r="J340" i="12"/>
  <c r="I340" i="12"/>
  <c r="H340" i="12"/>
  <c r="H339" i="12"/>
  <c r="I339" i="12" s="1"/>
  <c r="J339" i="12" s="1"/>
  <c r="H338" i="12"/>
  <c r="I338" i="12" s="1"/>
  <c r="J338" i="12" s="1"/>
  <c r="H337" i="12"/>
  <c r="I337" i="12" s="1"/>
  <c r="J337" i="12" s="1"/>
  <c r="H336" i="12"/>
  <c r="I336" i="12" s="1"/>
  <c r="J336" i="12" s="1"/>
  <c r="I335" i="12"/>
  <c r="J335" i="12" s="1"/>
  <c r="H335" i="12"/>
  <c r="H334" i="12"/>
  <c r="I334" i="12" s="1"/>
  <c r="J334" i="12" s="1"/>
  <c r="H333" i="12"/>
  <c r="I333" i="12" s="1"/>
  <c r="J333" i="12" s="1"/>
  <c r="H332" i="12"/>
  <c r="I332" i="12" s="1"/>
  <c r="J332" i="12" s="1"/>
  <c r="H331" i="12"/>
  <c r="I331" i="12" s="1"/>
  <c r="J331" i="12" s="1"/>
  <c r="I330" i="12"/>
  <c r="J330" i="12" s="1"/>
  <c r="H330" i="12"/>
  <c r="H329" i="12"/>
  <c r="I329" i="12" s="1"/>
  <c r="J329" i="12" s="1"/>
  <c r="H328" i="12"/>
  <c r="I328" i="12" s="1"/>
  <c r="J328" i="12" s="1"/>
  <c r="I327" i="12"/>
  <c r="J327" i="12" s="1"/>
  <c r="H327" i="12"/>
  <c r="H326" i="12"/>
  <c r="I326" i="12" s="1"/>
  <c r="J326" i="12" s="1"/>
  <c r="I325" i="12"/>
  <c r="J325" i="12" s="1"/>
  <c r="H325" i="12"/>
  <c r="H324" i="12"/>
  <c r="I324" i="12" s="1"/>
  <c r="J324" i="12" s="1"/>
  <c r="H323" i="12"/>
  <c r="I323" i="12" s="1"/>
  <c r="J323" i="12" s="1"/>
  <c r="I322" i="12"/>
  <c r="J322" i="12" s="1"/>
  <c r="H322" i="12"/>
  <c r="H321" i="12"/>
  <c r="I321" i="12" s="1"/>
  <c r="J321" i="12" s="1"/>
  <c r="J320" i="12"/>
  <c r="I320" i="12"/>
  <c r="H320" i="12"/>
  <c r="H319" i="12"/>
  <c r="I319" i="12" s="1"/>
  <c r="J319" i="12" s="1"/>
  <c r="H318" i="12"/>
  <c r="I318" i="12" s="1"/>
  <c r="J318" i="12" s="1"/>
  <c r="H317" i="12"/>
  <c r="I317" i="12" s="1"/>
  <c r="J317" i="12" s="1"/>
  <c r="I316" i="12"/>
  <c r="J316" i="12" s="1"/>
  <c r="H316" i="12"/>
  <c r="J315" i="12"/>
  <c r="I315" i="12"/>
  <c r="H315" i="12"/>
  <c r="I314" i="12"/>
  <c r="J314" i="12" s="1"/>
  <c r="H314" i="12"/>
  <c r="I313" i="12"/>
  <c r="J313" i="12" s="1"/>
  <c r="H313" i="12"/>
  <c r="H312" i="12"/>
  <c r="I312" i="12" s="1"/>
  <c r="J312" i="12" s="1"/>
  <c r="J311" i="12"/>
  <c r="I311" i="12"/>
  <c r="H311" i="12"/>
  <c r="H310" i="12"/>
  <c r="I310" i="12" s="1"/>
  <c r="J310" i="12" s="1"/>
  <c r="H309" i="12"/>
  <c r="I309" i="12" s="1"/>
  <c r="J309" i="12" s="1"/>
  <c r="H308" i="12"/>
  <c r="I308" i="12" s="1"/>
  <c r="J308" i="12" s="1"/>
  <c r="H307" i="12"/>
  <c r="I307" i="12" s="1"/>
  <c r="J307" i="12" s="1"/>
  <c r="I306" i="12"/>
  <c r="J306" i="12" s="1"/>
  <c r="H306" i="12"/>
  <c r="I305" i="12"/>
  <c r="J305" i="12" s="1"/>
  <c r="H305" i="12"/>
  <c r="H304" i="12"/>
  <c r="I304" i="12" s="1"/>
  <c r="J304" i="12" s="1"/>
  <c r="H303" i="12"/>
  <c r="I303" i="12" s="1"/>
  <c r="J303" i="12" s="1"/>
  <c r="H302" i="12"/>
  <c r="I302" i="12" s="1"/>
  <c r="J302" i="12" s="1"/>
  <c r="H301" i="12"/>
  <c r="I301" i="12" s="1"/>
  <c r="J301" i="12" s="1"/>
  <c r="I300" i="12"/>
  <c r="J300" i="12" s="1"/>
  <c r="H300" i="12"/>
  <c r="H299" i="12"/>
  <c r="I299" i="12" s="1"/>
  <c r="J299" i="12" s="1"/>
  <c r="H298" i="12"/>
  <c r="I298" i="12" s="1"/>
  <c r="J298" i="12" s="1"/>
  <c r="H297" i="12"/>
  <c r="I297" i="12" s="1"/>
  <c r="J297" i="12" s="1"/>
  <c r="H296" i="12"/>
  <c r="I296" i="12" s="1"/>
  <c r="J296" i="12" s="1"/>
  <c r="I295" i="12"/>
  <c r="J295" i="12" s="1"/>
  <c r="H295" i="12"/>
  <c r="H294" i="12"/>
  <c r="I294" i="12" s="1"/>
  <c r="J294" i="12" s="1"/>
  <c r="I293" i="12"/>
  <c r="J293" i="12" s="1"/>
  <c r="H293" i="12"/>
  <c r="I292" i="12"/>
  <c r="J292" i="12" s="1"/>
  <c r="H292" i="12"/>
  <c r="H291" i="12"/>
  <c r="I291" i="12" s="1"/>
  <c r="J291" i="12" s="1"/>
  <c r="J290" i="12"/>
  <c r="I290" i="12"/>
  <c r="H290" i="12"/>
  <c r="H289" i="12"/>
  <c r="I289" i="12" s="1"/>
  <c r="J289" i="12" s="1"/>
  <c r="H288" i="12"/>
  <c r="I288" i="12" s="1"/>
  <c r="J288" i="12" s="1"/>
  <c r="I287" i="12"/>
  <c r="J287" i="12" s="1"/>
  <c r="H287" i="12"/>
  <c r="H286" i="12"/>
  <c r="I286" i="12" s="1"/>
  <c r="J286" i="12" s="1"/>
  <c r="I285" i="12"/>
  <c r="J285" i="12" s="1"/>
  <c r="H285" i="12"/>
  <c r="H284" i="12"/>
  <c r="I284" i="12" s="1"/>
  <c r="J284" i="12" s="1"/>
  <c r="H283" i="12"/>
  <c r="I283" i="12" s="1"/>
  <c r="J283" i="12" s="1"/>
  <c r="H282" i="12"/>
  <c r="I282" i="12" s="1"/>
  <c r="J282" i="12" s="1"/>
  <c r="I281" i="12"/>
  <c r="J281" i="12" s="1"/>
  <c r="H281" i="12"/>
  <c r="H280" i="12"/>
  <c r="I280" i="12" s="1"/>
  <c r="J280" i="12" s="1"/>
  <c r="I279" i="12"/>
  <c r="J279" i="12" s="1"/>
  <c r="H279" i="12"/>
  <c r="H278" i="12"/>
  <c r="I278" i="12" s="1"/>
  <c r="J278" i="12" s="1"/>
  <c r="H277" i="12"/>
  <c r="I277" i="12" s="1"/>
  <c r="J277" i="12" s="1"/>
  <c r="H276" i="12"/>
  <c r="I276" i="12" s="1"/>
  <c r="J276" i="12" s="1"/>
  <c r="J275" i="12"/>
  <c r="H275" i="12"/>
  <c r="I275" i="12" s="1"/>
  <c r="I274" i="12"/>
  <c r="J274" i="12" s="1"/>
  <c r="H274" i="12"/>
  <c r="H273" i="12"/>
  <c r="I273" i="12" s="1"/>
  <c r="J273" i="12" s="1"/>
  <c r="H272" i="12"/>
  <c r="I272" i="12" s="1"/>
  <c r="J272" i="12" s="1"/>
  <c r="H271" i="12"/>
  <c r="I271" i="12" s="1"/>
  <c r="J271" i="12" s="1"/>
  <c r="H270" i="12"/>
  <c r="I270" i="12" s="1"/>
  <c r="J270" i="12" s="1"/>
  <c r="H269" i="12"/>
  <c r="I269" i="12" s="1"/>
  <c r="J269" i="12" s="1"/>
  <c r="H268" i="12"/>
  <c r="I268" i="12" s="1"/>
  <c r="J268" i="12" s="1"/>
  <c r="H267" i="12"/>
  <c r="I267" i="12" s="1"/>
  <c r="J267" i="12" s="1"/>
  <c r="I266" i="12"/>
  <c r="J266" i="12" s="1"/>
  <c r="H266" i="12"/>
  <c r="I265" i="12"/>
  <c r="J265" i="12" s="1"/>
  <c r="H265" i="12"/>
  <c r="H264" i="12"/>
  <c r="I264" i="12" s="1"/>
  <c r="J264" i="12" s="1"/>
  <c r="I263" i="12"/>
  <c r="J263" i="12" s="1"/>
  <c r="H263" i="12"/>
  <c r="H262" i="12"/>
  <c r="I262" i="12" s="1"/>
  <c r="J262" i="12" s="1"/>
  <c r="H261" i="12"/>
  <c r="I261" i="12" s="1"/>
  <c r="J261" i="12" s="1"/>
  <c r="H260" i="12"/>
  <c r="I260" i="12" s="1"/>
  <c r="J260" i="12" s="1"/>
  <c r="H259" i="12"/>
  <c r="I259" i="12" s="1"/>
  <c r="J259" i="12" s="1"/>
  <c r="H258" i="12"/>
  <c r="I258" i="12" s="1"/>
  <c r="J258" i="12" s="1"/>
  <c r="I257" i="12"/>
  <c r="J257" i="12" s="1"/>
  <c r="H257" i="12"/>
  <c r="H256" i="12"/>
  <c r="I256" i="12" s="1"/>
  <c r="J256" i="12" s="1"/>
  <c r="H255" i="12"/>
  <c r="I255" i="12" s="1"/>
  <c r="J255" i="12" s="1"/>
  <c r="H254" i="12"/>
  <c r="I254" i="12" s="1"/>
  <c r="J254" i="12" s="1"/>
  <c r="H253" i="12"/>
  <c r="I253" i="12" s="1"/>
  <c r="J253" i="12" s="1"/>
  <c r="I252" i="12"/>
  <c r="J252" i="12" s="1"/>
  <c r="H252" i="12"/>
  <c r="H251" i="12"/>
  <c r="I251" i="12" s="1"/>
  <c r="J251" i="12" s="1"/>
  <c r="H250" i="12"/>
  <c r="I250" i="12" s="1"/>
  <c r="J250" i="12" s="1"/>
  <c r="H249" i="12"/>
  <c r="I249" i="12" s="1"/>
  <c r="J249" i="12" s="1"/>
  <c r="H248" i="12"/>
  <c r="I248" i="12" s="1"/>
  <c r="J248" i="12" s="1"/>
  <c r="H247" i="12"/>
  <c r="I247" i="12" s="1"/>
  <c r="J247" i="12" s="1"/>
  <c r="H246" i="12"/>
  <c r="I246" i="12" s="1"/>
  <c r="J246" i="12" s="1"/>
  <c r="H245" i="12"/>
  <c r="I245" i="12" s="1"/>
  <c r="J245" i="12" s="1"/>
  <c r="I244" i="12"/>
  <c r="J244" i="12" s="1"/>
  <c r="H244" i="12"/>
  <c r="H243" i="12"/>
  <c r="I243" i="12" s="1"/>
  <c r="J243" i="12" s="1"/>
  <c r="H242" i="12"/>
  <c r="I242" i="12" s="1"/>
  <c r="J242" i="12" s="1"/>
  <c r="H241" i="12"/>
  <c r="I241" i="12" s="1"/>
  <c r="J241" i="12" s="1"/>
  <c r="H240" i="12"/>
  <c r="I240" i="12" s="1"/>
  <c r="J240" i="12" s="1"/>
  <c r="I239" i="12"/>
  <c r="J239" i="12" s="1"/>
  <c r="H239" i="12"/>
  <c r="H238" i="12"/>
  <c r="I238" i="12" s="1"/>
  <c r="J238" i="12" s="1"/>
  <c r="I237" i="12"/>
  <c r="J237" i="12" s="1"/>
  <c r="H237" i="12"/>
  <c r="H236" i="12"/>
  <c r="I236" i="12" s="1"/>
  <c r="J236" i="12" s="1"/>
  <c r="H235" i="12"/>
  <c r="I235" i="12" s="1"/>
  <c r="J235" i="12" s="1"/>
  <c r="H234" i="12"/>
  <c r="I234" i="12" s="1"/>
  <c r="J234" i="12" s="1"/>
  <c r="H233" i="12"/>
  <c r="I233" i="12" s="1"/>
  <c r="J233" i="12" s="1"/>
  <c r="H232" i="12"/>
  <c r="I232" i="12" s="1"/>
  <c r="J232" i="12" s="1"/>
  <c r="I231" i="12"/>
  <c r="J231" i="12" s="1"/>
  <c r="H231" i="12"/>
  <c r="H230" i="12"/>
  <c r="I230" i="12" s="1"/>
  <c r="J230" i="12" s="1"/>
  <c r="H229" i="12"/>
  <c r="I229" i="12" s="1"/>
  <c r="J229" i="12" s="1"/>
  <c r="H228" i="12"/>
  <c r="I228" i="12" s="1"/>
  <c r="J228" i="12" s="1"/>
  <c r="H227" i="12"/>
  <c r="I227" i="12" s="1"/>
  <c r="J227" i="12" s="1"/>
  <c r="I226" i="12"/>
  <c r="J226" i="12" s="1"/>
  <c r="H226" i="12"/>
  <c r="I225" i="12"/>
  <c r="J225" i="12" s="1"/>
  <c r="H225" i="12"/>
  <c r="H224" i="12"/>
  <c r="I224" i="12" s="1"/>
  <c r="J224" i="12" s="1"/>
  <c r="H223" i="12"/>
  <c r="I223" i="12" s="1"/>
  <c r="J223" i="12" s="1"/>
  <c r="H222" i="12"/>
  <c r="I222" i="12" s="1"/>
  <c r="J222" i="12" s="1"/>
  <c r="H221" i="12"/>
  <c r="I221" i="12" s="1"/>
  <c r="J221" i="12" s="1"/>
  <c r="I220" i="12"/>
  <c r="J220" i="12" s="1"/>
  <c r="H220" i="12"/>
  <c r="H219" i="12"/>
  <c r="I219" i="12" s="1"/>
  <c r="J219" i="12" s="1"/>
  <c r="I218" i="12"/>
  <c r="J218" i="12" s="1"/>
  <c r="H218" i="12"/>
  <c r="I217" i="12"/>
  <c r="J217" i="12" s="1"/>
  <c r="H217" i="12"/>
  <c r="H216" i="12"/>
  <c r="I216" i="12" s="1"/>
  <c r="J216" i="12" s="1"/>
  <c r="H215" i="12"/>
  <c r="I215" i="12" s="1"/>
  <c r="J215" i="12" s="1"/>
  <c r="H214" i="12"/>
  <c r="I214" i="12" s="1"/>
  <c r="J214" i="12" s="1"/>
  <c r="H213" i="12"/>
  <c r="I213" i="12" s="1"/>
  <c r="J213" i="12" s="1"/>
  <c r="H212" i="12"/>
  <c r="I212" i="12" s="1"/>
  <c r="J212" i="12" s="1"/>
  <c r="H211" i="12"/>
  <c r="I211" i="12" s="1"/>
  <c r="J211" i="12" s="1"/>
  <c r="H210" i="12"/>
  <c r="I210" i="12" s="1"/>
  <c r="J210" i="12" s="1"/>
  <c r="I209" i="12"/>
  <c r="J209" i="12" s="1"/>
  <c r="H209" i="12"/>
  <c r="H208" i="12"/>
  <c r="I208" i="12" s="1"/>
  <c r="J208" i="12" s="1"/>
  <c r="H207" i="12"/>
  <c r="I207" i="12" s="1"/>
  <c r="J207" i="12" s="1"/>
  <c r="H206" i="12"/>
  <c r="I206" i="12" s="1"/>
  <c r="J206" i="12" s="1"/>
  <c r="H205" i="12"/>
  <c r="I205" i="12" s="1"/>
  <c r="J205" i="12" s="1"/>
  <c r="I204" i="12"/>
  <c r="J204" i="12" s="1"/>
  <c r="H204" i="12"/>
  <c r="H203" i="12"/>
  <c r="I203" i="12" s="1"/>
  <c r="J203" i="12" s="1"/>
  <c r="H202" i="12"/>
  <c r="I202" i="12" s="1"/>
  <c r="J202" i="12" s="1"/>
  <c r="H201" i="12"/>
  <c r="I201" i="12" s="1"/>
  <c r="J201" i="12" s="1"/>
  <c r="H200" i="12"/>
  <c r="I200" i="12" s="1"/>
  <c r="J200" i="12" s="1"/>
  <c r="H199" i="12"/>
  <c r="I199" i="12" s="1"/>
  <c r="J199" i="12" s="1"/>
  <c r="H198" i="12"/>
  <c r="I198" i="12" s="1"/>
  <c r="J198" i="12" s="1"/>
  <c r="H197" i="12"/>
  <c r="I197" i="12" s="1"/>
  <c r="J197" i="12" s="1"/>
  <c r="I196" i="12"/>
  <c r="J196" i="12" s="1"/>
  <c r="H196" i="12"/>
  <c r="H195" i="12"/>
  <c r="I195" i="12" s="1"/>
  <c r="J195" i="12" s="1"/>
  <c r="H194" i="12"/>
  <c r="I194" i="12" s="1"/>
  <c r="J194" i="12" s="1"/>
  <c r="H193" i="12"/>
  <c r="I193" i="12" s="1"/>
  <c r="J193" i="12" s="1"/>
  <c r="H192" i="12"/>
  <c r="I192" i="12" s="1"/>
  <c r="J192" i="12" s="1"/>
  <c r="I191" i="12"/>
  <c r="J191" i="12" s="1"/>
  <c r="H191" i="12"/>
  <c r="H190" i="12"/>
  <c r="I190" i="12" s="1"/>
  <c r="J190" i="12" s="1"/>
  <c r="H189" i="12"/>
  <c r="I189" i="12" s="1"/>
  <c r="J189" i="12" s="1"/>
  <c r="H188" i="12"/>
  <c r="I188" i="12" s="1"/>
  <c r="J188" i="12" s="1"/>
  <c r="H187" i="12"/>
  <c r="I187" i="12" s="1"/>
  <c r="J187" i="12" s="1"/>
  <c r="H186" i="12"/>
  <c r="I186" i="12" s="1"/>
  <c r="J186" i="12" s="1"/>
  <c r="I185" i="12"/>
  <c r="J185" i="12" s="1"/>
  <c r="H185" i="12"/>
  <c r="H184" i="12"/>
  <c r="I184" i="12" s="1"/>
  <c r="J184" i="12" s="1"/>
  <c r="I183" i="12"/>
  <c r="J183" i="12" s="1"/>
  <c r="H183" i="12"/>
  <c r="H182" i="12"/>
  <c r="I182" i="12" s="1"/>
  <c r="J182" i="12" s="1"/>
  <c r="H181" i="12"/>
  <c r="I181" i="12" s="1"/>
  <c r="J181" i="12" s="1"/>
  <c r="I180" i="12"/>
  <c r="J180" i="12" s="1"/>
  <c r="H180" i="12"/>
  <c r="H179" i="12"/>
  <c r="I179" i="12" s="1"/>
  <c r="J179" i="12" s="1"/>
  <c r="I178" i="12"/>
  <c r="J178" i="12" s="1"/>
  <c r="H178" i="12"/>
  <c r="H177" i="12"/>
  <c r="I177" i="12" s="1"/>
  <c r="J177" i="12" s="1"/>
  <c r="H176" i="12"/>
  <c r="I176" i="12" s="1"/>
  <c r="J176" i="12" s="1"/>
  <c r="H175" i="12"/>
  <c r="I175" i="12" s="1"/>
  <c r="J175" i="12" s="1"/>
  <c r="H174" i="12"/>
  <c r="I174" i="12" s="1"/>
  <c r="J174" i="12" s="1"/>
  <c r="H173" i="12"/>
  <c r="I173" i="12" s="1"/>
  <c r="J173" i="12" s="1"/>
  <c r="H172" i="12"/>
  <c r="I172" i="12" s="1"/>
  <c r="J172" i="12" s="1"/>
  <c r="H171" i="12"/>
  <c r="I171" i="12" s="1"/>
  <c r="J171" i="12" s="1"/>
  <c r="J170" i="12"/>
  <c r="I170" i="12"/>
  <c r="H170" i="12"/>
  <c r="I169" i="12"/>
  <c r="J169" i="12" s="1"/>
  <c r="H169" i="12"/>
  <c r="H168" i="12"/>
  <c r="I168" i="12" s="1"/>
  <c r="J168" i="12" s="1"/>
  <c r="I167" i="12"/>
  <c r="J167" i="12" s="1"/>
  <c r="H167" i="12"/>
  <c r="I166" i="12"/>
  <c r="J166" i="12" s="1"/>
  <c r="H166" i="12"/>
  <c r="H165" i="12"/>
  <c r="I165" i="12" s="1"/>
  <c r="J165" i="12" s="1"/>
  <c r="H164" i="12"/>
  <c r="I164" i="12" s="1"/>
  <c r="J164" i="12" s="1"/>
  <c r="H163" i="12"/>
  <c r="I163" i="12" s="1"/>
  <c r="J163" i="12" s="1"/>
  <c r="H162" i="12"/>
  <c r="I162" i="12" s="1"/>
  <c r="J162" i="12" s="1"/>
  <c r="J161" i="12"/>
  <c r="H161" i="12"/>
  <c r="I161" i="12" s="1"/>
  <c r="H160" i="12"/>
  <c r="I160" i="12" s="1"/>
  <c r="J160" i="12" s="1"/>
  <c r="H159" i="12"/>
  <c r="I159" i="12" s="1"/>
  <c r="J159" i="12" s="1"/>
  <c r="H158" i="12"/>
  <c r="I158" i="12" s="1"/>
  <c r="J158" i="12" s="1"/>
  <c r="H157" i="12"/>
  <c r="I157" i="12" s="1"/>
  <c r="J157" i="12" s="1"/>
  <c r="H156" i="12"/>
  <c r="I156" i="12" s="1"/>
  <c r="J156" i="12" s="1"/>
  <c r="H155" i="12"/>
  <c r="I155" i="12" s="1"/>
  <c r="J155" i="12" s="1"/>
  <c r="H154" i="12"/>
  <c r="I154" i="12" s="1"/>
  <c r="J154" i="12" s="1"/>
  <c r="H153" i="12"/>
  <c r="I153" i="12" s="1"/>
  <c r="J153" i="12" s="1"/>
  <c r="H152" i="12"/>
  <c r="I152" i="12" s="1"/>
  <c r="J152" i="12" s="1"/>
  <c r="I151" i="12"/>
  <c r="J151" i="12" s="1"/>
  <c r="H151" i="12"/>
  <c r="H150" i="12"/>
  <c r="I150" i="12" s="1"/>
  <c r="J150" i="12" s="1"/>
  <c r="H149" i="12"/>
  <c r="I149" i="12" s="1"/>
  <c r="J149" i="12" s="1"/>
  <c r="H148" i="12"/>
  <c r="I148" i="12" s="1"/>
  <c r="J148" i="12" s="1"/>
  <c r="H147" i="12"/>
  <c r="I147" i="12" s="1"/>
  <c r="J147" i="12" s="1"/>
  <c r="H146" i="12"/>
  <c r="I146" i="12" s="1"/>
  <c r="J146" i="12" s="1"/>
  <c r="H145" i="12"/>
  <c r="I145" i="12" s="1"/>
  <c r="J145" i="12" s="1"/>
  <c r="H144" i="12"/>
  <c r="I144" i="12" s="1"/>
  <c r="J144" i="12" s="1"/>
  <c r="H143" i="12"/>
  <c r="I143" i="12" s="1"/>
  <c r="J143" i="12" s="1"/>
  <c r="H142" i="12"/>
  <c r="I142" i="12" s="1"/>
  <c r="J142" i="12" s="1"/>
  <c r="H141" i="12"/>
  <c r="I141" i="12" s="1"/>
  <c r="J141" i="12" s="1"/>
  <c r="H140" i="12"/>
  <c r="I140" i="12" s="1"/>
  <c r="J140" i="12" s="1"/>
  <c r="H139" i="12"/>
  <c r="I139" i="12" s="1"/>
  <c r="J139" i="12" s="1"/>
  <c r="H138" i="12"/>
  <c r="I138" i="12" s="1"/>
  <c r="J138" i="12" s="1"/>
  <c r="H137" i="12"/>
  <c r="I137" i="12" s="1"/>
  <c r="J137" i="12" s="1"/>
  <c r="H136" i="12"/>
  <c r="I136" i="12" s="1"/>
  <c r="J136" i="12" s="1"/>
  <c r="H135" i="12"/>
  <c r="I135" i="12" s="1"/>
  <c r="J135" i="12" s="1"/>
  <c r="H134" i="12"/>
  <c r="I134" i="12" s="1"/>
  <c r="J134" i="12" s="1"/>
  <c r="H133" i="12"/>
  <c r="I133" i="12" s="1"/>
  <c r="J133" i="12" s="1"/>
  <c r="H132" i="12"/>
  <c r="I132" i="12" s="1"/>
  <c r="J132" i="12" s="1"/>
  <c r="H131" i="12"/>
  <c r="I131" i="12" s="1"/>
  <c r="J131" i="12" s="1"/>
  <c r="H130" i="12"/>
  <c r="I130" i="12" s="1"/>
  <c r="J130" i="12" s="1"/>
  <c r="H129" i="12"/>
  <c r="I129" i="12" s="1"/>
  <c r="J129" i="12" s="1"/>
  <c r="H128" i="12"/>
  <c r="I128" i="12" s="1"/>
  <c r="J128" i="12" s="1"/>
  <c r="I127" i="12"/>
  <c r="J127" i="12" s="1"/>
  <c r="H127" i="12"/>
  <c r="H126" i="12"/>
  <c r="I126" i="12" s="1"/>
  <c r="J126" i="12" s="1"/>
  <c r="H125" i="12"/>
  <c r="I125" i="12" s="1"/>
  <c r="J125" i="12" s="1"/>
  <c r="H124" i="12"/>
  <c r="I124" i="12" s="1"/>
  <c r="J124" i="12" s="1"/>
  <c r="H123" i="12"/>
  <c r="I123" i="12" s="1"/>
  <c r="J123" i="12" s="1"/>
  <c r="H122" i="12"/>
  <c r="I122" i="12" s="1"/>
  <c r="J122" i="12" s="1"/>
  <c r="H121" i="12"/>
  <c r="I121" i="12" s="1"/>
  <c r="J121" i="12" s="1"/>
  <c r="H120" i="12"/>
  <c r="I120" i="12" s="1"/>
  <c r="J120" i="12" s="1"/>
  <c r="H119" i="12"/>
  <c r="I119" i="12" s="1"/>
  <c r="J119" i="12" s="1"/>
  <c r="H118" i="12"/>
  <c r="I118" i="12" s="1"/>
  <c r="J118" i="12" s="1"/>
  <c r="H117" i="12"/>
  <c r="I117" i="12" s="1"/>
  <c r="J117" i="12" s="1"/>
  <c r="H116" i="12"/>
  <c r="I116" i="12" s="1"/>
  <c r="J116" i="12" s="1"/>
  <c r="H115" i="12"/>
  <c r="I115" i="12" s="1"/>
  <c r="J115" i="12" s="1"/>
  <c r="H114" i="12"/>
  <c r="I114" i="12" s="1"/>
  <c r="J114" i="12" s="1"/>
  <c r="H113" i="12"/>
  <c r="I113" i="12" s="1"/>
  <c r="J113" i="12" s="1"/>
  <c r="H112" i="12"/>
  <c r="I112" i="12" s="1"/>
  <c r="J112" i="12" s="1"/>
  <c r="H111" i="12"/>
  <c r="I111" i="12" s="1"/>
  <c r="J111" i="12" s="1"/>
  <c r="H110" i="12"/>
  <c r="I110" i="12" s="1"/>
  <c r="J110" i="12" s="1"/>
  <c r="H109" i="12"/>
  <c r="I109" i="12" s="1"/>
  <c r="J109" i="12" s="1"/>
  <c r="H108" i="12"/>
  <c r="I108" i="12" s="1"/>
  <c r="J108" i="12" s="1"/>
  <c r="H107" i="12"/>
  <c r="I107" i="12" s="1"/>
  <c r="J107" i="12" s="1"/>
  <c r="H106" i="12"/>
  <c r="I106" i="12" s="1"/>
  <c r="J106" i="12" s="1"/>
  <c r="H105" i="12"/>
  <c r="I105" i="12" s="1"/>
  <c r="J105" i="12" s="1"/>
  <c r="H104" i="12"/>
  <c r="I104" i="12" s="1"/>
  <c r="J104" i="12" s="1"/>
  <c r="J103" i="12"/>
  <c r="I103" i="12"/>
  <c r="H103" i="12"/>
  <c r="H102" i="12"/>
  <c r="I102" i="12" s="1"/>
  <c r="J102" i="12" s="1"/>
  <c r="H101" i="12"/>
  <c r="I101" i="12" s="1"/>
  <c r="J101" i="12" s="1"/>
  <c r="H100" i="12"/>
  <c r="I100" i="12" s="1"/>
  <c r="J100" i="12" s="1"/>
  <c r="H99" i="12"/>
  <c r="I99" i="12" s="1"/>
  <c r="J99" i="12" s="1"/>
  <c r="H98" i="12"/>
  <c r="I98" i="12" s="1"/>
  <c r="J98" i="12" s="1"/>
  <c r="H97" i="12"/>
  <c r="I97" i="12" s="1"/>
  <c r="J97" i="12" s="1"/>
  <c r="H96" i="12"/>
  <c r="I96" i="12" s="1"/>
  <c r="J96" i="12" s="1"/>
  <c r="H95" i="12"/>
  <c r="I95" i="12" s="1"/>
  <c r="J95" i="12" s="1"/>
  <c r="H94" i="12"/>
  <c r="I94" i="12" s="1"/>
  <c r="J94" i="12" s="1"/>
  <c r="H93" i="12"/>
  <c r="I93" i="12" s="1"/>
  <c r="J93" i="12" s="1"/>
  <c r="H92" i="12"/>
  <c r="I92" i="12" s="1"/>
  <c r="J92" i="12" s="1"/>
  <c r="H91" i="12"/>
  <c r="I91" i="12" s="1"/>
  <c r="J91" i="12" s="1"/>
  <c r="H90" i="12"/>
  <c r="I90" i="12" s="1"/>
  <c r="J90" i="12" s="1"/>
  <c r="H89" i="12"/>
  <c r="I89" i="12" s="1"/>
  <c r="J89" i="12" s="1"/>
  <c r="H88" i="12"/>
  <c r="I88" i="12" s="1"/>
  <c r="J88" i="12" s="1"/>
  <c r="H87" i="12"/>
  <c r="I87" i="12" s="1"/>
  <c r="J87" i="12" s="1"/>
  <c r="H86" i="12"/>
  <c r="I86" i="12" s="1"/>
  <c r="J86" i="12" s="1"/>
  <c r="H85" i="12"/>
  <c r="I85" i="12" s="1"/>
  <c r="J85" i="12" s="1"/>
  <c r="H84" i="12"/>
  <c r="I84" i="12" s="1"/>
  <c r="J84" i="12" s="1"/>
  <c r="H83" i="12"/>
  <c r="I83" i="12" s="1"/>
  <c r="J83" i="12" s="1"/>
  <c r="H82" i="12"/>
  <c r="I82" i="12" s="1"/>
  <c r="J82" i="12" s="1"/>
  <c r="H81" i="12"/>
  <c r="I81" i="12" s="1"/>
  <c r="J81" i="12" s="1"/>
  <c r="H80" i="12"/>
  <c r="I80" i="12" s="1"/>
  <c r="J80" i="12" s="1"/>
  <c r="J79" i="12"/>
  <c r="I79" i="12"/>
  <c r="H79" i="12"/>
  <c r="H78" i="12"/>
  <c r="I78" i="12" s="1"/>
  <c r="J78" i="12" s="1"/>
  <c r="H77" i="12"/>
  <c r="I77" i="12" s="1"/>
  <c r="J77" i="12" s="1"/>
  <c r="H76" i="12"/>
  <c r="I76" i="12" s="1"/>
  <c r="J76" i="12" s="1"/>
  <c r="H75" i="12"/>
  <c r="I75" i="12" s="1"/>
  <c r="J75" i="12" s="1"/>
  <c r="H74" i="12"/>
  <c r="I74" i="12" s="1"/>
  <c r="J74" i="12" s="1"/>
  <c r="H73" i="12"/>
  <c r="I73" i="12" s="1"/>
  <c r="J73" i="12" s="1"/>
  <c r="H72" i="12"/>
  <c r="I72" i="12" s="1"/>
  <c r="J72" i="12" s="1"/>
  <c r="H71" i="12"/>
  <c r="I71" i="12" s="1"/>
  <c r="J71" i="12" s="1"/>
  <c r="H70" i="12"/>
  <c r="I70" i="12" s="1"/>
  <c r="J70" i="12" s="1"/>
  <c r="H69" i="12"/>
  <c r="I69" i="12" s="1"/>
  <c r="J69" i="12" s="1"/>
  <c r="H68" i="12"/>
  <c r="I68" i="12" s="1"/>
  <c r="J68" i="12" s="1"/>
  <c r="H67" i="12"/>
  <c r="I67" i="12" s="1"/>
  <c r="J67" i="12" s="1"/>
  <c r="H66" i="12"/>
  <c r="I66" i="12" s="1"/>
  <c r="J66" i="12" s="1"/>
  <c r="H65" i="12"/>
  <c r="I65" i="12" s="1"/>
  <c r="J65" i="12" s="1"/>
  <c r="H64" i="12"/>
  <c r="I64" i="12" s="1"/>
  <c r="J64" i="12" s="1"/>
  <c r="H63" i="12"/>
  <c r="I63" i="12" s="1"/>
  <c r="J63" i="12" s="1"/>
  <c r="H62" i="12"/>
  <c r="I62" i="12" s="1"/>
  <c r="J62" i="12" s="1"/>
  <c r="H61" i="12"/>
  <c r="I61" i="12" s="1"/>
  <c r="J61" i="12" s="1"/>
  <c r="H60" i="12"/>
  <c r="I60" i="12" s="1"/>
  <c r="J60" i="12" s="1"/>
  <c r="H59" i="12"/>
  <c r="I59" i="12" s="1"/>
  <c r="J59" i="12" s="1"/>
  <c r="H58" i="12"/>
  <c r="I58" i="12" s="1"/>
  <c r="J58" i="12" s="1"/>
  <c r="H57" i="12"/>
  <c r="I57" i="12" s="1"/>
  <c r="J57" i="12" s="1"/>
  <c r="H56" i="12"/>
  <c r="I56" i="12" s="1"/>
  <c r="J56" i="12" s="1"/>
  <c r="J55" i="12"/>
  <c r="I55" i="12"/>
  <c r="H55" i="12"/>
  <c r="H54" i="12"/>
  <c r="I54" i="12" s="1"/>
  <c r="J54" i="12" s="1"/>
  <c r="H53" i="12"/>
  <c r="I53" i="12" s="1"/>
  <c r="J53" i="12" s="1"/>
  <c r="H52" i="12"/>
  <c r="I52" i="12" s="1"/>
  <c r="J52" i="12" s="1"/>
  <c r="H51" i="12"/>
  <c r="I51" i="12" s="1"/>
  <c r="J51" i="12" s="1"/>
  <c r="H50" i="12"/>
  <c r="I50" i="12" s="1"/>
  <c r="J50" i="12" s="1"/>
  <c r="H49" i="12"/>
  <c r="I49" i="12" s="1"/>
  <c r="J49" i="12" s="1"/>
  <c r="H48" i="12"/>
  <c r="I48" i="12" s="1"/>
  <c r="J48" i="12" s="1"/>
  <c r="H47" i="12"/>
  <c r="I47" i="12" s="1"/>
  <c r="J47" i="12" s="1"/>
  <c r="H46" i="12"/>
  <c r="I46" i="12" s="1"/>
  <c r="J46" i="12" s="1"/>
  <c r="H45" i="12"/>
  <c r="I45" i="12" s="1"/>
  <c r="J45" i="12" s="1"/>
  <c r="H44" i="12"/>
  <c r="I44" i="12" s="1"/>
  <c r="J44" i="12" s="1"/>
  <c r="H43" i="12"/>
  <c r="I43" i="12" s="1"/>
  <c r="J43" i="12" s="1"/>
  <c r="H42" i="12"/>
  <c r="I42" i="12" s="1"/>
  <c r="J42" i="12" s="1"/>
  <c r="H41" i="12"/>
  <c r="I41" i="12" s="1"/>
  <c r="J41" i="12" s="1"/>
  <c r="H40" i="12"/>
  <c r="I40" i="12" s="1"/>
  <c r="J40" i="12" s="1"/>
  <c r="H39" i="12"/>
  <c r="I39" i="12" s="1"/>
  <c r="J39" i="12" s="1"/>
  <c r="H38" i="12"/>
  <c r="I38" i="12" s="1"/>
  <c r="J38" i="12" s="1"/>
  <c r="H37" i="12"/>
  <c r="I37" i="12" s="1"/>
  <c r="J37" i="12" s="1"/>
  <c r="H36" i="12"/>
  <c r="I36" i="12" s="1"/>
  <c r="J36" i="12" s="1"/>
  <c r="I35" i="12"/>
  <c r="J35" i="12" s="1"/>
  <c r="H35" i="12"/>
  <c r="H34" i="12"/>
  <c r="I34" i="12" s="1"/>
  <c r="J34" i="12" s="1"/>
  <c r="H33" i="12"/>
  <c r="I33" i="12" s="1"/>
  <c r="J33" i="12" s="1"/>
  <c r="H32" i="12"/>
  <c r="I32" i="12" s="1"/>
  <c r="J32" i="12" s="1"/>
  <c r="I31" i="12"/>
  <c r="J31" i="12" s="1"/>
  <c r="H31" i="12"/>
  <c r="H30" i="12"/>
  <c r="I30" i="12" s="1"/>
  <c r="J30" i="12" s="1"/>
  <c r="H29" i="12"/>
  <c r="I29" i="12" s="1"/>
  <c r="J29" i="12" s="1"/>
  <c r="H28" i="12"/>
  <c r="I28" i="12" s="1"/>
  <c r="J28" i="12" s="1"/>
  <c r="H27" i="12"/>
  <c r="I27" i="12" s="1"/>
  <c r="J27" i="12" s="1"/>
  <c r="J26" i="12"/>
  <c r="H26" i="12"/>
  <c r="I26" i="12" s="1"/>
  <c r="H25" i="12"/>
  <c r="I25" i="12" s="1"/>
  <c r="J25" i="12" s="1"/>
  <c r="H24" i="12"/>
  <c r="I24" i="12" s="1"/>
  <c r="J24" i="12" s="1"/>
  <c r="H23" i="12"/>
  <c r="I23" i="12" s="1"/>
  <c r="J23" i="12" s="1"/>
  <c r="I22" i="12"/>
  <c r="J22" i="12" s="1"/>
  <c r="H22" i="12"/>
  <c r="H21" i="12"/>
  <c r="I21" i="12" s="1"/>
  <c r="J21" i="12" s="1"/>
  <c r="H20" i="12"/>
  <c r="I20" i="12" s="1"/>
  <c r="J20" i="12" s="1"/>
  <c r="H19" i="12"/>
  <c r="I19" i="12" s="1"/>
  <c r="J19" i="12" s="1"/>
  <c r="I18" i="12"/>
  <c r="J18" i="12" s="1"/>
  <c r="H18" i="12"/>
  <c r="H17" i="12"/>
  <c r="I17" i="12" s="1"/>
  <c r="J17" i="12" s="1"/>
  <c r="H16" i="12"/>
  <c r="I16" i="12" s="1"/>
  <c r="J16" i="12" s="1"/>
  <c r="H15" i="12"/>
  <c r="I15" i="12" s="1"/>
  <c r="J15" i="12" s="1"/>
  <c r="I14" i="12"/>
  <c r="J14" i="12" s="1"/>
  <c r="H14" i="12"/>
  <c r="H13" i="12"/>
  <c r="I13" i="12" s="1"/>
  <c r="J13" i="12" s="1"/>
  <c r="H12" i="12"/>
  <c r="I12" i="12" s="1"/>
  <c r="J12" i="12" s="1"/>
  <c r="I11" i="12"/>
  <c r="J11" i="12" s="1"/>
  <c r="H11" i="12"/>
  <c r="I10" i="12"/>
  <c r="J10" i="12" s="1"/>
  <c r="H10" i="12"/>
  <c r="H9" i="12"/>
  <c r="I9" i="12" s="1"/>
  <c r="J9" i="12" s="1"/>
  <c r="H8" i="12"/>
  <c r="I8" i="12" s="1"/>
  <c r="J8" i="12" s="1"/>
  <c r="H7" i="12"/>
  <c r="I7" i="12" s="1"/>
  <c r="J7" i="12" s="1"/>
  <c r="J6" i="12"/>
  <c r="I6" i="12"/>
  <c r="H6" i="12"/>
  <c r="H5" i="12"/>
  <c r="I5" i="12" s="1"/>
  <c r="J5" i="12" s="1"/>
  <c r="H4" i="12"/>
  <c r="I4" i="12" s="1"/>
  <c r="J4" i="12" s="1"/>
  <c r="H3" i="12"/>
  <c r="I3" i="12" s="1"/>
  <c r="J3" i="12" s="1"/>
  <c r="I2" i="12"/>
  <c r="J2" i="12" s="1"/>
  <c r="H2" i="12"/>
  <c r="H501" i="11"/>
  <c r="I501" i="11" s="1"/>
  <c r="J501" i="11" s="1"/>
  <c r="H500" i="11"/>
  <c r="I500" i="11" s="1"/>
  <c r="J500" i="11" s="1"/>
  <c r="H499" i="11"/>
  <c r="I499" i="11" s="1"/>
  <c r="J499" i="11" s="1"/>
  <c r="H498" i="11"/>
  <c r="I498" i="11" s="1"/>
  <c r="J498" i="11" s="1"/>
  <c r="I497" i="11"/>
  <c r="J497" i="11" s="1"/>
  <c r="H497" i="11"/>
  <c r="H496" i="11"/>
  <c r="I496" i="11" s="1"/>
  <c r="J496" i="11" s="1"/>
  <c r="H495" i="11"/>
  <c r="I495" i="11" s="1"/>
  <c r="J495" i="11" s="1"/>
  <c r="H494" i="11"/>
  <c r="I494" i="11" s="1"/>
  <c r="J494" i="11" s="1"/>
  <c r="J493" i="11"/>
  <c r="I493" i="11"/>
  <c r="H493" i="11"/>
  <c r="H492" i="11"/>
  <c r="I492" i="11" s="1"/>
  <c r="J492" i="11" s="1"/>
  <c r="H491" i="11"/>
  <c r="I491" i="11" s="1"/>
  <c r="J491" i="11" s="1"/>
  <c r="I490" i="11"/>
  <c r="J490" i="11" s="1"/>
  <c r="H490" i="11"/>
  <c r="H489" i="11"/>
  <c r="I489" i="11" s="1"/>
  <c r="J489" i="11" s="1"/>
  <c r="H488" i="11"/>
  <c r="I488" i="11" s="1"/>
  <c r="J488" i="11" s="1"/>
  <c r="J487" i="11"/>
  <c r="H487" i="11"/>
  <c r="I487" i="11" s="1"/>
  <c r="H486" i="11"/>
  <c r="I486" i="11" s="1"/>
  <c r="J486" i="11" s="1"/>
  <c r="H485" i="11"/>
  <c r="I485" i="11" s="1"/>
  <c r="J485" i="11" s="1"/>
  <c r="I484" i="11"/>
  <c r="J484" i="11" s="1"/>
  <c r="H484" i="11"/>
  <c r="H483" i="11"/>
  <c r="I483" i="11" s="1"/>
  <c r="J483" i="11" s="1"/>
  <c r="I482" i="11"/>
  <c r="J482" i="11" s="1"/>
  <c r="H482" i="11"/>
  <c r="H481" i="11"/>
  <c r="I481" i="11" s="1"/>
  <c r="J481" i="11" s="1"/>
  <c r="H480" i="11"/>
  <c r="I480" i="11" s="1"/>
  <c r="J480" i="11" s="1"/>
  <c r="H479" i="11"/>
  <c r="I479" i="11" s="1"/>
  <c r="J479" i="11" s="1"/>
  <c r="H478" i="11"/>
  <c r="I478" i="11" s="1"/>
  <c r="J478" i="11" s="1"/>
  <c r="J477" i="11"/>
  <c r="I477" i="11"/>
  <c r="H477" i="11"/>
  <c r="H476" i="11"/>
  <c r="I476" i="11" s="1"/>
  <c r="J476" i="11" s="1"/>
  <c r="J475" i="11"/>
  <c r="H475" i="11"/>
  <c r="I475" i="11" s="1"/>
  <c r="I474" i="11"/>
  <c r="J474" i="11" s="1"/>
  <c r="H474" i="11"/>
  <c r="H473" i="11"/>
  <c r="I473" i="11" s="1"/>
  <c r="J473" i="11" s="1"/>
  <c r="H472" i="11"/>
  <c r="I472" i="11" s="1"/>
  <c r="J472" i="11" s="1"/>
  <c r="H471" i="11"/>
  <c r="I471" i="11" s="1"/>
  <c r="J471" i="11" s="1"/>
  <c r="H470" i="11"/>
  <c r="I470" i="11" s="1"/>
  <c r="J470" i="11" s="1"/>
  <c r="H469" i="11"/>
  <c r="I469" i="11" s="1"/>
  <c r="J469" i="11" s="1"/>
  <c r="I468" i="11"/>
  <c r="J468" i="11" s="1"/>
  <c r="H468" i="11"/>
  <c r="J467" i="11"/>
  <c r="H467" i="11"/>
  <c r="I467" i="11" s="1"/>
  <c r="H466" i="11"/>
  <c r="I466" i="11" s="1"/>
  <c r="J466" i="11" s="1"/>
  <c r="H465" i="11"/>
  <c r="I465" i="11" s="1"/>
  <c r="J465" i="11" s="1"/>
  <c r="H464" i="11"/>
  <c r="I464" i="11" s="1"/>
  <c r="J464" i="11" s="1"/>
  <c r="H463" i="11"/>
  <c r="I463" i="11" s="1"/>
  <c r="J463" i="11" s="1"/>
  <c r="I462" i="11"/>
  <c r="J462" i="11" s="1"/>
  <c r="H462" i="11"/>
  <c r="I461" i="11"/>
  <c r="J461" i="11" s="1"/>
  <c r="H461" i="11"/>
  <c r="H460" i="11"/>
  <c r="I460" i="11" s="1"/>
  <c r="J460" i="11" s="1"/>
  <c r="H459" i="11"/>
  <c r="I459" i="11" s="1"/>
  <c r="J459" i="11" s="1"/>
  <c r="I458" i="11"/>
  <c r="J458" i="11" s="1"/>
  <c r="H458" i="11"/>
  <c r="H457" i="11"/>
  <c r="I457" i="11" s="1"/>
  <c r="J457" i="11" s="1"/>
  <c r="I456" i="11"/>
  <c r="J456" i="11" s="1"/>
  <c r="H456" i="11"/>
  <c r="H455" i="11"/>
  <c r="I455" i="11" s="1"/>
  <c r="J455" i="11" s="1"/>
  <c r="H454" i="11"/>
  <c r="I454" i="11" s="1"/>
  <c r="J454" i="11" s="1"/>
  <c r="H453" i="11"/>
  <c r="I453" i="11" s="1"/>
  <c r="J453" i="11" s="1"/>
  <c r="H452" i="11"/>
  <c r="I452" i="11" s="1"/>
  <c r="J452" i="11" s="1"/>
  <c r="J451" i="11"/>
  <c r="H451" i="11"/>
  <c r="I451" i="11" s="1"/>
  <c r="H450" i="11"/>
  <c r="I450" i="11" s="1"/>
  <c r="J450" i="11" s="1"/>
  <c r="I449" i="11"/>
  <c r="J449" i="11" s="1"/>
  <c r="H449" i="11"/>
  <c r="I448" i="11"/>
  <c r="J448" i="11" s="1"/>
  <c r="H448" i="11"/>
  <c r="H447" i="11"/>
  <c r="I447" i="11" s="1"/>
  <c r="J447" i="11" s="1"/>
  <c r="J446" i="11"/>
  <c r="I446" i="11"/>
  <c r="H446" i="11"/>
  <c r="H445" i="11"/>
  <c r="I445" i="11" s="1"/>
  <c r="J445" i="11" s="1"/>
  <c r="H444" i="11"/>
  <c r="I444" i="11" s="1"/>
  <c r="J444" i="11" s="1"/>
  <c r="H443" i="11"/>
  <c r="I443" i="11" s="1"/>
  <c r="J443" i="11" s="1"/>
  <c r="J442" i="11"/>
  <c r="I442" i="11"/>
  <c r="H442" i="11"/>
  <c r="I441" i="11"/>
  <c r="J441" i="11" s="1"/>
  <c r="H441" i="11"/>
  <c r="H440" i="11"/>
  <c r="I440" i="11" s="1"/>
  <c r="J440" i="11" s="1"/>
  <c r="J439" i="11"/>
  <c r="H439" i="11"/>
  <c r="I439" i="11" s="1"/>
  <c r="H438" i="11"/>
  <c r="I438" i="11" s="1"/>
  <c r="J438" i="11" s="1"/>
  <c r="I437" i="11"/>
  <c r="J437" i="11" s="1"/>
  <c r="H437" i="11"/>
  <c r="J436" i="11"/>
  <c r="I436" i="11"/>
  <c r="H436" i="11"/>
  <c r="H435" i="11"/>
  <c r="I435" i="11" s="1"/>
  <c r="J435" i="11" s="1"/>
  <c r="H434" i="11"/>
  <c r="I434" i="11" s="1"/>
  <c r="J434" i="11" s="1"/>
  <c r="H433" i="11"/>
  <c r="I433" i="11" s="1"/>
  <c r="J433" i="11" s="1"/>
  <c r="H432" i="11"/>
  <c r="I432" i="11" s="1"/>
  <c r="J432" i="11" s="1"/>
  <c r="H431" i="11"/>
  <c r="I431" i="11" s="1"/>
  <c r="J431" i="11" s="1"/>
  <c r="J430" i="11"/>
  <c r="H430" i="11"/>
  <c r="I430" i="11" s="1"/>
  <c r="H429" i="11"/>
  <c r="I429" i="11" s="1"/>
  <c r="J429" i="11" s="1"/>
  <c r="H428" i="11"/>
  <c r="I428" i="11" s="1"/>
  <c r="J428" i="11" s="1"/>
  <c r="J427" i="11"/>
  <c r="H427" i="11"/>
  <c r="I427" i="11" s="1"/>
  <c r="I426" i="11"/>
  <c r="J426" i="11" s="1"/>
  <c r="H426" i="11"/>
  <c r="H425" i="11"/>
  <c r="I425" i="11" s="1"/>
  <c r="J425" i="11" s="1"/>
  <c r="H424" i="11"/>
  <c r="I424" i="11" s="1"/>
  <c r="J424" i="11" s="1"/>
  <c r="H423" i="11"/>
  <c r="I423" i="11" s="1"/>
  <c r="J423" i="11" s="1"/>
  <c r="H422" i="11"/>
  <c r="I422" i="11" s="1"/>
  <c r="J422" i="11" s="1"/>
  <c r="H421" i="11"/>
  <c r="I421" i="11" s="1"/>
  <c r="J421" i="11" s="1"/>
  <c r="J420" i="11"/>
  <c r="I420" i="11"/>
  <c r="H420" i="11"/>
  <c r="H419" i="11"/>
  <c r="I419" i="11" s="1"/>
  <c r="J419" i="11" s="1"/>
  <c r="H418" i="11"/>
  <c r="I418" i="11" s="1"/>
  <c r="J418" i="11" s="1"/>
  <c r="J417" i="11"/>
  <c r="H417" i="11"/>
  <c r="I417" i="11" s="1"/>
  <c r="H416" i="11"/>
  <c r="I416" i="11" s="1"/>
  <c r="J416" i="11" s="1"/>
  <c r="J415" i="11"/>
  <c r="H415" i="11"/>
  <c r="I415" i="11" s="1"/>
  <c r="I414" i="11"/>
  <c r="J414" i="11" s="1"/>
  <c r="H414" i="11"/>
  <c r="I413" i="11"/>
  <c r="J413" i="11" s="1"/>
  <c r="H413" i="11"/>
  <c r="I412" i="11"/>
  <c r="J412" i="11" s="1"/>
  <c r="H412" i="11"/>
  <c r="H411" i="11"/>
  <c r="I411" i="11" s="1"/>
  <c r="J411" i="11" s="1"/>
  <c r="J410" i="11"/>
  <c r="I410" i="11"/>
  <c r="H410" i="11"/>
  <c r="H409" i="11"/>
  <c r="I409" i="11" s="1"/>
  <c r="J409" i="11" s="1"/>
  <c r="H408" i="11"/>
  <c r="I408" i="11" s="1"/>
  <c r="J408" i="11" s="1"/>
  <c r="H407" i="11"/>
  <c r="I407" i="11" s="1"/>
  <c r="J407" i="11" s="1"/>
  <c r="I406" i="11"/>
  <c r="J406" i="11" s="1"/>
  <c r="H406" i="11"/>
  <c r="H405" i="11"/>
  <c r="I405" i="11" s="1"/>
  <c r="J405" i="11" s="1"/>
  <c r="J404" i="11"/>
  <c r="H404" i="11"/>
  <c r="I404" i="11" s="1"/>
  <c r="H403" i="11"/>
  <c r="I403" i="11" s="1"/>
  <c r="J403" i="11" s="1"/>
  <c r="H402" i="11"/>
  <c r="I402" i="11" s="1"/>
  <c r="J402" i="11" s="1"/>
  <c r="I401" i="11"/>
  <c r="J401" i="11" s="1"/>
  <c r="H401" i="11"/>
  <c r="I400" i="11"/>
  <c r="J400" i="11" s="1"/>
  <c r="H400" i="11"/>
  <c r="J399" i="11"/>
  <c r="H399" i="11"/>
  <c r="I399" i="11" s="1"/>
  <c r="H398" i="11"/>
  <c r="I398" i="11" s="1"/>
  <c r="J398" i="11" s="1"/>
  <c r="H397" i="11"/>
  <c r="I397" i="11" s="1"/>
  <c r="J397" i="11" s="1"/>
  <c r="H396" i="11"/>
  <c r="I396" i="11" s="1"/>
  <c r="J396" i="11" s="1"/>
  <c r="H395" i="11"/>
  <c r="I395" i="11" s="1"/>
  <c r="J395" i="11" s="1"/>
  <c r="I394" i="11"/>
  <c r="J394" i="11" s="1"/>
  <c r="H394" i="11"/>
  <c r="H393" i="11"/>
  <c r="I393" i="11" s="1"/>
  <c r="J393" i="11" s="1"/>
  <c r="H392" i="11"/>
  <c r="I392" i="11" s="1"/>
  <c r="J392" i="11" s="1"/>
  <c r="J391" i="11"/>
  <c r="H391" i="11"/>
  <c r="I391" i="11" s="1"/>
  <c r="H390" i="11"/>
  <c r="I390" i="11" s="1"/>
  <c r="J390" i="11" s="1"/>
  <c r="J389" i="11"/>
  <c r="I389" i="11"/>
  <c r="H389" i="11"/>
  <c r="I388" i="11"/>
  <c r="J388" i="11" s="1"/>
  <c r="H388" i="11"/>
  <c r="H387" i="11"/>
  <c r="I387" i="11" s="1"/>
  <c r="J387" i="11" s="1"/>
  <c r="H386" i="11"/>
  <c r="I386" i="11" s="1"/>
  <c r="J386" i="11" s="1"/>
  <c r="I385" i="11"/>
  <c r="J385" i="11" s="1"/>
  <c r="H385" i="11"/>
  <c r="J384" i="11"/>
  <c r="I384" i="11"/>
  <c r="H384" i="11"/>
  <c r="H383" i="11"/>
  <c r="I383" i="11" s="1"/>
  <c r="J383" i="11" s="1"/>
  <c r="H382" i="11"/>
  <c r="I382" i="11" s="1"/>
  <c r="J382" i="11" s="1"/>
  <c r="H381" i="11"/>
  <c r="I381" i="11" s="1"/>
  <c r="J381" i="11" s="1"/>
  <c r="H380" i="11"/>
  <c r="I380" i="11" s="1"/>
  <c r="J380" i="11" s="1"/>
  <c r="J379" i="11"/>
  <c r="H379" i="11"/>
  <c r="I379" i="11" s="1"/>
  <c r="I378" i="11"/>
  <c r="J378" i="11" s="1"/>
  <c r="H378" i="11"/>
  <c r="H377" i="11"/>
  <c r="I377" i="11" s="1"/>
  <c r="J377" i="11" s="1"/>
  <c r="I376" i="11"/>
  <c r="J376" i="11" s="1"/>
  <c r="H376" i="11"/>
  <c r="H375" i="11"/>
  <c r="I375" i="11" s="1"/>
  <c r="J375" i="11" s="1"/>
  <c r="H374" i="11"/>
  <c r="I374" i="11" s="1"/>
  <c r="J374" i="11" s="1"/>
  <c r="I373" i="11"/>
  <c r="J373" i="11" s="1"/>
  <c r="H373" i="11"/>
  <c r="H372" i="11"/>
  <c r="I372" i="11" s="1"/>
  <c r="J372" i="11" s="1"/>
  <c r="H371" i="11"/>
  <c r="I371" i="11" s="1"/>
  <c r="J371" i="11" s="1"/>
  <c r="H370" i="11"/>
  <c r="I370" i="11" s="1"/>
  <c r="J370" i="11" s="1"/>
  <c r="J369" i="11"/>
  <c r="H369" i="11"/>
  <c r="I369" i="11" s="1"/>
  <c r="J368" i="11"/>
  <c r="I368" i="11"/>
  <c r="H368" i="11"/>
  <c r="H367" i="11"/>
  <c r="I367" i="11" s="1"/>
  <c r="J367" i="11" s="1"/>
  <c r="I366" i="11"/>
  <c r="J366" i="11" s="1"/>
  <c r="H366" i="11"/>
  <c r="I365" i="11"/>
  <c r="J365" i="11" s="1"/>
  <c r="H365" i="11"/>
  <c r="I364" i="11"/>
  <c r="J364" i="11" s="1"/>
  <c r="H364" i="11"/>
  <c r="J363" i="11"/>
  <c r="H363" i="11"/>
  <c r="I363" i="11" s="1"/>
  <c r="H362" i="11"/>
  <c r="I362" i="11" s="1"/>
  <c r="J362" i="11" s="1"/>
  <c r="H361" i="11"/>
  <c r="I361" i="11" s="1"/>
  <c r="J361" i="11" s="1"/>
  <c r="H360" i="11"/>
  <c r="I360" i="11" s="1"/>
  <c r="J360" i="11" s="1"/>
  <c r="H359" i="11"/>
  <c r="I359" i="11" s="1"/>
  <c r="J359" i="11" s="1"/>
  <c r="J358" i="11"/>
  <c r="I358" i="11"/>
  <c r="H358" i="11"/>
  <c r="H357" i="11"/>
  <c r="I357" i="11" s="1"/>
  <c r="J357" i="11" s="1"/>
  <c r="H356" i="11"/>
  <c r="I356" i="11" s="1"/>
  <c r="J356" i="11" s="1"/>
  <c r="H355" i="11"/>
  <c r="I355" i="11" s="1"/>
  <c r="J355" i="11" s="1"/>
  <c r="H354" i="11"/>
  <c r="I354" i="11" s="1"/>
  <c r="J354" i="11" s="1"/>
  <c r="I353" i="11"/>
  <c r="J353" i="11" s="1"/>
  <c r="H353" i="11"/>
  <c r="I352" i="11"/>
  <c r="J352" i="11" s="1"/>
  <c r="H352" i="11"/>
  <c r="H351" i="11"/>
  <c r="I351" i="11" s="1"/>
  <c r="J351" i="11" s="1"/>
  <c r="H350" i="11"/>
  <c r="I350" i="11" s="1"/>
  <c r="J350" i="11" s="1"/>
  <c r="H349" i="11"/>
  <c r="I349" i="11" s="1"/>
  <c r="J349" i="11" s="1"/>
  <c r="H348" i="11"/>
  <c r="I348" i="11" s="1"/>
  <c r="J348" i="11" s="1"/>
  <c r="H347" i="11"/>
  <c r="I347" i="11" s="1"/>
  <c r="J347" i="11" s="1"/>
  <c r="H346" i="11"/>
  <c r="I346" i="11" s="1"/>
  <c r="J346" i="11" s="1"/>
  <c r="H345" i="11"/>
  <c r="I345" i="11" s="1"/>
  <c r="J345" i="11" s="1"/>
  <c r="J344" i="11"/>
  <c r="H344" i="11"/>
  <c r="I344" i="11" s="1"/>
  <c r="J343" i="11"/>
  <c r="H343" i="11"/>
  <c r="I343" i="11" s="1"/>
  <c r="J342" i="11"/>
  <c r="I342" i="11"/>
  <c r="H342" i="11"/>
  <c r="H341" i="11"/>
  <c r="I341" i="11" s="1"/>
  <c r="J341" i="11" s="1"/>
  <c r="I340" i="11"/>
  <c r="J340" i="11" s="1"/>
  <c r="H340" i="11"/>
  <c r="H339" i="11"/>
  <c r="I339" i="11" s="1"/>
  <c r="J339" i="11" s="1"/>
  <c r="I338" i="11"/>
  <c r="J338" i="11" s="1"/>
  <c r="H338" i="11"/>
  <c r="J337" i="11"/>
  <c r="I337" i="11"/>
  <c r="H337" i="11"/>
  <c r="H336" i="11"/>
  <c r="I336" i="11" s="1"/>
  <c r="J336" i="11" s="1"/>
  <c r="H335" i="11"/>
  <c r="I335" i="11" s="1"/>
  <c r="J335" i="11" s="1"/>
  <c r="H334" i="11"/>
  <c r="I334" i="11" s="1"/>
  <c r="J334" i="11" s="1"/>
  <c r="H333" i="11"/>
  <c r="I333" i="11" s="1"/>
  <c r="J333" i="11" s="1"/>
  <c r="J332" i="11"/>
  <c r="I332" i="11"/>
  <c r="H332" i="11"/>
  <c r="J331" i="11"/>
  <c r="H331" i="11"/>
  <c r="I331" i="11" s="1"/>
  <c r="I330" i="11"/>
  <c r="J330" i="11" s="1"/>
  <c r="H330" i="11"/>
  <c r="H329" i="11"/>
  <c r="I329" i="11" s="1"/>
  <c r="J329" i="11" s="1"/>
  <c r="H328" i="11"/>
  <c r="I328" i="11" s="1"/>
  <c r="J328" i="11" s="1"/>
  <c r="J327" i="11"/>
  <c r="H327" i="11"/>
  <c r="I327" i="11" s="1"/>
  <c r="H326" i="11"/>
  <c r="I326" i="11" s="1"/>
  <c r="J326" i="11" s="1"/>
  <c r="H325" i="11"/>
  <c r="I325" i="11" s="1"/>
  <c r="J325" i="11" s="1"/>
  <c r="H324" i="11"/>
  <c r="I324" i="11" s="1"/>
  <c r="J324" i="11" s="1"/>
  <c r="H323" i="11"/>
  <c r="I323" i="11" s="1"/>
  <c r="J323" i="11" s="1"/>
  <c r="H322" i="11"/>
  <c r="I322" i="11" s="1"/>
  <c r="J322" i="11" s="1"/>
  <c r="J321" i="11"/>
  <c r="H321" i="11"/>
  <c r="I321" i="11" s="1"/>
  <c r="H320" i="11"/>
  <c r="I320" i="11" s="1"/>
  <c r="J320" i="11" s="1"/>
  <c r="H319" i="11"/>
  <c r="I319" i="11" s="1"/>
  <c r="J319" i="11" s="1"/>
  <c r="J318" i="11"/>
  <c r="I318" i="11"/>
  <c r="H318" i="11"/>
  <c r="I317" i="11"/>
  <c r="J317" i="11" s="1"/>
  <c r="H317" i="11"/>
  <c r="H316" i="11"/>
  <c r="I316" i="11" s="1"/>
  <c r="J316" i="11" s="1"/>
  <c r="H315" i="11"/>
  <c r="I315" i="11" s="1"/>
  <c r="J315" i="11" s="1"/>
  <c r="H314" i="11"/>
  <c r="I314" i="11" s="1"/>
  <c r="J314" i="11" s="1"/>
  <c r="H313" i="11"/>
  <c r="I313" i="11" s="1"/>
  <c r="J313" i="11" s="1"/>
  <c r="I312" i="11"/>
  <c r="J312" i="11" s="1"/>
  <c r="H312" i="11"/>
  <c r="J311" i="11"/>
  <c r="H311" i="11"/>
  <c r="I311" i="11" s="1"/>
  <c r="H310" i="11"/>
  <c r="I310" i="11" s="1"/>
  <c r="J310" i="11" s="1"/>
  <c r="H309" i="11"/>
  <c r="I309" i="11" s="1"/>
  <c r="J309" i="11" s="1"/>
  <c r="H308" i="11"/>
  <c r="I308" i="11" s="1"/>
  <c r="J308" i="11" s="1"/>
  <c r="J307" i="11"/>
  <c r="H307" i="11"/>
  <c r="I307" i="11" s="1"/>
  <c r="I306" i="11"/>
  <c r="J306" i="11" s="1"/>
  <c r="H306" i="11"/>
  <c r="I305" i="11"/>
  <c r="J305" i="11" s="1"/>
  <c r="H305" i="11"/>
  <c r="I304" i="11"/>
  <c r="J304" i="11" s="1"/>
  <c r="H304" i="11"/>
  <c r="H303" i="11"/>
  <c r="I303" i="11" s="1"/>
  <c r="J303" i="11" s="1"/>
  <c r="I302" i="11"/>
  <c r="J302" i="11" s="1"/>
  <c r="H302" i="11"/>
  <c r="J301" i="11"/>
  <c r="I301" i="11"/>
  <c r="H301" i="11"/>
  <c r="H300" i="11"/>
  <c r="I300" i="11" s="1"/>
  <c r="J300" i="11" s="1"/>
  <c r="H299" i="11"/>
  <c r="I299" i="11" s="1"/>
  <c r="J299" i="11" s="1"/>
  <c r="I298" i="11"/>
  <c r="J298" i="11" s="1"/>
  <c r="H298" i="11"/>
  <c r="H297" i="11"/>
  <c r="I297" i="11" s="1"/>
  <c r="J297" i="11" s="1"/>
  <c r="J296" i="11"/>
  <c r="H296" i="11"/>
  <c r="I296" i="11" s="1"/>
  <c r="J295" i="11"/>
  <c r="H295" i="11"/>
  <c r="I295" i="11" s="1"/>
  <c r="H294" i="11"/>
  <c r="I294" i="11" s="1"/>
  <c r="J294" i="11" s="1"/>
  <c r="H293" i="11"/>
  <c r="I293" i="11" s="1"/>
  <c r="J293" i="11" s="1"/>
  <c r="I292" i="11"/>
  <c r="J292" i="11" s="1"/>
  <c r="H292" i="11"/>
  <c r="H291" i="11"/>
  <c r="I291" i="11" s="1"/>
  <c r="J291" i="11" s="1"/>
  <c r="I290" i="11"/>
  <c r="J290" i="11" s="1"/>
  <c r="H290" i="11"/>
  <c r="H289" i="11"/>
  <c r="I289" i="11" s="1"/>
  <c r="J289" i="11" s="1"/>
  <c r="H288" i="11"/>
  <c r="I288" i="11" s="1"/>
  <c r="J288" i="11" s="1"/>
  <c r="H287" i="11"/>
  <c r="I287" i="11" s="1"/>
  <c r="J287" i="11" s="1"/>
  <c r="H286" i="11"/>
  <c r="I286" i="11" s="1"/>
  <c r="J286" i="11" s="1"/>
  <c r="J285" i="11"/>
  <c r="I285" i="11"/>
  <c r="H285" i="11"/>
  <c r="H284" i="11"/>
  <c r="I284" i="11" s="1"/>
  <c r="J284" i="11" s="1"/>
  <c r="J283" i="11"/>
  <c r="H283" i="11"/>
  <c r="I283" i="11" s="1"/>
  <c r="I282" i="11"/>
  <c r="J282" i="11" s="1"/>
  <c r="H282" i="11"/>
  <c r="I281" i="11"/>
  <c r="J281" i="11" s="1"/>
  <c r="H281" i="11"/>
  <c r="H280" i="11"/>
  <c r="I280" i="11" s="1"/>
  <c r="J280" i="11" s="1"/>
  <c r="H279" i="11"/>
  <c r="I279" i="11" s="1"/>
  <c r="J279" i="11" s="1"/>
  <c r="H278" i="11"/>
  <c r="I278" i="11" s="1"/>
  <c r="J278" i="11" s="1"/>
  <c r="H277" i="11"/>
  <c r="I277" i="11" s="1"/>
  <c r="J277" i="11" s="1"/>
  <c r="H276" i="11"/>
  <c r="I276" i="11" s="1"/>
  <c r="J276" i="11" s="1"/>
  <c r="J275" i="11"/>
  <c r="H275" i="11"/>
  <c r="I275" i="11" s="1"/>
  <c r="H274" i="11"/>
  <c r="I274" i="11" s="1"/>
  <c r="J274" i="11" s="1"/>
  <c r="H273" i="11"/>
  <c r="I273" i="11" s="1"/>
  <c r="J273" i="11" s="1"/>
  <c r="H272" i="11"/>
  <c r="I272" i="11" s="1"/>
  <c r="J272" i="11" s="1"/>
  <c r="H271" i="11"/>
  <c r="I271" i="11" s="1"/>
  <c r="J271" i="11" s="1"/>
  <c r="I270" i="11"/>
  <c r="J270" i="11" s="1"/>
  <c r="H270" i="11"/>
  <c r="I269" i="11"/>
  <c r="J269" i="11" s="1"/>
  <c r="H269" i="11"/>
  <c r="H268" i="11"/>
  <c r="I268" i="11" s="1"/>
  <c r="J268" i="11" s="1"/>
  <c r="H267" i="11"/>
  <c r="I267" i="11" s="1"/>
  <c r="J267" i="11" s="1"/>
  <c r="I266" i="11"/>
  <c r="J266" i="11" s="1"/>
  <c r="H266" i="11"/>
  <c r="H265" i="11"/>
  <c r="I265" i="11" s="1"/>
  <c r="J265" i="11" s="1"/>
  <c r="I264" i="11"/>
  <c r="J264" i="11" s="1"/>
  <c r="H264" i="11"/>
  <c r="H263" i="11"/>
  <c r="I263" i="11" s="1"/>
  <c r="J263" i="11" s="1"/>
  <c r="H262" i="11"/>
  <c r="I262" i="11" s="1"/>
  <c r="J262" i="11" s="1"/>
  <c r="H261" i="11"/>
  <c r="I261" i="11" s="1"/>
  <c r="J261" i="11" s="1"/>
  <c r="H260" i="11"/>
  <c r="I260" i="11" s="1"/>
  <c r="J260" i="11" s="1"/>
  <c r="J259" i="11"/>
  <c r="H259" i="11"/>
  <c r="I259" i="11" s="1"/>
  <c r="H258" i="11"/>
  <c r="I258" i="11" s="1"/>
  <c r="J258" i="11" s="1"/>
  <c r="I257" i="11"/>
  <c r="J257" i="11" s="1"/>
  <c r="H257" i="11"/>
  <c r="I256" i="11"/>
  <c r="J256" i="11" s="1"/>
  <c r="H256" i="11"/>
  <c r="H255" i="11"/>
  <c r="I255" i="11" s="1"/>
  <c r="J255" i="11" s="1"/>
  <c r="J254" i="11"/>
  <c r="I254" i="11"/>
  <c r="H254" i="11"/>
  <c r="H253" i="11"/>
  <c r="I253" i="11" s="1"/>
  <c r="J253" i="11" s="1"/>
  <c r="H252" i="11"/>
  <c r="I252" i="11" s="1"/>
  <c r="J252" i="11" s="1"/>
  <c r="H251" i="11"/>
  <c r="I251" i="11" s="1"/>
  <c r="J251" i="11" s="1"/>
  <c r="H250" i="11"/>
  <c r="I250" i="11" s="1"/>
  <c r="J250" i="11" s="1"/>
  <c r="I249" i="11"/>
  <c r="J249" i="11" s="1"/>
  <c r="H249" i="11"/>
  <c r="H248" i="11"/>
  <c r="I248" i="11" s="1"/>
  <c r="J248" i="11" s="1"/>
  <c r="J247" i="11"/>
  <c r="H247" i="11"/>
  <c r="I247" i="11" s="1"/>
  <c r="H246" i="11"/>
  <c r="I246" i="11" s="1"/>
  <c r="J246" i="11" s="1"/>
  <c r="H245" i="11"/>
  <c r="I245" i="11" s="1"/>
  <c r="J245" i="11" s="1"/>
  <c r="J244" i="11"/>
  <c r="I244" i="11"/>
  <c r="H244" i="11"/>
  <c r="H243" i="11"/>
  <c r="I243" i="11" s="1"/>
  <c r="J243" i="11" s="1"/>
  <c r="H242" i="11"/>
  <c r="I242" i="11" s="1"/>
  <c r="J242" i="11" s="1"/>
  <c r="J241" i="11"/>
  <c r="H241" i="11"/>
  <c r="I241" i="11" s="1"/>
  <c r="I240" i="11"/>
  <c r="J240" i="11" s="1"/>
  <c r="H240" i="11"/>
  <c r="H239" i="11"/>
  <c r="I239" i="11" s="1"/>
  <c r="J239" i="11" s="1"/>
  <c r="J238" i="11"/>
  <c r="H238" i="11"/>
  <c r="I238" i="11" s="1"/>
  <c r="H237" i="11"/>
  <c r="I237" i="11" s="1"/>
  <c r="J237" i="11" s="1"/>
  <c r="H236" i="11"/>
  <c r="I236" i="11" s="1"/>
  <c r="J236" i="11" s="1"/>
  <c r="J235" i="11"/>
  <c r="H235" i="11"/>
  <c r="I235" i="11" s="1"/>
  <c r="I234" i="11"/>
  <c r="J234" i="11" s="1"/>
  <c r="H234" i="11"/>
  <c r="H233" i="11"/>
  <c r="I233" i="11" s="1"/>
  <c r="J233" i="11" s="1"/>
  <c r="H232" i="11"/>
  <c r="I232" i="11" s="1"/>
  <c r="J232" i="11" s="1"/>
  <c r="H231" i="11"/>
  <c r="I231" i="11" s="1"/>
  <c r="J231" i="11" s="1"/>
  <c r="H230" i="11"/>
  <c r="I230" i="11" s="1"/>
  <c r="J230" i="11" s="1"/>
  <c r="H229" i="11"/>
  <c r="I229" i="11" s="1"/>
  <c r="J229" i="11" s="1"/>
  <c r="J228" i="11"/>
  <c r="I228" i="11"/>
  <c r="H228" i="11"/>
  <c r="H227" i="11"/>
  <c r="I227" i="11" s="1"/>
  <c r="J227" i="11" s="1"/>
  <c r="H226" i="11"/>
  <c r="I226" i="11" s="1"/>
  <c r="J226" i="11" s="1"/>
  <c r="H225" i="11"/>
  <c r="I225" i="11" s="1"/>
  <c r="J225" i="11" s="1"/>
  <c r="H224" i="11"/>
  <c r="I224" i="11" s="1"/>
  <c r="J224" i="11" s="1"/>
  <c r="J223" i="11"/>
  <c r="H223" i="11"/>
  <c r="I223" i="11" s="1"/>
  <c r="I222" i="11"/>
  <c r="J222" i="11" s="1"/>
  <c r="H222" i="11"/>
  <c r="I221" i="11"/>
  <c r="J221" i="11" s="1"/>
  <c r="H221" i="11"/>
  <c r="H220" i="11"/>
  <c r="I220" i="11" s="1"/>
  <c r="J220" i="11" s="1"/>
  <c r="H219" i="11"/>
  <c r="I219" i="11" s="1"/>
  <c r="J219" i="11" s="1"/>
  <c r="J218" i="11"/>
  <c r="I218" i="11"/>
  <c r="H218" i="11"/>
  <c r="H217" i="11"/>
  <c r="I217" i="11" s="1"/>
  <c r="J217" i="11" s="1"/>
  <c r="H216" i="11"/>
  <c r="I216" i="11" s="1"/>
  <c r="J216" i="11" s="1"/>
  <c r="J215" i="11"/>
  <c r="H215" i="11"/>
  <c r="I215" i="11" s="1"/>
  <c r="H214" i="11"/>
  <c r="I214" i="11" s="1"/>
  <c r="J214" i="11" s="1"/>
  <c r="H213" i="11"/>
  <c r="I213" i="11" s="1"/>
  <c r="J213" i="11" s="1"/>
  <c r="J212" i="11"/>
  <c r="H212" i="11"/>
  <c r="I212" i="11" s="1"/>
  <c r="H211" i="11"/>
  <c r="I211" i="11" s="1"/>
  <c r="J211" i="11" s="1"/>
  <c r="H210" i="11"/>
  <c r="I210" i="11" s="1"/>
  <c r="J210" i="11" s="1"/>
  <c r="I209" i="11"/>
  <c r="J209" i="11" s="1"/>
  <c r="H209" i="11"/>
  <c r="I208" i="11"/>
  <c r="J208" i="11" s="1"/>
  <c r="H208" i="11"/>
  <c r="J207" i="11"/>
  <c r="H207" i="11"/>
  <c r="I207" i="11" s="1"/>
  <c r="H206" i="11"/>
  <c r="I206" i="11" s="1"/>
  <c r="J206" i="11" s="1"/>
  <c r="H205" i="11"/>
  <c r="I205" i="11" s="1"/>
  <c r="J205" i="11" s="1"/>
  <c r="H204" i="11"/>
  <c r="I204" i="11" s="1"/>
  <c r="J204" i="11" s="1"/>
  <c r="H203" i="11"/>
  <c r="I203" i="11" s="1"/>
  <c r="J203" i="11" s="1"/>
  <c r="J202" i="11"/>
  <c r="I202" i="11"/>
  <c r="H202" i="11"/>
  <c r="H201" i="11"/>
  <c r="I201" i="11" s="1"/>
  <c r="J201" i="11" s="1"/>
  <c r="H200" i="11"/>
  <c r="I200" i="11" s="1"/>
  <c r="J200" i="11" s="1"/>
  <c r="J199" i="11"/>
  <c r="H199" i="11"/>
  <c r="I199" i="11" s="1"/>
  <c r="H198" i="11"/>
  <c r="I198" i="11" s="1"/>
  <c r="J198" i="11" s="1"/>
  <c r="J197" i="11"/>
  <c r="I197" i="11"/>
  <c r="H197" i="11"/>
  <c r="I196" i="11"/>
  <c r="J196" i="11" s="1"/>
  <c r="H196" i="11"/>
  <c r="H195" i="11"/>
  <c r="I195" i="11" s="1"/>
  <c r="J195" i="11" s="1"/>
  <c r="H194" i="11"/>
  <c r="I194" i="11" s="1"/>
  <c r="J194" i="11" s="1"/>
  <c r="H193" i="11"/>
  <c r="I193" i="11" s="1"/>
  <c r="J193" i="11" s="1"/>
  <c r="J192" i="11"/>
  <c r="I192" i="11"/>
  <c r="H192" i="11"/>
  <c r="H191" i="11"/>
  <c r="I191" i="11" s="1"/>
  <c r="J191" i="11" s="1"/>
  <c r="H190" i="11"/>
  <c r="I190" i="11" s="1"/>
  <c r="J190" i="11" s="1"/>
  <c r="I189" i="11"/>
  <c r="J189" i="11" s="1"/>
  <c r="H189" i="11"/>
  <c r="J188" i="11"/>
  <c r="H188" i="11"/>
  <c r="I188" i="11" s="1"/>
  <c r="J187" i="11"/>
  <c r="H187" i="11"/>
  <c r="I187" i="11" s="1"/>
  <c r="I186" i="11"/>
  <c r="J186" i="11" s="1"/>
  <c r="H186" i="11"/>
  <c r="H185" i="11"/>
  <c r="I185" i="11" s="1"/>
  <c r="J185" i="11" s="1"/>
  <c r="H184" i="11"/>
  <c r="I184" i="11" s="1"/>
  <c r="J184" i="11" s="1"/>
  <c r="J183" i="11"/>
  <c r="H183" i="11"/>
  <c r="I183" i="11" s="1"/>
  <c r="H182" i="11"/>
  <c r="I182" i="11" s="1"/>
  <c r="J182" i="11" s="1"/>
  <c r="I181" i="11"/>
  <c r="J181" i="11" s="1"/>
  <c r="H181" i="11"/>
  <c r="H180" i="11"/>
  <c r="I180" i="11" s="1"/>
  <c r="J180" i="11" s="1"/>
  <c r="H179" i="11"/>
  <c r="I179" i="11" s="1"/>
  <c r="J179" i="11" s="1"/>
  <c r="H178" i="11"/>
  <c r="I178" i="11" s="1"/>
  <c r="J178" i="11" s="1"/>
  <c r="H177" i="11"/>
  <c r="I177" i="11" s="1"/>
  <c r="J177" i="11" s="1"/>
  <c r="J176" i="11"/>
  <c r="I176" i="11"/>
  <c r="H176" i="11"/>
  <c r="H175" i="11"/>
  <c r="I175" i="11" s="1"/>
  <c r="J175" i="11" s="1"/>
  <c r="I174" i="11"/>
  <c r="J174" i="11" s="1"/>
  <c r="H174" i="11"/>
  <c r="I173" i="11"/>
  <c r="J173" i="11" s="1"/>
  <c r="H173" i="11"/>
  <c r="H172" i="11"/>
  <c r="I172" i="11" s="1"/>
  <c r="J172" i="11" s="1"/>
  <c r="J171" i="11"/>
  <c r="H171" i="11"/>
  <c r="I171" i="11" s="1"/>
  <c r="H170" i="11"/>
  <c r="I170" i="11" s="1"/>
  <c r="J170" i="11" s="1"/>
  <c r="H169" i="11"/>
  <c r="I169" i="11" s="1"/>
  <c r="J169" i="11" s="1"/>
  <c r="H168" i="11"/>
  <c r="I168" i="11" s="1"/>
  <c r="J168" i="11" s="1"/>
  <c r="H167" i="11"/>
  <c r="I167" i="11" s="1"/>
  <c r="J167" i="11" s="1"/>
  <c r="I166" i="11"/>
  <c r="J166" i="11" s="1"/>
  <c r="H166" i="11"/>
  <c r="H165" i="11"/>
  <c r="I165" i="11" s="1"/>
  <c r="J165" i="11" s="1"/>
  <c r="H164" i="11"/>
  <c r="I164" i="11" s="1"/>
  <c r="J164" i="11" s="1"/>
  <c r="H163" i="11"/>
  <c r="I163" i="11" s="1"/>
  <c r="J163" i="11" s="1"/>
  <c r="H162" i="11"/>
  <c r="I162" i="11" s="1"/>
  <c r="J162" i="11" s="1"/>
  <c r="I161" i="11"/>
  <c r="J161" i="11" s="1"/>
  <c r="H161" i="11"/>
  <c r="I160" i="11"/>
  <c r="J160" i="11" s="1"/>
  <c r="H160" i="11"/>
  <c r="H159" i="11"/>
  <c r="I159" i="11" s="1"/>
  <c r="J159" i="11" s="1"/>
  <c r="H158" i="11"/>
  <c r="I158" i="11" s="1"/>
  <c r="J158" i="11" s="1"/>
  <c r="I157" i="11"/>
  <c r="J157" i="11" s="1"/>
  <c r="H157" i="11"/>
  <c r="I156" i="11"/>
  <c r="J156" i="11" s="1"/>
  <c r="H156" i="11"/>
  <c r="H155" i="11"/>
  <c r="I155" i="11" s="1"/>
  <c r="J155" i="11" s="1"/>
  <c r="H154" i="11"/>
  <c r="I154" i="11" s="1"/>
  <c r="J154" i="11" s="1"/>
  <c r="I153" i="11"/>
  <c r="J153" i="11" s="1"/>
  <c r="H153" i="11"/>
  <c r="I152" i="11"/>
  <c r="J152" i="11" s="1"/>
  <c r="H152" i="11"/>
  <c r="H151" i="11"/>
  <c r="I151" i="11" s="1"/>
  <c r="J151" i="11" s="1"/>
  <c r="H150" i="11"/>
  <c r="I150" i="11" s="1"/>
  <c r="J150" i="11" s="1"/>
  <c r="I149" i="11"/>
  <c r="J149" i="11" s="1"/>
  <c r="H149" i="11"/>
  <c r="I148" i="11"/>
  <c r="J148" i="11" s="1"/>
  <c r="H148" i="11"/>
  <c r="H147" i="11"/>
  <c r="I147" i="11" s="1"/>
  <c r="J147" i="11" s="1"/>
  <c r="I146" i="11"/>
  <c r="J146" i="11" s="1"/>
  <c r="H146" i="11"/>
  <c r="J145" i="11"/>
  <c r="I145" i="11"/>
  <c r="H145" i="11"/>
  <c r="I144" i="11"/>
  <c r="J144" i="11" s="1"/>
  <c r="H144" i="11"/>
  <c r="J143" i="11"/>
  <c r="I143" i="11"/>
  <c r="H143" i="11"/>
  <c r="H142" i="11"/>
  <c r="I142" i="11" s="1"/>
  <c r="J142" i="11" s="1"/>
  <c r="I141" i="11"/>
  <c r="J141" i="11" s="1"/>
  <c r="H141" i="11"/>
  <c r="I140" i="11"/>
  <c r="J140" i="11" s="1"/>
  <c r="H140" i="11"/>
  <c r="I139" i="11"/>
  <c r="J139" i="11" s="1"/>
  <c r="H139" i="11"/>
  <c r="H138" i="11"/>
  <c r="I138" i="11" s="1"/>
  <c r="J138" i="11" s="1"/>
  <c r="J137" i="11"/>
  <c r="I137" i="11"/>
  <c r="H137" i="11"/>
  <c r="I136" i="11"/>
  <c r="J136" i="11" s="1"/>
  <c r="H136" i="11"/>
  <c r="H135" i="11"/>
  <c r="I135" i="11" s="1"/>
  <c r="J135" i="11" s="1"/>
  <c r="H134" i="11"/>
  <c r="I134" i="11" s="1"/>
  <c r="J134" i="11" s="1"/>
  <c r="I133" i="11"/>
  <c r="J133" i="11" s="1"/>
  <c r="H133" i="11"/>
  <c r="I132" i="11"/>
  <c r="J132" i="11" s="1"/>
  <c r="H132" i="11"/>
  <c r="H131" i="11"/>
  <c r="I131" i="11" s="1"/>
  <c r="J131" i="11" s="1"/>
  <c r="J130" i="11"/>
  <c r="I130" i="11"/>
  <c r="H130" i="11"/>
  <c r="I129" i="11"/>
  <c r="J129" i="11" s="1"/>
  <c r="H129" i="11"/>
  <c r="I128" i="11"/>
  <c r="J128" i="11" s="1"/>
  <c r="H128" i="11"/>
  <c r="I127" i="11"/>
  <c r="J127" i="11" s="1"/>
  <c r="H127" i="11"/>
  <c r="I126" i="11"/>
  <c r="J126" i="11" s="1"/>
  <c r="H126" i="11"/>
  <c r="I125" i="11"/>
  <c r="J125" i="11" s="1"/>
  <c r="H125" i="11"/>
  <c r="I124" i="11"/>
  <c r="J124" i="11" s="1"/>
  <c r="H124" i="11"/>
  <c r="I123" i="11"/>
  <c r="J123" i="11" s="1"/>
  <c r="H123" i="11"/>
  <c r="H122" i="11"/>
  <c r="I122" i="11" s="1"/>
  <c r="J122" i="11" s="1"/>
  <c r="J121" i="11"/>
  <c r="I121" i="11"/>
  <c r="H121" i="11"/>
  <c r="I120" i="11"/>
  <c r="J120" i="11" s="1"/>
  <c r="H120" i="11"/>
  <c r="I119" i="11"/>
  <c r="J119" i="11" s="1"/>
  <c r="H119" i="11"/>
  <c r="J118" i="11"/>
  <c r="I118" i="11"/>
  <c r="H118" i="11"/>
  <c r="J117" i="11"/>
  <c r="I117" i="11"/>
  <c r="H117" i="11"/>
  <c r="I116" i="11"/>
  <c r="J116" i="11" s="1"/>
  <c r="H116" i="11"/>
  <c r="H115" i="11"/>
  <c r="I115" i="11" s="1"/>
  <c r="J115" i="11" s="1"/>
  <c r="I114" i="11"/>
  <c r="J114" i="11" s="1"/>
  <c r="H114" i="11"/>
  <c r="I113" i="11"/>
  <c r="J113" i="11" s="1"/>
  <c r="H113" i="11"/>
  <c r="I112" i="11"/>
  <c r="J112" i="11" s="1"/>
  <c r="H112" i="11"/>
  <c r="H111" i="11"/>
  <c r="I111" i="11" s="1"/>
  <c r="J111" i="11" s="1"/>
  <c r="H110" i="11"/>
  <c r="I110" i="11" s="1"/>
  <c r="J110" i="11" s="1"/>
  <c r="I109" i="11"/>
  <c r="J109" i="11" s="1"/>
  <c r="H109" i="11"/>
  <c r="I108" i="11"/>
  <c r="J108" i="11" s="1"/>
  <c r="H108" i="11"/>
  <c r="H107" i="11"/>
  <c r="I107" i="11" s="1"/>
  <c r="J107" i="11" s="1"/>
  <c r="H106" i="11"/>
  <c r="I106" i="11" s="1"/>
  <c r="J106" i="11" s="1"/>
  <c r="I105" i="11"/>
  <c r="J105" i="11" s="1"/>
  <c r="H105" i="11"/>
  <c r="I104" i="11"/>
  <c r="J104" i="11" s="1"/>
  <c r="H104" i="11"/>
  <c r="H103" i="11"/>
  <c r="I103" i="11" s="1"/>
  <c r="J103" i="11" s="1"/>
  <c r="H102" i="11"/>
  <c r="I102" i="11" s="1"/>
  <c r="J102" i="11" s="1"/>
  <c r="I101" i="11"/>
  <c r="J101" i="11" s="1"/>
  <c r="H101" i="11"/>
  <c r="I100" i="11"/>
  <c r="J100" i="11" s="1"/>
  <c r="H100" i="11"/>
  <c r="H99" i="11"/>
  <c r="I99" i="11" s="1"/>
  <c r="J99" i="11" s="1"/>
  <c r="H98" i="11"/>
  <c r="I98" i="11" s="1"/>
  <c r="J98" i="11" s="1"/>
  <c r="I97" i="11"/>
  <c r="J97" i="11" s="1"/>
  <c r="H97" i="11"/>
  <c r="I96" i="11"/>
  <c r="J96" i="11" s="1"/>
  <c r="H96" i="11"/>
  <c r="J95" i="11"/>
  <c r="I95" i="11"/>
  <c r="H95" i="11"/>
  <c r="H94" i="11"/>
  <c r="I94" i="11" s="1"/>
  <c r="J94" i="11" s="1"/>
  <c r="I93" i="11"/>
  <c r="J93" i="11" s="1"/>
  <c r="H93" i="11"/>
  <c r="I92" i="11"/>
  <c r="J92" i="11" s="1"/>
  <c r="H92" i="11"/>
  <c r="I91" i="11"/>
  <c r="J91" i="11" s="1"/>
  <c r="H91" i="11"/>
  <c r="H90" i="11"/>
  <c r="I90" i="11" s="1"/>
  <c r="J90" i="11" s="1"/>
  <c r="H89" i="11"/>
  <c r="I89" i="11" s="1"/>
  <c r="J89" i="11" s="1"/>
  <c r="H88" i="11"/>
  <c r="I88" i="11" s="1"/>
  <c r="J88" i="11" s="1"/>
  <c r="H87" i="11"/>
  <c r="I87" i="11" s="1"/>
  <c r="J87" i="11" s="1"/>
  <c r="H86" i="11"/>
  <c r="I86" i="11" s="1"/>
  <c r="J86" i="11" s="1"/>
  <c r="H85" i="11"/>
  <c r="I85" i="11" s="1"/>
  <c r="J85" i="11" s="1"/>
  <c r="H84" i="11"/>
  <c r="I84" i="11" s="1"/>
  <c r="J84" i="11" s="1"/>
  <c r="H83" i="11"/>
  <c r="I83" i="11" s="1"/>
  <c r="J83" i="11" s="1"/>
  <c r="J82" i="11"/>
  <c r="I82" i="11"/>
  <c r="H82" i="11"/>
  <c r="H81" i="11"/>
  <c r="I81" i="11" s="1"/>
  <c r="J81" i="11" s="1"/>
  <c r="H80" i="11"/>
  <c r="I80" i="11" s="1"/>
  <c r="J80" i="11" s="1"/>
  <c r="I79" i="11"/>
  <c r="J79" i="11" s="1"/>
  <c r="H79" i="11"/>
  <c r="I78" i="11"/>
  <c r="J78" i="11" s="1"/>
  <c r="H78" i="11"/>
  <c r="H77" i="11"/>
  <c r="I77" i="11" s="1"/>
  <c r="J77" i="11" s="1"/>
  <c r="I76" i="11"/>
  <c r="J76" i="11" s="1"/>
  <c r="H76" i="11"/>
  <c r="H75" i="11"/>
  <c r="I75" i="11" s="1"/>
  <c r="J75" i="11" s="1"/>
  <c r="I74" i="11"/>
  <c r="J74" i="11" s="1"/>
  <c r="H74" i="11"/>
  <c r="H73" i="11"/>
  <c r="I73" i="11" s="1"/>
  <c r="J73" i="11" s="1"/>
  <c r="H72" i="11"/>
  <c r="I72" i="11" s="1"/>
  <c r="J72" i="11" s="1"/>
  <c r="H71" i="11"/>
  <c r="I71" i="11" s="1"/>
  <c r="J71" i="11" s="1"/>
  <c r="H70" i="11"/>
  <c r="I70" i="11" s="1"/>
  <c r="J70" i="11" s="1"/>
  <c r="J69" i="11"/>
  <c r="I69" i="11"/>
  <c r="H69" i="11"/>
  <c r="H68" i="11"/>
  <c r="I68" i="11" s="1"/>
  <c r="J68" i="11" s="1"/>
  <c r="H67" i="11"/>
  <c r="I67" i="11" s="1"/>
  <c r="J67" i="11" s="1"/>
  <c r="I66" i="11"/>
  <c r="J66" i="11" s="1"/>
  <c r="H66" i="11"/>
  <c r="I65" i="11"/>
  <c r="J65" i="11" s="1"/>
  <c r="H65" i="11"/>
  <c r="H64" i="11"/>
  <c r="I64" i="11" s="1"/>
  <c r="J64" i="11" s="1"/>
  <c r="H63" i="11"/>
  <c r="I63" i="11" s="1"/>
  <c r="J63" i="11" s="1"/>
  <c r="I62" i="11"/>
  <c r="J62" i="11" s="1"/>
  <c r="H62" i="11"/>
  <c r="J61" i="11"/>
  <c r="I61" i="11"/>
  <c r="H61" i="11"/>
  <c r="I60" i="11"/>
  <c r="J60" i="11" s="1"/>
  <c r="H60" i="11"/>
  <c r="H59" i="11"/>
  <c r="I59" i="11" s="1"/>
  <c r="J59" i="11" s="1"/>
  <c r="H58" i="11"/>
  <c r="I58" i="11" s="1"/>
  <c r="J58" i="11" s="1"/>
  <c r="I57" i="11"/>
  <c r="J57" i="11" s="1"/>
  <c r="H57" i="11"/>
  <c r="I56" i="11"/>
  <c r="J56" i="11" s="1"/>
  <c r="H56" i="11"/>
  <c r="H55" i="11"/>
  <c r="I55" i="11" s="1"/>
  <c r="J55" i="11" s="1"/>
  <c r="H54" i="11"/>
  <c r="I54" i="11" s="1"/>
  <c r="J54" i="11" s="1"/>
  <c r="H53" i="11"/>
  <c r="I53" i="11" s="1"/>
  <c r="J53" i="11" s="1"/>
  <c r="H52" i="11"/>
  <c r="I52" i="11" s="1"/>
  <c r="J52" i="11" s="1"/>
  <c r="H51" i="11"/>
  <c r="I51" i="11" s="1"/>
  <c r="J51" i="11" s="1"/>
  <c r="I50" i="11"/>
  <c r="J50" i="11" s="1"/>
  <c r="H50" i="11"/>
  <c r="H49" i="11"/>
  <c r="I49" i="11" s="1"/>
  <c r="J49" i="11" s="1"/>
  <c r="H48" i="11"/>
  <c r="I48" i="11" s="1"/>
  <c r="J48" i="11" s="1"/>
  <c r="J47" i="11"/>
  <c r="I47" i="11"/>
  <c r="H47" i="11"/>
  <c r="H46" i="11"/>
  <c r="I46" i="11" s="1"/>
  <c r="J46" i="11" s="1"/>
  <c r="H45" i="11"/>
  <c r="I45" i="11" s="1"/>
  <c r="J45" i="11" s="1"/>
  <c r="H44" i="11"/>
  <c r="I44" i="11" s="1"/>
  <c r="J44" i="11" s="1"/>
  <c r="I43" i="11"/>
  <c r="J43" i="11" s="1"/>
  <c r="H43" i="11"/>
  <c r="H42" i="11"/>
  <c r="I42" i="11" s="1"/>
  <c r="J42" i="11" s="1"/>
  <c r="H41" i="11"/>
  <c r="I41" i="11" s="1"/>
  <c r="J41" i="11" s="1"/>
  <c r="H40" i="11"/>
  <c r="I40" i="11" s="1"/>
  <c r="J40" i="11" s="1"/>
  <c r="H39" i="11"/>
  <c r="I39" i="11" s="1"/>
  <c r="J39" i="11" s="1"/>
  <c r="H38" i="11"/>
  <c r="I38" i="11" s="1"/>
  <c r="J38" i="11" s="1"/>
  <c r="I37" i="11"/>
  <c r="J37" i="11" s="1"/>
  <c r="H37" i="11"/>
  <c r="I36" i="11"/>
  <c r="J36" i="11" s="1"/>
  <c r="H36" i="11"/>
  <c r="H35" i="11"/>
  <c r="I35" i="11" s="1"/>
  <c r="J35" i="11" s="1"/>
  <c r="J34" i="11"/>
  <c r="I34" i="11"/>
  <c r="H34" i="11"/>
  <c r="H33" i="11"/>
  <c r="I33" i="11" s="1"/>
  <c r="J33" i="11" s="1"/>
  <c r="H32" i="11"/>
  <c r="I32" i="11" s="1"/>
  <c r="J32" i="11" s="1"/>
  <c r="H31" i="11"/>
  <c r="I31" i="11" s="1"/>
  <c r="J31" i="11" s="1"/>
  <c r="I30" i="11"/>
  <c r="J30" i="11" s="1"/>
  <c r="H30" i="11"/>
  <c r="H29" i="11"/>
  <c r="I29" i="11" s="1"/>
  <c r="J29" i="11" s="1"/>
  <c r="I28" i="11"/>
  <c r="J28" i="11" s="1"/>
  <c r="H28" i="11"/>
  <c r="H27" i="11"/>
  <c r="I27" i="11" s="1"/>
  <c r="J27" i="11" s="1"/>
  <c r="H26" i="11"/>
  <c r="I26" i="11" s="1"/>
  <c r="J26" i="11" s="1"/>
  <c r="H25" i="11"/>
  <c r="I25" i="11" s="1"/>
  <c r="J25" i="11" s="1"/>
  <c r="H24" i="11"/>
  <c r="I24" i="11" s="1"/>
  <c r="J24" i="11" s="1"/>
  <c r="H23" i="11"/>
  <c r="I23" i="11" s="1"/>
  <c r="J23" i="11" s="1"/>
  <c r="H22" i="11"/>
  <c r="I22" i="11" s="1"/>
  <c r="J22" i="11" s="1"/>
  <c r="J21" i="11"/>
  <c r="I21" i="11"/>
  <c r="H21" i="11"/>
  <c r="H20" i="11"/>
  <c r="I20" i="11" s="1"/>
  <c r="J20" i="11" s="1"/>
  <c r="I19" i="11"/>
  <c r="J19" i="11" s="1"/>
  <c r="H19" i="11"/>
  <c r="J18" i="11"/>
  <c r="I18" i="11"/>
  <c r="H18" i="11"/>
  <c r="J17" i="11"/>
  <c r="I17" i="11"/>
  <c r="H17" i="11"/>
  <c r="H16" i="11"/>
  <c r="I16" i="11" s="1"/>
  <c r="J16" i="11" s="1"/>
  <c r="H15" i="11"/>
  <c r="I15" i="11" s="1"/>
  <c r="J15" i="11" s="1"/>
  <c r="H14" i="11"/>
  <c r="I14" i="11" s="1"/>
  <c r="J14" i="11" s="1"/>
  <c r="J13" i="11"/>
  <c r="I13" i="11"/>
  <c r="H13" i="11"/>
  <c r="H12" i="11"/>
  <c r="I12" i="11" s="1"/>
  <c r="J12" i="11" s="1"/>
  <c r="H11" i="11"/>
  <c r="I11" i="11" s="1"/>
  <c r="J11" i="11" s="1"/>
  <c r="H10" i="11"/>
  <c r="I10" i="11" s="1"/>
  <c r="J10" i="11" s="1"/>
  <c r="J9" i="11"/>
  <c r="I9" i="11"/>
  <c r="H9" i="11"/>
  <c r="H8" i="11"/>
  <c r="I8" i="11" s="1"/>
  <c r="J8" i="11" s="1"/>
  <c r="H7" i="11"/>
  <c r="I7" i="11" s="1"/>
  <c r="J7" i="11" s="1"/>
  <c r="H6" i="11"/>
  <c r="I6" i="11" s="1"/>
  <c r="J6" i="11" s="1"/>
  <c r="J5" i="11"/>
  <c r="I5" i="11"/>
  <c r="H5" i="11"/>
  <c r="H4" i="11"/>
  <c r="I4" i="11" s="1"/>
  <c r="J4" i="11" s="1"/>
  <c r="H3" i="11"/>
  <c r="I3" i="11" s="1"/>
  <c r="J3" i="11" s="1"/>
  <c r="H2" i="11"/>
  <c r="I2" i="11" s="1"/>
  <c r="J2" i="11" s="1"/>
  <c r="C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I501" i="8"/>
  <c r="J501" i="8" s="1"/>
  <c r="K501" i="8" s="1"/>
  <c r="I500" i="8"/>
  <c r="J500" i="8" s="1"/>
  <c r="K500" i="8" s="1"/>
  <c r="I499" i="8"/>
  <c r="J499" i="8" s="1"/>
  <c r="K499" i="8" s="1"/>
  <c r="I498" i="8"/>
  <c r="J498" i="8" s="1"/>
  <c r="K498" i="8" s="1"/>
  <c r="I497" i="8"/>
  <c r="J497" i="8" s="1"/>
  <c r="K497" i="8" s="1"/>
  <c r="I496" i="8"/>
  <c r="J496" i="8" s="1"/>
  <c r="K496" i="8" s="1"/>
  <c r="J495" i="8"/>
  <c r="K495" i="8" s="1"/>
  <c r="I495" i="8"/>
  <c r="I494" i="8"/>
  <c r="J494" i="8" s="1"/>
  <c r="K494" i="8" s="1"/>
  <c r="I493" i="8"/>
  <c r="J493" i="8" s="1"/>
  <c r="K493" i="8" s="1"/>
  <c r="I492" i="8"/>
  <c r="J492" i="8" s="1"/>
  <c r="K492" i="8" s="1"/>
  <c r="I491" i="8"/>
  <c r="J491" i="8" s="1"/>
  <c r="K491" i="8" s="1"/>
  <c r="I490" i="8"/>
  <c r="J490" i="8" s="1"/>
  <c r="K490" i="8" s="1"/>
  <c r="I489" i="8"/>
  <c r="J489" i="8" s="1"/>
  <c r="K489" i="8" s="1"/>
  <c r="I488" i="8"/>
  <c r="J488" i="8" s="1"/>
  <c r="K488" i="8" s="1"/>
  <c r="I487" i="8"/>
  <c r="J487" i="8" s="1"/>
  <c r="K487" i="8" s="1"/>
  <c r="J486" i="8"/>
  <c r="K486" i="8" s="1"/>
  <c r="I486" i="8"/>
  <c r="I485" i="8"/>
  <c r="J485" i="8" s="1"/>
  <c r="K485" i="8" s="1"/>
  <c r="I484" i="8"/>
  <c r="J484" i="8" s="1"/>
  <c r="K484" i="8" s="1"/>
  <c r="I483" i="8"/>
  <c r="J483" i="8" s="1"/>
  <c r="K483" i="8" s="1"/>
  <c r="I482" i="8"/>
  <c r="J482" i="8" s="1"/>
  <c r="K482" i="8" s="1"/>
  <c r="I481" i="8"/>
  <c r="J481" i="8" s="1"/>
  <c r="K481" i="8" s="1"/>
  <c r="I480" i="8"/>
  <c r="J480" i="8" s="1"/>
  <c r="K480" i="8" s="1"/>
  <c r="I479" i="8"/>
  <c r="J479" i="8" s="1"/>
  <c r="K479" i="8" s="1"/>
  <c r="I478" i="8"/>
  <c r="J478" i="8" s="1"/>
  <c r="K478" i="8" s="1"/>
  <c r="I477" i="8"/>
  <c r="J477" i="8" s="1"/>
  <c r="K477" i="8" s="1"/>
  <c r="J476" i="8"/>
  <c r="K476" i="8" s="1"/>
  <c r="I476" i="8"/>
  <c r="I475" i="8"/>
  <c r="J475" i="8" s="1"/>
  <c r="K475" i="8" s="1"/>
  <c r="I474" i="8"/>
  <c r="J474" i="8" s="1"/>
  <c r="K474" i="8" s="1"/>
  <c r="I473" i="8"/>
  <c r="J473" i="8" s="1"/>
  <c r="K473" i="8" s="1"/>
  <c r="I472" i="8"/>
  <c r="J472" i="8" s="1"/>
  <c r="K472" i="8" s="1"/>
  <c r="I471" i="8"/>
  <c r="J471" i="8" s="1"/>
  <c r="K471" i="8" s="1"/>
  <c r="I470" i="8"/>
  <c r="J470" i="8" s="1"/>
  <c r="K470" i="8" s="1"/>
  <c r="I469" i="8"/>
  <c r="J469" i="8" s="1"/>
  <c r="K469" i="8" s="1"/>
  <c r="I468" i="8"/>
  <c r="J468" i="8" s="1"/>
  <c r="K468" i="8" s="1"/>
  <c r="J467" i="8"/>
  <c r="K467" i="8" s="1"/>
  <c r="I467" i="8"/>
  <c r="I466" i="8"/>
  <c r="J466" i="8" s="1"/>
  <c r="K466" i="8" s="1"/>
  <c r="I465" i="8"/>
  <c r="J465" i="8" s="1"/>
  <c r="K465" i="8" s="1"/>
  <c r="I464" i="8"/>
  <c r="J464" i="8" s="1"/>
  <c r="K464" i="8" s="1"/>
  <c r="I463" i="8"/>
  <c r="J463" i="8" s="1"/>
  <c r="K463" i="8" s="1"/>
  <c r="I462" i="8"/>
  <c r="J462" i="8" s="1"/>
  <c r="K462" i="8" s="1"/>
  <c r="I461" i="8"/>
  <c r="J461" i="8" s="1"/>
  <c r="K461" i="8" s="1"/>
  <c r="I460" i="8"/>
  <c r="J460" i="8" s="1"/>
  <c r="K460" i="8" s="1"/>
  <c r="I459" i="8"/>
  <c r="J459" i="8" s="1"/>
  <c r="K459" i="8" s="1"/>
  <c r="I458" i="8"/>
  <c r="J458" i="8" s="1"/>
  <c r="K458" i="8" s="1"/>
  <c r="I457" i="8"/>
  <c r="J457" i="8" s="1"/>
  <c r="K457" i="8" s="1"/>
  <c r="J456" i="8"/>
  <c r="K456" i="8" s="1"/>
  <c r="I456" i="8"/>
  <c r="I455" i="8"/>
  <c r="J455" i="8" s="1"/>
  <c r="K455" i="8" s="1"/>
  <c r="I454" i="8"/>
  <c r="J454" i="8" s="1"/>
  <c r="K454" i="8" s="1"/>
  <c r="I453" i="8"/>
  <c r="J453" i="8" s="1"/>
  <c r="K453" i="8" s="1"/>
  <c r="J452" i="8"/>
  <c r="K452" i="8" s="1"/>
  <c r="I452" i="8"/>
  <c r="I451" i="8"/>
  <c r="J451" i="8" s="1"/>
  <c r="K451" i="8" s="1"/>
  <c r="J450" i="8"/>
  <c r="K450" i="8" s="1"/>
  <c r="I450" i="8"/>
  <c r="I449" i="8"/>
  <c r="J449" i="8" s="1"/>
  <c r="K449" i="8" s="1"/>
  <c r="I448" i="8"/>
  <c r="J448" i="8" s="1"/>
  <c r="K448" i="8" s="1"/>
  <c r="I447" i="8"/>
  <c r="J447" i="8" s="1"/>
  <c r="K447" i="8" s="1"/>
  <c r="I446" i="8"/>
  <c r="J446" i="8" s="1"/>
  <c r="K446" i="8" s="1"/>
  <c r="I445" i="8"/>
  <c r="J445" i="8" s="1"/>
  <c r="K445" i="8" s="1"/>
  <c r="I444" i="8"/>
  <c r="J444" i="8" s="1"/>
  <c r="K444" i="8" s="1"/>
  <c r="I443" i="8"/>
  <c r="J443" i="8" s="1"/>
  <c r="K443" i="8" s="1"/>
  <c r="I442" i="8"/>
  <c r="J442" i="8" s="1"/>
  <c r="K442" i="8" s="1"/>
  <c r="J441" i="8"/>
  <c r="K441" i="8" s="1"/>
  <c r="I441" i="8"/>
  <c r="I440" i="8"/>
  <c r="J440" i="8" s="1"/>
  <c r="K440" i="8" s="1"/>
  <c r="I439" i="8"/>
  <c r="J439" i="8" s="1"/>
  <c r="K439" i="8" s="1"/>
  <c r="I438" i="8"/>
  <c r="J438" i="8" s="1"/>
  <c r="K438" i="8" s="1"/>
  <c r="I437" i="8"/>
  <c r="J437" i="8" s="1"/>
  <c r="K437" i="8" s="1"/>
  <c r="I436" i="8"/>
  <c r="J436" i="8" s="1"/>
  <c r="K436" i="8" s="1"/>
  <c r="I435" i="8"/>
  <c r="J435" i="8" s="1"/>
  <c r="K435" i="8" s="1"/>
  <c r="I434" i="8"/>
  <c r="J434" i="8" s="1"/>
  <c r="K434" i="8" s="1"/>
  <c r="I433" i="8"/>
  <c r="J433" i="8" s="1"/>
  <c r="K433" i="8" s="1"/>
  <c r="J432" i="8"/>
  <c r="K432" i="8" s="1"/>
  <c r="I432" i="8"/>
  <c r="I431" i="8"/>
  <c r="J431" i="8" s="1"/>
  <c r="K431" i="8" s="1"/>
  <c r="I430" i="8"/>
  <c r="J430" i="8" s="1"/>
  <c r="K430" i="8" s="1"/>
  <c r="I429" i="8"/>
  <c r="J429" i="8" s="1"/>
  <c r="K429" i="8" s="1"/>
  <c r="I428" i="8"/>
  <c r="J428" i="8" s="1"/>
  <c r="K428" i="8" s="1"/>
  <c r="I427" i="8"/>
  <c r="J427" i="8" s="1"/>
  <c r="K427" i="8" s="1"/>
  <c r="I426" i="8"/>
  <c r="J426" i="8" s="1"/>
  <c r="K426" i="8" s="1"/>
  <c r="I425" i="8"/>
  <c r="J425" i="8" s="1"/>
  <c r="K425" i="8" s="1"/>
  <c r="I424" i="8"/>
  <c r="J424" i="8" s="1"/>
  <c r="K424" i="8" s="1"/>
  <c r="I423" i="8"/>
  <c r="J423" i="8" s="1"/>
  <c r="K423" i="8" s="1"/>
  <c r="I422" i="8"/>
  <c r="J422" i="8" s="1"/>
  <c r="K422" i="8" s="1"/>
  <c r="I421" i="8"/>
  <c r="J421" i="8" s="1"/>
  <c r="K421" i="8" s="1"/>
  <c r="I420" i="8"/>
  <c r="J420" i="8" s="1"/>
  <c r="K420" i="8" s="1"/>
  <c r="I419" i="8"/>
  <c r="J419" i="8" s="1"/>
  <c r="K419" i="8" s="1"/>
  <c r="I418" i="8"/>
  <c r="J418" i="8" s="1"/>
  <c r="K418" i="8" s="1"/>
  <c r="I417" i="8"/>
  <c r="J417" i="8" s="1"/>
  <c r="K417" i="8" s="1"/>
  <c r="I416" i="8"/>
  <c r="J416" i="8" s="1"/>
  <c r="K416" i="8" s="1"/>
  <c r="I415" i="8"/>
  <c r="J415" i="8" s="1"/>
  <c r="K415" i="8" s="1"/>
  <c r="I414" i="8"/>
  <c r="J414" i="8" s="1"/>
  <c r="K414" i="8" s="1"/>
  <c r="I413" i="8"/>
  <c r="J413" i="8" s="1"/>
  <c r="K413" i="8" s="1"/>
  <c r="I412" i="8"/>
  <c r="J412" i="8" s="1"/>
  <c r="K412" i="8" s="1"/>
  <c r="I411" i="8"/>
  <c r="J411" i="8" s="1"/>
  <c r="K411" i="8" s="1"/>
  <c r="I410" i="8"/>
  <c r="J410" i="8" s="1"/>
  <c r="K410" i="8" s="1"/>
  <c r="I409" i="8"/>
  <c r="J409" i="8" s="1"/>
  <c r="K409" i="8" s="1"/>
  <c r="K408" i="8"/>
  <c r="J408" i="8"/>
  <c r="I408" i="8"/>
  <c r="I407" i="8"/>
  <c r="J407" i="8" s="1"/>
  <c r="K407" i="8" s="1"/>
  <c r="I406" i="8"/>
  <c r="J406" i="8" s="1"/>
  <c r="K406" i="8" s="1"/>
  <c r="I405" i="8"/>
  <c r="J405" i="8" s="1"/>
  <c r="K405" i="8" s="1"/>
  <c r="I404" i="8"/>
  <c r="J404" i="8" s="1"/>
  <c r="K404" i="8" s="1"/>
  <c r="I403" i="8"/>
  <c r="J403" i="8" s="1"/>
  <c r="K403" i="8" s="1"/>
  <c r="I402" i="8"/>
  <c r="J402" i="8" s="1"/>
  <c r="K402" i="8" s="1"/>
  <c r="I401" i="8"/>
  <c r="J401" i="8" s="1"/>
  <c r="K401" i="8" s="1"/>
  <c r="I400" i="8"/>
  <c r="J400" i="8" s="1"/>
  <c r="K400" i="8" s="1"/>
  <c r="I399" i="8"/>
  <c r="J399" i="8" s="1"/>
  <c r="K399" i="8" s="1"/>
  <c r="I398" i="8"/>
  <c r="J398" i="8" s="1"/>
  <c r="K398" i="8" s="1"/>
  <c r="I397" i="8"/>
  <c r="J397" i="8" s="1"/>
  <c r="K397" i="8" s="1"/>
  <c r="I396" i="8"/>
  <c r="J396" i="8" s="1"/>
  <c r="K396" i="8" s="1"/>
  <c r="I395" i="8"/>
  <c r="J395" i="8" s="1"/>
  <c r="K395" i="8" s="1"/>
  <c r="I394" i="8"/>
  <c r="J394" i="8" s="1"/>
  <c r="K394" i="8" s="1"/>
  <c r="I393" i="8"/>
  <c r="J393" i="8" s="1"/>
  <c r="K393" i="8" s="1"/>
  <c r="I392" i="8"/>
  <c r="J392" i="8" s="1"/>
  <c r="K392" i="8" s="1"/>
  <c r="J391" i="8"/>
  <c r="K391" i="8" s="1"/>
  <c r="I391" i="8"/>
  <c r="I390" i="8"/>
  <c r="J390" i="8" s="1"/>
  <c r="K390" i="8" s="1"/>
  <c r="I389" i="8"/>
  <c r="J389" i="8" s="1"/>
  <c r="K389" i="8" s="1"/>
  <c r="I388" i="8"/>
  <c r="J388" i="8" s="1"/>
  <c r="K388" i="8" s="1"/>
  <c r="I387" i="8"/>
  <c r="J387" i="8" s="1"/>
  <c r="K387" i="8" s="1"/>
  <c r="I386" i="8"/>
  <c r="J386" i="8" s="1"/>
  <c r="K386" i="8" s="1"/>
  <c r="I385" i="8"/>
  <c r="J385" i="8" s="1"/>
  <c r="K385" i="8" s="1"/>
  <c r="J384" i="8"/>
  <c r="K384" i="8" s="1"/>
  <c r="I384" i="8"/>
  <c r="I383" i="8"/>
  <c r="J383" i="8" s="1"/>
  <c r="K383" i="8" s="1"/>
  <c r="K382" i="8"/>
  <c r="J382" i="8"/>
  <c r="I382" i="8"/>
  <c r="I381" i="8"/>
  <c r="J381" i="8" s="1"/>
  <c r="K381" i="8" s="1"/>
  <c r="I380" i="8"/>
  <c r="J380" i="8" s="1"/>
  <c r="K380" i="8" s="1"/>
  <c r="I379" i="8"/>
  <c r="J379" i="8" s="1"/>
  <c r="K379" i="8" s="1"/>
  <c r="I378" i="8"/>
  <c r="J378" i="8" s="1"/>
  <c r="K378" i="8" s="1"/>
  <c r="I377" i="8"/>
  <c r="J377" i="8" s="1"/>
  <c r="K377" i="8" s="1"/>
  <c r="I376" i="8"/>
  <c r="J376" i="8" s="1"/>
  <c r="K376" i="8" s="1"/>
  <c r="I375" i="8"/>
  <c r="J375" i="8" s="1"/>
  <c r="K375" i="8" s="1"/>
  <c r="I374" i="8"/>
  <c r="J374" i="8" s="1"/>
  <c r="K374" i="8" s="1"/>
  <c r="J373" i="8"/>
  <c r="K373" i="8" s="1"/>
  <c r="I373" i="8"/>
  <c r="I372" i="8"/>
  <c r="J372" i="8" s="1"/>
  <c r="K372" i="8" s="1"/>
  <c r="I371" i="8"/>
  <c r="J371" i="8" s="1"/>
  <c r="K371" i="8" s="1"/>
  <c r="I370" i="8"/>
  <c r="J370" i="8" s="1"/>
  <c r="K370" i="8" s="1"/>
  <c r="J369" i="8"/>
  <c r="K369" i="8" s="1"/>
  <c r="I369" i="8"/>
  <c r="I368" i="8"/>
  <c r="J368" i="8" s="1"/>
  <c r="K368" i="8" s="1"/>
  <c r="J367" i="8"/>
  <c r="K367" i="8" s="1"/>
  <c r="I367" i="8"/>
  <c r="I366" i="8"/>
  <c r="J366" i="8" s="1"/>
  <c r="K366" i="8" s="1"/>
  <c r="I365" i="8"/>
  <c r="J365" i="8" s="1"/>
  <c r="K365" i="8" s="1"/>
  <c r="I364" i="8"/>
  <c r="J364" i="8" s="1"/>
  <c r="K364" i="8" s="1"/>
  <c r="I363" i="8"/>
  <c r="J363" i="8" s="1"/>
  <c r="K363" i="8" s="1"/>
  <c r="I362" i="8"/>
  <c r="J362" i="8" s="1"/>
  <c r="K362" i="8" s="1"/>
  <c r="I361" i="8"/>
  <c r="J361" i="8" s="1"/>
  <c r="K361" i="8" s="1"/>
  <c r="J360" i="8"/>
  <c r="K360" i="8" s="1"/>
  <c r="I360" i="8"/>
  <c r="I359" i="8"/>
  <c r="J359" i="8" s="1"/>
  <c r="K359" i="8" s="1"/>
  <c r="J358" i="8"/>
  <c r="K358" i="8" s="1"/>
  <c r="I358" i="8"/>
  <c r="I357" i="8"/>
  <c r="J357" i="8" s="1"/>
  <c r="K357" i="8" s="1"/>
  <c r="J356" i="8"/>
  <c r="K356" i="8" s="1"/>
  <c r="I356" i="8"/>
  <c r="I355" i="8"/>
  <c r="J355" i="8" s="1"/>
  <c r="K355" i="8" s="1"/>
  <c r="I354" i="8"/>
  <c r="J354" i="8" s="1"/>
  <c r="K354" i="8" s="1"/>
  <c r="I353" i="8"/>
  <c r="J353" i="8" s="1"/>
  <c r="K353" i="8" s="1"/>
  <c r="I352" i="8"/>
  <c r="J352" i="8" s="1"/>
  <c r="K352" i="8" s="1"/>
  <c r="I351" i="8"/>
  <c r="J351" i="8" s="1"/>
  <c r="K351" i="8" s="1"/>
  <c r="I350" i="8"/>
  <c r="J350" i="8" s="1"/>
  <c r="K350" i="8" s="1"/>
  <c r="I349" i="8"/>
  <c r="J349" i="8" s="1"/>
  <c r="K349" i="8" s="1"/>
  <c r="I348" i="8"/>
  <c r="J348" i="8" s="1"/>
  <c r="K348" i="8" s="1"/>
  <c r="J347" i="8"/>
  <c r="K347" i="8" s="1"/>
  <c r="I347" i="8"/>
  <c r="I346" i="8"/>
  <c r="J346" i="8" s="1"/>
  <c r="K346" i="8" s="1"/>
  <c r="I345" i="8"/>
  <c r="J345" i="8" s="1"/>
  <c r="K345" i="8" s="1"/>
  <c r="I344" i="8"/>
  <c r="J344" i="8" s="1"/>
  <c r="K344" i="8" s="1"/>
  <c r="I343" i="8"/>
  <c r="J343" i="8" s="1"/>
  <c r="K343" i="8" s="1"/>
  <c r="I342" i="8"/>
  <c r="J342" i="8" s="1"/>
  <c r="K342" i="8" s="1"/>
  <c r="I341" i="8"/>
  <c r="J341" i="8" s="1"/>
  <c r="K341" i="8" s="1"/>
  <c r="I340" i="8"/>
  <c r="J340" i="8" s="1"/>
  <c r="K340" i="8" s="1"/>
  <c r="I339" i="8"/>
  <c r="J339" i="8" s="1"/>
  <c r="K339" i="8" s="1"/>
  <c r="I338" i="8"/>
  <c r="J338" i="8" s="1"/>
  <c r="K338" i="8" s="1"/>
  <c r="I337" i="8"/>
  <c r="J337" i="8" s="1"/>
  <c r="K337" i="8" s="1"/>
  <c r="I336" i="8"/>
  <c r="J336" i="8" s="1"/>
  <c r="K336" i="8" s="1"/>
  <c r="I335" i="8"/>
  <c r="J335" i="8" s="1"/>
  <c r="K335" i="8" s="1"/>
  <c r="I334" i="8"/>
  <c r="J334" i="8" s="1"/>
  <c r="K334" i="8" s="1"/>
  <c r="I333" i="8"/>
  <c r="J333" i="8" s="1"/>
  <c r="K333" i="8" s="1"/>
  <c r="I332" i="8"/>
  <c r="J332" i="8" s="1"/>
  <c r="K332" i="8" s="1"/>
  <c r="I331" i="8"/>
  <c r="J331" i="8" s="1"/>
  <c r="K331" i="8" s="1"/>
  <c r="J330" i="8"/>
  <c r="K330" i="8" s="1"/>
  <c r="I330" i="8"/>
  <c r="I329" i="8"/>
  <c r="J329" i="8" s="1"/>
  <c r="K329" i="8" s="1"/>
  <c r="I328" i="8"/>
  <c r="J328" i="8" s="1"/>
  <c r="K328" i="8" s="1"/>
  <c r="I327" i="8"/>
  <c r="J327" i="8" s="1"/>
  <c r="K327" i="8" s="1"/>
  <c r="I326" i="8"/>
  <c r="J326" i="8" s="1"/>
  <c r="K326" i="8" s="1"/>
  <c r="I325" i="8"/>
  <c r="J325" i="8" s="1"/>
  <c r="K325" i="8" s="1"/>
  <c r="I324" i="8"/>
  <c r="J324" i="8" s="1"/>
  <c r="K324" i="8" s="1"/>
  <c r="J323" i="8"/>
  <c r="K323" i="8" s="1"/>
  <c r="I323" i="8"/>
  <c r="I322" i="8"/>
  <c r="J322" i="8" s="1"/>
  <c r="K322" i="8" s="1"/>
  <c r="I321" i="8"/>
  <c r="J321" i="8" s="1"/>
  <c r="K321" i="8" s="1"/>
  <c r="I320" i="8"/>
  <c r="J320" i="8" s="1"/>
  <c r="K320" i="8" s="1"/>
  <c r="I319" i="8"/>
  <c r="J319" i="8" s="1"/>
  <c r="K319" i="8" s="1"/>
  <c r="I318" i="8"/>
  <c r="J318" i="8" s="1"/>
  <c r="K318" i="8" s="1"/>
  <c r="I317" i="8"/>
  <c r="J317" i="8" s="1"/>
  <c r="K317" i="8" s="1"/>
  <c r="I316" i="8"/>
  <c r="J316" i="8" s="1"/>
  <c r="K316" i="8" s="1"/>
  <c r="I315" i="8"/>
  <c r="J315" i="8" s="1"/>
  <c r="K315" i="8" s="1"/>
  <c r="K314" i="8"/>
  <c r="I314" i="8"/>
  <c r="J314" i="8" s="1"/>
  <c r="I313" i="8"/>
  <c r="J313" i="8" s="1"/>
  <c r="K313" i="8" s="1"/>
  <c r="I312" i="8"/>
  <c r="J312" i="8" s="1"/>
  <c r="K312" i="8" s="1"/>
  <c r="I311" i="8"/>
  <c r="J311" i="8" s="1"/>
  <c r="K311" i="8" s="1"/>
  <c r="J310" i="8"/>
  <c r="K310" i="8" s="1"/>
  <c r="I310" i="8"/>
  <c r="I309" i="8"/>
  <c r="J309" i="8" s="1"/>
  <c r="K309" i="8" s="1"/>
  <c r="J308" i="8"/>
  <c r="K308" i="8" s="1"/>
  <c r="I308" i="8"/>
  <c r="I307" i="8"/>
  <c r="J307" i="8" s="1"/>
  <c r="K307" i="8" s="1"/>
  <c r="I306" i="8"/>
  <c r="J306" i="8" s="1"/>
  <c r="K306" i="8" s="1"/>
  <c r="I305" i="8"/>
  <c r="J305" i="8" s="1"/>
  <c r="K305" i="8" s="1"/>
  <c r="I304" i="8"/>
  <c r="J304" i="8" s="1"/>
  <c r="K304" i="8" s="1"/>
  <c r="I303" i="8"/>
  <c r="J303" i="8" s="1"/>
  <c r="K303" i="8" s="1"/>
  <c r="I302" i="8"/>
  <c r="J302" i="8" s="1"/>
  <c r="K302" i="8" s="1"/>
  <c r="I301" i="8"/>
  <c r="J301" i="8" s="1"/>
  <c r="K301" i="8" s="1"/>
  <c r="I300" i="8"/>
  <c r="J300" i="8" s="1"/>
  <c r="K300" i="8" s="1"/>
  <c r="J299" i="8"/>
  <c r="K299" i="8" s="1"/>
  <c r="I299" i="8"/>
  <c r="I298" i="8"/>
  <c r="J298" i="8" s="1"/>
  <c r="K298" i="8" s="1"/>
  <c r="I297" i="8"/>
  <c r="J297" i="8" s="1"/>
  <c r="K297" i="8" s="1"/>
  <c r="I296" i="8"/>
  <c r="J296" i="8" s="1"/>
  <c r="K296" i="8" s="1"/>
  <c r="I295" i="8"/>
  <c r="J295" i="8" s="1"/>
  <c r="K295" i="8" s="1"/>
  <c r="I294" i="8"/>
  <c r="J294" i="8" s="1"/>
  <c r="K294" i="8" s="1"/>
  <c r="I293" i="8"/>
  <c r="J293" i="8" s="1"/>
  <c r="K293" i="8" s="1"/>
  <c r="I292" i="8"/>
  <c r="J292" i="8" s="1"/>
  <c r="K292" i="8" s="1"/>
  <c r="I291" i="8"/>
  <c r="J291" i="8" s="1"/>
  <c r="K291" i="8" s="1"/>
  <c r="I290" i="8"/>
  <c r="J290" i="8" s="1"/>
  <c r="K290" i="8" s="1"/>
  <c r="J289" i="8"/>
  <c r="K289" i="8" s="1"/>
  <c r="I289" i="8"/>
  <c r="J288" i="8"/>
  <c r="K288" i="8" s="1"/>
  <c r="I288" i="8"/>
  <c r="I287" i="8"/>
  <c r="J287" i="8" s="1"/>
  <c r="K287" i="8" s="1"/>
  <c r="I286" i="8"/>
  <c r="J286" i="8" s="1"/>
  <c r="K286" i="8" s="1"/>
  <c r="I285" i="8"/>
  <c r="J285" i="8" s="1"/>
  <c r="K285" i="8" s="1"/>
  <c r="I284" i="8"/>
  <c r="J284" i="8" s="1"/>
  <c r="K284" i="8" s="1"/>
  <c r="I283" i="8"/>
  <c r="J283" i="8" s="1"/>
  <c r="K283" i="8" s="1"/>
  <c r="J282" i="8"/>
  <c r="K282" i="8" s="1"/>
  <c r="I282" i="8"/>
  <c r="I281" i="8"/>
  <c r="J281" i="8" s="1"/>
  <c r="K281" i="8" s="1"/>
  <c r="I280" i="8"/>
  <c r="J280" i="8" s="1"/>
  <c r="K280" i="8" s="1"/>
  <c r="I279" i="8"/>
  <c r="J279" i="8" s="1"/>
  <c r="K279" i="8" s="1"/>
  <c r="I278" i="8"/>
  <c r="J278" i="8" s="1"/>
  <c r="K278" i="8" s="1"/>
  <c r="I277" i="8"/>
  <c r="J277" i="8" s="1"/>
  <c r="K277" i="8" s="1"/>
  <c r="I276" i="8"/>
  <c r="J276" i="8" s="1"/>
  <c r="K276" i="8" s="1"/>
  <c r="I275" i="8"/>
  <c r="J275" i="8" s="1"/>
  <c r="K275" i="8" s="1"/>
  <c r="I274" i="8"/>
  <c r="J274" i="8" s="1"/>
  <c r="K274" i="8" s="1"/>
  <c r="J273" i="8"/>
  <c r="K273" i="8" s="1"/>
  <c r="I273" i="8"/>
  <c r="I272" i="8"/>
  <c r="J272" i="8" s="1"/>
  <c r="K272" i="8" s="1"/>
  <c r="I271" i="8"/>
  <c r="J271" i="8" s="1"/>
  <c r="K271" i="8" s="1"/>
  <c r="I270" i="8"/>
  <c r="J270" i="8" s="1"/>
  <c r="K270" i="8" s="1"/>
  <c r="I269" i="8"/>
  <c r="J269" i="8" s="1"/>
  <c r="K269" i="8" s="1"/>
  <c r="I268" i="8"/>
  <c r="J268" i="8" s="1"/>
  <c r="K268" i="8" s="1"/>
  <c r="I267" i="8"/>
  <c r="J267" i="8" s="1"/>
  <c r="K267" i="8" s="1"/>
  <c r="I266" i="8"/>
  <c r="J266" i="8" s="1"/>
  <c r="K266" i="8" s="1"/>
  <c r="I265" i="8"/>
  <c r="J265" i="8" s="1"/>
  <c r="K265" i="8" s="1"/>
  <c r="I264" i="8"/>
  <c r="J264" i="8" s="1"/>
  <c r="K264" i="8" s="1"/>
  <c r="I263" i="8"/>
  <c r="J263" i="8" s="1"/>
  <c r="K263" i="8" s="1"/>
  <c r="I262" i="8"/>
  <c r="J262" i="8" s="1"/>
  <c r="K262" i="8" s="1"/>
  <c r="I261" i="8"/>
  <c r="J261" i="8" s="1"/>
  <c r="K261" i="8" s="1"/>
  <c r="J260" i="8"/>
  <c r="K260" i="8" s="1"/>
  <c r="I260" i="8"/>
  <c r="I259" i="8"/>
  <c r="J259" i="8" s="1"/>
  <c r="K259" i="8" s="1"/>
  <c r="I258" i="8"/>
  <c r="J258" i="8" s="1"/>
  <c r="K258" i="8" s="1"/>
  <c r="I257" i="8"/>
  <c r="J257" i="8" s="1"/>
  <c r="K257" i="8" s="1"/>
  <c r="I256" i="8"/>
  <c r="J256" i="8" s="1"/>
  <c r="K256" i="8" s="1"/>
  <c r="I255" i="8"/>
  <c r="J255" i="8" s="1"/>
  <c r="K255" i="8" s="1"/>
  <c r="I254" i="8"/>
  <c r="J254" i="8" s="1"/>
  <c r="K254" i="8" s="1"/>
  <c r="I253" i="8"/>
  <c r="J253" i="8" s="1"/>
  <c r="K253" i="8" s="1"/>
  <c r="I252" i="8"/>
  <c r="J252" i="8" s="1"/>
  <c r="K252" i="8" s="1"/>
  <c r="I251" i="8"/>
  <c r="J251" i="8" s="1"/>
  <c r="K251" i="8" s="1"/>
  <c r="I250" i="8"/>
  <c r="J250" i="8" s="1"/>
  <c r="K250" i="8" s="1"/>
  <c r="I249" i="8"/>
  <c r="J249" i="8" s="1"/>
  <c r="K249" i="8" s="1"/>
  <c r="I248" i="8"/>
  <c r="J248" i="8" s="1"/>
  <c r="K248" i="8" s="1"/>
  <c r="J247" i="8"/>
  <c r="K247" i="8" s="1"/>
  <c r="I247" i="8"/>
  <c r="I246" i="8"/>
  <c r="J246" i="8" s="1"/>
  <c r="K246" i="8" s="1"/>
  <c r="I245" i="8"/>
  <c r="J245" i="8" s="1"/>
  <c r="K245" i="8" s="1"/>
  <c r="I244" i="8"/>
  <c r="J244" i="8" s="1"/>
  <c r="K244" i="8" s="1"/>
  <c r="I243" i="8"/>
  <c r="J243" i="8" s="1"/>
  <c r="K243" i="8" s="1"/>
  <c r="I242" i="8"/>
  <c r="J242" i="8" s="1"/>
  <c r="K242" i="8" s="1"/>
  <c r="J241" i="8"/>
  <c r="K241" i="8" s="1"/>
  <c r="I241" i="8"/>
  <c r="J240" i="8"/>
  <c r="K240" i="8" s="1"/>
  <c r="I240" i="8"/>
  <c r="I239" i="8"/>
  <c r="J239" i="8" s="1"/>
  <c r="K239" i="8" s="1"/>
  <c r="I238" i="8"/>
  <c r="J238" i="8" s="1"/>
  <c r="K238" i="8" s="1"/>
  <c r="I237" i="8"/>
  <c r="J237" i="8" s="1"/>
  <c r="K237" i="8" s="1"/>
  <c r="I236" i="8"/>
  <c r="J236" i="8" s="1"/>
  <c r="K236" i="8" s="1"/>
  <c r="I235" i="8"/>
  <c r="J235" i="8" s="1"/>
  <c r="K235" i="8" s="1"/>
  <c r="I234" i="8"/>
  <c r="J234" i="8" s="1"/>
  <c r="K234" i="8" s="1"/>
  <c r="I233" i="8"/>
  <c r="J233" i="8" s="1"/>
  <c r="K233" i="8" s="1"/>
  <c r="I232" i="8"/>
  <c r="J232" i="8" s="1"/>
  <c r="K232" i="8" s="1"/>
  <c r="I231" i="8"/>
  <c r="J231" i="8" s="1"/>
  <c r="K231" i="8" s="1"/>
  <c r="I230" i="8"/>
  <c r="J230" i="8" s="1"/>
  <c r="K230" i="8" s="1"/>
  <c r="I229" i="8"/>
  <c r="J229" i="8" s="1"/>
  <c r="K229" i="8" s="1"/>
  <c r="I228" i="8"/>
  <c r="J228" i="8" s="1"/>
  <c r="K228" i="8" s="1"/>
  <c r="I227" i="8"/>
  <c r="J227" i="8" s="1"/>
  <c r="K227" i="8" s="1"/>
  <c r="I226" i="8"/>
  <c r="J226" i="8" s="1"/>
  <c r="K226" i="8" s="1"/>
  <c r="J225" i="8"/>
  <c r="K225" i="8" s="1"/>
  <c r="I225" i="8"/>
  <c r="I224" i="8"/>
  <c r="J224" i="8" s="1"/>
  <c r="K224" i="8" s="1"/>
  <c r="I223" i="8"/>
  <c r="J223" i="8" s="1"/>
  <c r="K223" i="8" s="1"/>
  <c r="I222" i="8"/>
  <c r="J222" i="8" s="1"/>
  <c r="K222" i="8" s="1"/>
  <c r="I221" i="8"/>
  <c r="J221" i="8" s="1"/>
  <c r="K221" i="8" s="1"/>
  <c r="I220" i="8"/>
  <c r="J220" i="8" s="1"/>
  <c r="K220" i="8" s="1"/>
  <c r="I219" i="8"/>
  <c r="J219" i="8" s="1"/>
  <c r="K219" i="8" s="1"/>
  <c r="I218" i="8"/>
  <c r="J218" i="8" s="1"/>
  <c r="K218" i="8" s="1"/>
  <c r="I217" i="8"/>
  <c r="J217" i="8" s="1"/>
  <c r="K217" i="8" s="1"/>
  <c r="I216" i="8"/>
  <c r="J216" i="8" s="1"/>
  <c r="K216" i="8" s="1"/>
  <c r="J215" i="8"/>
  <c r="K215" i="8" s="1"/>
  <c r="I215" i="8"/>
  <c r="J214" i="8"/>
  <c r="K214" i="8" s="1"/>
  <c r="I214" i="8"/>
  <c r="I213" i="8"/>
  <c r="J213" i="8" s="1"/>
  <c r="K213" i="8" s="1"/>
  <c r="I212" i="8"/>
  <c r="J212" i="8" s="1"/>
  <c r="K212" i="8" s="1"/>
  <c r="I211" i="8"/>
  <c r="J211" i="8" s="1"/>
  <c r="K211" i="8" s="1"/>
  <c r="K210" i="8"/>
  <c r="I210" i="8"/>
  <c r="J210" i="8" s="1"/>
  <c r="I209" i="8"/>
  <c r="J209" i="8" s="1"/>
  <c r="K209" i="8" s="1"/>
  <c r="I208" i="8"/>
  <c r="J208" i="8" s="1"/>
  <c r="K208" i="8" s="1"/>
  <c r="I207" i="8"/>
  <c r="J207" i="8" s="1"/>
  <c r="K207" i="8" s="1"/>
  <c r="I206" i="8"/>
  <c r="J206" i="8" s="1"/>
  <c r="K206" i="8" s="1"/>
  <c r="J205" i="8"/>
  <c r="K205" i="8" s="1"/>
  <c r="I205" i="8"/>
  <c r="I204" i="8"/>
  <c r="J204" i="8" s="1"/>
  <c r="K204" i="8" s="1"/>
  <c r="I203" i="8"/>
  <c r="J203" i="8" s="1"/>
  <c r="K203" i="8" s="1"/>
  <c r="I202" i="8"/>
  <c r="J202" i="8" s="1"/>
  <c r="K202" i="8" s="1"/>
  <c r="J201" i="8"/>
  <c r="K201" i="8" s="1"/>
  <c r="I201" i="8"/>
  <c r="I200" i="8"/>
  <c r="J200" i="8" s="1"/>
  <c r="K200" i="8" s="1"/>
  <c r="I199" i="8"/>
  <c r="J199" i="8" s="1"/>
  <c r="K199" i="8" s="1"/>
  <c r="I198" i="8"/>
  <c r="J198" i="8" s="1"/>
  <c r="K198" i="8" s="1"/>
  <c r="I197" i="8"/>
  <c r="J197" i="8" s="1"/>
  <c r="K197" i="8" s="1"/>
  <c r="I196" i="8"/>
  <c r="J196" i="8" s="1"/>
  <c r="K196" i="8" s="1"/>
  <c r="I195" i="8"/>
  <c r="J195" i="8" s="1"/>
  <c r="K195" i="8" s="1"/>
  <c r="I194" i="8"/>
  <c r="J194" i="8" s="1"/>
  <c r="K194" i="8" s="1"/>
  <c r="I193" i="8"/>
  <c r="J193" i="8" s="1"/>
  <c r="K193" i="8" s="1"/>
  <c r="I192" i="8"/>
  <c r="J192" i="8" s="1"/>
  <c r="K192" i="8" s="1"/>
  <c r="I191" i="8"/>
  <c r="J191" i="8" s="1"/>
  <c r="K191" i="8" s="1"/>
  <c r="I190" i="8"/>
  <c r="J190" i="8" s="1"/>
  <c r="K190" i="8" s="1"/>
  <c r="I189" i="8"/>
  <c r="J189" i="8" s="1"/>
  <c r="K189" i="8" s="1"/>
  <c r="J188" i="8"/>
  <c r="K188" i="8" s="1"/>
  <c r="I188" i="8"/>
  <c r="I187" i="8"/>
  <c r="J187" i="8" s="1"/>
  <c r="K187" i="8" s="1"/>
  <c r="I186" i="8"/>
  <c r="J186" i="8" s="1"/>
  <c r="K186" i="8" s="1"/>
  <c r="I185" i="8"/>
  <c r="J185" i="8" s="1"/>
  <c r="K185" i="8" s="1"/>
  <c r="I184" i="8"/>
  <c r="J184" i="8" s="1"/>
  <c r="K184" i="8" s="1"/>
  <c r="I183" i="8"/>
  <c r="J183" i="8" s="1"/>
  <c r="K183" i="8" s="1"/>
  <c r="I182" i="8"/>
  <c r="J182" i="8" s="1"/>
  <c r="K182" i="8" s="1"/>
  <c r="J181" i="8"/>
  <c r="K181" i="8" s="1"/>
  <c r="I181" i="8"/>
  <c r="I180" i="8"/>
  <c r="J180" i="8" s="1"/>
  <c r="K180" i="8" s="1"/>
  <c r="J179" i="8"/>
  <c r="K179" i="8" s="1"/>
  <c r="I179" i="8"/>
  <c r="I178" i="8"/>
  <c r="J178" i="8" s="1"/>
  <c r="K178" i="8" s="1"/>
  <c r="I177" i="8"/>
  <c r="J177" i="8" s="1"/>
  <c r="K177" i="8" s="1"/>
  <c r="I176" i="8"/>
  <c r="J176" i="8" s="1"/>
  <c r="K176" i="8" s="1"/>
  <c r="I175" i="8"/>
  <c r="J175" i="8" s="1"/>
  <c r="K175" i="8" s="1"/>
  <c r="I174" i="8"/>
  <c r="J174" i="8" s="1"/>
  <c r="K174" i="8" s="1"/>
  <c r="I173" i="8"/>
  <c r="J173" i="8" s="1"/>
  <c r="K173" i="8" s="1"/>
  <c r="I172" i="8"/>
  <c r="J172" i="8" s="1"/>
  <c r="K172" i="8" s="1"/>
  <c r="J171" i="8"/>
  <c r="K171" i="8" s="1"/>
  <c r="I171" i="8"/>
  <c r="I170" i="8"/>
  <c r="J170" i="8" s="1"/>
  <c r="K170" i="8" s="1"/>
  <c r="I169" i="8"/>
  <c r="J169" i="8" s="1"/>
  <c r="K169" i="8" s="1"/>
  <c r="I168" i="8"/>
  <c r="J168" i="8" s="1"/>
  <c r="K168" i="8" s="1"/>
  <c r="I167" i="8"/>
  <c r="J167" i="8" s="1"/>
  <c r="K167" i="8" s="1"/>
  <c r="I166" i="8"/>
  <c r="J166" i="8" s="1"/>
  <c r="K166" i="8" s="1"/>
  <c r="I165" i="8"/>
  <c r="J165" i="8" s="1"/>
  <c r="K165" i="8" s="1"/>
  <c r="J164" i="8"/>
  <c r="K164" i="8" s="1"/>
  <c r="I164" i="8"/>
  <c r="I163" i="8"/>
  <c r="J163" i="8" s="1"/>
  <c r="K163" i="8" s="1"/>
  <c r="I162" i="8"/>
  <c r="J162" i="8" s="1"/>
  <c r="K162" i="8" s="1"/>
  <c r="I161" i="8"/>
  <c r="J161" i="8" s="1"/>
  <c r="K161" i="8" s="1"/>
  <c r="I160" i="8"/>
  <c r="J160" i="8" s="1"/>
  <c r="K160" i="8" s="1"/>
  <c r="I159" i="8"/>
  <c r="J159" i="8" s="1"/>
  <c r="K159" i="8" s="1"/>
  <c r="I158" i="8"/>
  <c r="J158" i="8" s="1"/>
  <c r="K158" i="8" s="1"/>
  <c r="I157" i="8"/>
  <c r="J157" i="8" s="1"/>
  <c r="K157" i="8" s="1"/>
  <c r="I156" i="8"/>
  <c r="J156" i="8" s="1"/>
  <c r="K156" i="8" s="1"/>
  <c r="I155" i="8"/>
  <c r="J155" i="8" s="1"/>
  <c r="K155" i="8" s="1"/>
  <c r="K154" i="8"/>
  <c r="J154" i="8"/>
  <c r="I154" i="8"/>
  <c r="J153" i="8"/>
  <c r="K153" i="8" s="1"/>
  <c r="I153" i="8"/>
  <c r="I152" i="8"/>
  <c r="J152" i="8" s="1"/>
  <c r="K152" i="8" s="1"/>
  <c r="I151" i="8"/>
  <c r="J151" i="8" s="1"/>
  <c r="K151" i="8" s="1"/>
  <c r="I150" i="8"/>
  <c r="J150" i="8" s="1"/>
  <c r="K150" i="8" s="1"/>
  <c r="I149" i="8"/>
  <c r="J149" i="8" s="1"/>
  <c r="K149" i="8" s="1"/>
  <c r="I148" i="8"/>
  <c r="J148" i="8" s="1"/>
  <c r="K148" i="8" s="1"/>
  <c r="I147" i="8"/>
  <c r="J147" i="8" s="1"/>
  <c r="K147" i="8" s="1"/>
  <c r="I146" i="8"/>
  <c r="J146" i="8" s="1"/>
  <c r="K146" i="8" s="1"/>
  <c r="I145" i="8"/>
  <c r="J145" i="8" s="1"/>
  <c r="K145" i="8" s="1"/>
  <c r="I144" i="8"/>
  <c r="J144" i="8" s="1"/>
  <c r="K144" i="8" s="1"/>
  <c r="I143" i="8"/>
  <c r="J143" i="8" s="1"/>
  <c r="K143" i="8" s="1"/>
  <c r="J142" i="8"/>
  <c r="K142" i="8" s="1"/>
  <c r="I142" i="8"/>
  <c r="I141" i="8"/>
  <c r="J141" i="8" s="1"/>
  <c r="K141" i="8" s="1"/>
  <c r="I140" i="8"/>
  <c r="J140" i="8" s="1"/>
  <c r="K140" i="8" s="1"/>
  <c r="I139" i="8"/>
  <c r="J139" i="8" s="1"/>
  <c r="K139" i="8" s="1"/>
  <c r="I138" i="8"/>
  <c r="J138" i="8" s="1"/>
  <c r="K138" i="8" s="1"/>
  <c r="I137" i="8"/>
  <c r="J137" i="8" s="1"/>
  <c r="K137" i="8" s="1"/>
  <c r="I136" i="8"/>
  <c r="J136" i="8" s="1"/>
  <c r="K136" i="8" s="1"/>
  <c r="I135" i="8"/>
  <c r="J135" i="8" s="1"/>
  <c r="K135" i="8" s="1"/>
  <c r="I134" i="8"/>
  <c r="J134" i="8" s="1"/>
  <c r="K134" i="8" s="1"/>
  <c r="I133" i="8"/>
  <c r="J133" i="8" s="1"/>
  <c r="K133" i="8" s="1"/>
  <c r="I132" i="8"/>
  <c r="J132" i="8" s="1"/>
  <c r="K132" i="8" s="1"/>
  <c r="I131" i="8"/>
  <c r="J131" i="8" s="1"/>
  <c r="K131" i="8" s="1"/>
  <c r="I130" i="8"/>
  <c r="J130" i="8" s="1"/>
  <c r="K130" i="8" s="1"/>
  <c r="I129" i="8"/>
  <c r="J129" i="8" s="1"/>
  <c r="K129" i="8" s="1"/>
  <c r="I128" i="8"/>
  <c r="J128" i="8" s="1"/>
  <c r="K128" i="8" s="1"/>
  <c r="I127" i="8"/>
  <c r="J127" i="8" s="1"/>
  <c r="K127" i="8" s="1"/>
  <c r="I126" i="8"/>
  <c r="J126" i="8" s="1"/>
  <c r="K126" i="8" s="1"/>
  <c r="I125" i="8"/>
  <c r="J125" i="8" s="1"/>
  <c r="K125" i="8" s="1"/>
  <c r="I124" i="8"/>
  <c r="J124" i="8" s="1"/>
  <c r="K124" i="8" s="1"/>
  <c r="I123" i="8"/>
  <c r="J123" i="8" s="1"/>
  <c r="K123" i="8" s="1"/>
  <c r="K122" i="8"/>
  <c r="I122" i="8"/>
  <c r="J122" i="8" s="1"/>
  <c r="I121" i="8"/>
  <c r="J121" i="8" s="1"/>
  <c r="K121" i="8" s="1"/>
  <c r="I120" i="8"/>
  <c r="J120" i="8" s="1"/>
  <c r="K120" i="8" s="1"/>
  <c r="I119" i="8"/>
  <c r="J119" i="8" s="1"/>
  <c r="K119" i="8" s="1"/>
  <c r="I118" i="8"/>
  <c r="J118" i="8" s="1"/>
  <c r="K118" i="8" s="1"/>
  <c r="I117" i="8"/>
  <c r="J117" i="8" s="1"/>
  <c r="K117" i="8" s="1"/>
  <c r="I116" i="8"/>
  <c r="J116" i="8" s="1"/>
  <c r="K116" i="8" s="1"/>
  <c r="I115" i="8"/>
  <c r="J115" i="8" s="1"/>
  <c r="K115" i="8" s="1"/>
  <c r="I114" i="8"/>
  <c r="J114" i="8" s="1"/>
  <c r="K114" i="8" s="1"/>
  <c r="I113" i="8"/>
  <c r="J113" i="8" s="1"/>
  <c r="K113" i="8" s="1"/>
  <c r="I112" i="8"/>
  <c r="J112" i="8" s="1"/>
  <c r="K112" i="8" s="1"/>
  <c r="I111" i="8"/>
  <c r="J111" i="8" s="1"/>
  <c r="K111" i="8" s="1"/>
  <c r="I110" i="8"/>
  <c r="J110" i="8" s="1"/>
  <c r="K110" i="8" s="1"/>
  <c r="I109" i="8"/>
  <c r="J109" i="8" s="1"/>
  <c r="K109" i="8" s="1"/>
  <c r="I108" i="8"/>
  <c r="J108" i="8" s="1"/>
  <c r="K108" i="8" s="1"/>
  <c r="I107" i="8"/>
  <c r="J107" i="8" s="1"/>
  <c r="K107" i="8" s="1"/>
  <c r="K106" i="8"/>
  <c r="I106" i="8"/>
  <c r="J106" i="8" s="1"/>
  <c r="I105" i="8"/>
  <c r="J105" i="8" s="1"/>
  <c r="K105" i="8" s="1"/>
  <c r="I104" i="8"/>
  <c r="J104" i="8" s="1"/>
  <c r="K104" i="8" s="1"/>
  <c r="I103" i="8"/>
  <c r="J103" i="8" s="1"/>
  <c r="K103" i="8" s="1"/>
  <c r="I102" i="8"/>
  <c r="J102" i="8" s="1"/>
  <c r="K102" i="8" s="1"/>
  <c r="I101" i="8"/>
  <c r="J101" i="8" s="1"/>
  <c r="K101" i="8" s="1"/>
  <c r="I100" i="8"/>
  <c r="J100" i="8" s="1"/>
  <c r="K100" i="8" s="1"/>
  <c r="I99" i="8"/>
  <c r="J99" i="8" s="1"/>
  <c r="K99" i="8" s="1"/>
  <c r="K98" i="8"/>
  <c r="J98" i="8"/>
  <c r="I98" i="8"/>
  <c r="I97" i="8"/>
  <c r="J97" i="8" s="1"/>
  <c r="K97" i="8" s="1"/>
  <c r="I96" i="8"/>
  <c r="J96" i="8" s="1"/>
  <c r="K96" i="8" s="1"/>
  <c r="I95" i="8"/>
  <c r="J95" i="8" s="1"/>
  <c r="K95" i="8" s="1"/>
  <c r="I94" i="8"/>
  <c r="J94" i="8" s="1"/>
  <c r="K94" i="8" s="1"/>
  <c r="I93" i="8"/>
  <c r="J93" i="8" s="1"/>
  <c r="K93" i="8" s="1"/>
  <c r="I92" i="8"/>
  <c r="J92" i="8" s="1"/>
  <c r="K92" i="8" s="1"/>
  <c r="I91" i="8"/>
  <c r="J91" i="8" s="1"/>
  <c r="K91" i="8" s="1"/>
  <c r="I90" i="8"/>
  <c r="J90" i="8" s="1"/>
  <c r="K90" i="8" s="1"/>
  <c r="J89" i="8"/>
  <c r="K89" i="8" s="1"/>
  <c r="I89" i="8"/>
  <c r="I88" i="8"/>
  <c r="J88" i="8" s="1"/>
  <c r="K88" i="8" s="1"/>
  <c r="I87" i="8"/>
  <c r="J87" i="8" s="1"/>
  <c r="K87" i="8" s="1"/>
  <c r="I86" i="8"/>
  <c r="J86" i="8" s="1"/>
  <c r="K86" i="8" s="1"/>
  <c r="I85" i="8"/>
  <c r="J85" i="8" s="1"/>
  <c r="K85" i="8" s="1"/>
  <c r="I84" i="8"/>
  <c r="J84" i="8" s="1"/>
  <c r="K84" i="8" s="1"/>
  <c r="I83" i="8"/>
  <c r="J83" i="8" s="1"/>
  <c r="K83" i="8" s="1"/>
  <c r="I82" i="8"/>
  <c r="J82" i="8" s="1"/>
  <c r="K82" i="8" s="1"/>
  <c r="I81" i="8"/>
  <c r="J81" i="8" s="1"/>
  <c r="K81" i="8" s="1"/>
  <c r="I80" i="8"/>
  <c r="J80" i="8" s="1"/>
  <c r="K80" i="8" s="1"/>
  <c r="I79" i="8"/>
  <c r="J79" i="8" s="1"/>
  <c r="K79" i="8" s="1"/>
  <c r="I78" i="8"/>
  <c r="J78" i="8" s="1"/>
  <c r="K78" i="8" s="1"/>
  <c r="I77" i="8"/>
  <c r="J77" i="8" s="1"/>
  <c r="K77" i="8" s="1"/>
  <c r="I76" i="8"/>
  <c r="J76" i="8" s="1"/>
  <c r="K76" i="8" s="1"/>
  <c r="I75" i="8"/>
  <c r="J75" i="8" s="1"/>
  <c r="K75" i="8" s="1"/>
  <c r="I74" i="8"/>
  <c r="J74" i="8" s="1"/>
  <c r="K74" i="8" s="1"/>
  <c r="I73" i="8"/>
  <c r="J73" i="8" s="1"/>
  <c r="K73" i="8" s="1"/>
  <c r="I72" i="8"/>
  <c r="J72" i="8" s="1"/>
  <c r="K72" i="8" s="1"/>
  <c r="I71" i="8"/>
  <c r="J71" i="8" s="1"/>
  <c r="K71" i="8" s="1"/>
  <c r="I70" i="8"/>
  <c r="J70" i="8" s="1"/>
  <c r="K70" i="8" s="1"/>
  <c r="I69" i="8"/>
  <c r="J69" i="8" s="1"/>
  <c r="K69" i="8" s="1"/>
  <c r="I68" i="8"/>
  <c r="J68" i="8" s="1"/>
  <c r="K68" i="8" s="1"/>
  <c r="I67" i="8"/>
  <c r="J67" i="8" s="1"/>
  <c r="K67" i="8" s="1"/>
  <c r="J66" i="8"/>
  <c r="K66" i="8" s="1"/>
  <c r="I66" i="8"/>
  <c r="I65" i="8"/>
  <c r="J65" i="8" s="1"/>
  <c r="K65" i="8" s="1"/>
  <c r="I64" i="8"/>
  <c r="J64" i="8" s="1"/>
  <c r="K64" i="8" s="1"/>
  <c r="I63" i="8"/>
  <c r="J63" i="8" s="1"/>
  <c r="K63" i="8" s="1"/>
  <c r="I62" i="8"/>
  <c r="J62" i="8" s="1"/>
  <c r="K62" i="8" s="1"/>
  <c r="I61" i="8"/>
  <c r="J61" i="8" s="1"/>
  <c r="K61" i="8" s="1"/>
  <c r="I60" i="8"/>
  <c r="J60" i="8" s="1"/>
  <c r="K60" i="8" s="1"/>
  <c r="I59" i="8"/>
  <c r="J59" i="8" s="1"/>
  <c r="K59" i="8" s="1"/>
  <c r="I58" i="8"/>
  <c r="J58" i="8" s="1"/>
  <c r="K58" i="8" s="1"/>
  <c r="I57" i="8"/>
  <c r="J57" i="8" s="1"/>
  <c r="K57" i="8" s="1"/>
  <c r="I56" i="8"/>
  <c r="J56" i="8" s="1"/>
  <c r="K56" i="8" s="1"/>
  <c r="I55" i="8"/>
  <c r="J55" i="8" s="1"/>
  <c r="K55" i="8" s="1"/>
  <c r="I54" i="8"/>
  <c r="J54" i="8" s="1"/>
  <c r="K54" i="8" s="1"/>
  <c r="I53" i="8"/>
  <c r="J53" i="8" s="1"/>
  <c r="K53" i="8" s="1"/>
  <c r="I52" i="8"/>
  <c r="J52" i="8" s="1"/>
  <c r="K52" i="8" s="1"/>
  <c r="I51" i="8"/>
  <c r="J51" i="8" s="1"/>
  <c r="K51" i="8" s="1"/>
  <c r="I50" i="8"/>
  <c r="J50" i="8" s="1"/>
  <c r="K50" i="8" s="1"/>
  <c r="I49" i="8"/>
  <c r="J49" i="8" s="1"/>
  <c r="K49" i="8" s="1"/>
  <c r="I48" i="8"/>
  <c r="J48" i="8" s="1"/>
  <c r="K48" i="8" s="1"/>
  <c r="I47" i="8"/>
  <c r="J47" i="8" s="1"/>
  <c r="K47" i="8" s="1"/>
  <c r="I46" i="8"/>
  <c r="J46" i="8" s="1"/>
  <c r="K46" i="8" s="1"/>
  <c r="J45" i="8"/>
  <c r="K45" i="8" s="1"/>
  <c r="I45" i="8"/>
  <c r="I44" i="8"/>
  <c r="J44" i="8" s="1"/>
  <c r="K44" i="8" s="1"/>
  <c r="I43" i="8"/>
  <c r="J43" i="8" s="1"/>
  <c r="K43" i="8" s="1"/>
  <c r="I42" i="8"/>
  <c r="J42" i="8" s="1"/>
  <c r="K42" i="8" s="1"/>
  <c r="K41" i="8"/>
  <c r="I41" i="8"/>
  <c r="J41" i="8" s="1"/>
  <c r="I40" i="8"/>
  <c r="J40" i="8" s="1"/>
  <c r="K40" i="8" s="1"/>
  <c r="I39" i="8"/>
  <c r="J39" i="8" s="1"/>
  <c r="K39" i="8" s="1"/>
  <c r="I38" i="8"/>
  <c r="J38" i="8" s="1"/>
  <c r="K38" i="8" s="1"/>
  <c r="I37" i="8"/>
  <c r="J37" i="8" s="1"/>
  <c r="K37" i="8" s="1"/>
  <c r="J36" i="8"/>
  <c r="K36" i="8" s="1"/>
  <c r="I36" i="8"/>
  <c r="I35" i="8"/>
  <c r="J35" i="8" s="1"/>
  <c r="K35" i="8" s="1"/>
  <c r="I34" i="8"/>
  <c r="J34" i="8" s="1"/>
  <c r="K34" i="8" s="1"/>
  <c r="I33" i="8"/>
  <c r="J33" i="8" s="1"/>
  <c r="K33" i="8" s="1"/>
  <c r="I32" i="8"/>
  <c r="J32" i="8" s="1"/>
  <c r="K32" i="8" s="1"/>
  <c r="I31" i="8"/>
  <c r="J31" i="8" s="1"/>
  <c r="K31" i="8" s="1"/>
  <c r="I30" i="8"/>
  <c r="J30" i="8" s="1"/>
  <c r="K30" i="8" s="1"/>
  <c r="I29" i="8"/>
  <c r="J29" i="8" s="1"/>
  <c r="K29" i="8" s="1"/>
  <c r="I28" i="8"/>
  <c r="J28" i="8" s="1"/>
  <c r="K28" i="8" s="1"/>
  <c r="J27" i="8"/>
  <c r="K27" i="8" s="1"/>
  <c r="I27" i="8"/>
  <c r="I26" i="8"/>
  <c r="J26" i="8" s="1"/>
  <c r="K26" i="8" s="1"/>
  <c r="I25" i="8"/>
  <c r="J25" i="8" s="1"/>
  <c r="K25" i="8" s="1"/>
  <c r="I24" i="8"/>
  <c r="J24" i="8" s="1"/>
  <c r="K24" i="8" s="1"/>
  <c r="I23" i="8"/>
  <c r="J23" i="8" s="1"/>
  <c r="K23" i="8" s="1"/>
  <c r="J22" i="8"/>
  <c r="K22" i="8" s="1"/>
  <c r="I22" i="8"/>
  <c r="I21" i="8"/>
  <c r="J21" i="8" s="1"/>
  <c r="K21" i="8" s="1"/>
  <c r="I20" i="8"/>
  <c r="J20" i="8" s="1"/>
  <c r="K20" i="8" s="1"/>
  <c r="I19" i="8"/>
  <c r="J19" i="8" s="1"/>
  <c r="K19" i="8" s="1"/>
  <c r="J18" i="8"/>
  <c r="K18" i="8" s="1"/>
  <c r="I18" i="8"/>
  <c r="I17" i="8"/>
  <c r="J17" i="8" s="1"/>
  <c r="K17" i="8" s="1"/>
  <c r="I16" i="8"/>
  <c r="J16" i="8" s="1"/>
  <c r="K16" i="8" s="1"/>
  <c r="I15" i="8"/>
  <c r="J15" i="8" s="1"/>
  <c r="K15" i="8" s="1"/>
  <c r="I14" i="8"/>
  <c r="J14" i="8" s="1"/>
  <c r="K14" i="8" s="1"/>
  <c r="I13" i="8"/>
  <c r="J13" i="8" s="1"/>
  <c r="K13" i="8" s="1"/>
  <c r="I12" i="8"/>
  <c r="J12" i="8" s="1"/>
  <c r="K12" i="8" s="1"/>
  <c r="I11" i="8"/>
  <c r="J11" i="8" s="1"/>
  <c r="K11" i="8" s="1"/>
  <c r="J10" i="8"/>
  <c r="K10" i="8" s="1"/>
  <c r="I10" i="8"/>
  <c r="I9" i="8"/>
  <c r="J9" i="8" s="1"/>
  <c r="K9" i="8" s="1"/>
  <c r="I8" i="8"/>
  <c r="J8" i="8" s="1"/>
  <c r="K8" i="8" s="1"/>
  <c r="I7" i="8"/>
  <c r="J7" i="8" s="1"/>
  <c r="K7" i="8" s="1"/>
  <c r="I6" i="8"/>
  <c r="J6" i="8" s="1"/>
  <c r="K6" i="8" s="1"/>
  <c r="I5" i="8"/>
  <c r="J5" i="8" s="1"/>
  <c r="K5" i="8" s="1"/>
  <c r="I4" i="8"/>
  <c r="J4" i="8" s="1"/>
  <c r="K4" i="8" s="1"/>
  <c r="I3" i="8"/>
  <c r="J3" i="8" s="1"/>
  <c r="K3" i="8" s="1"/>
  <c r="K2" i="8"/>
  <c r="J2" i="8"/>
  <c r="I2" i="8"/>
  <c r="H10"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2"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H2" i="4"/>
  <c r="H3" i="4"/>
  <c r="H4" i="4"/>
  <c r="H5" i="4"/>
  <c r="H6" i="4"/>
  <c r="H7" i="4"/>
  <c r="H8" i="4"/>
  <c r="H9"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alcChain>
</file>

<file path=xl/sharedStrings.xml><?xml version="1.0" encoding="utf-8"?>
<sst xmlns="http://schemas.openxmlformats.org/spreadsheetml/2006/main" count="11322" uniqueCount="1444">
  <si>
    <t>Restaurant_ID</t>
  </si>
  <si>
    <t>Restaurant_Name</t>
  </si>
  <si>
    <t>City</t>
  </si>
  <si>
    <t>Owner</t>
  </si>
  <si>
    <t>Rating</t>
  </si>
  <si>
    <t>R001</t>
  </si>
  <si>
    <t>Restaurant_1</t>
  </si>
  <si>
    <t>Bangalore</t>
  </si>
  <si>
    <t>Owner_1</t>
  </si>
  <si>
    <t>R002</t>
  </si>
  <si>
    <t>Restaurant_2</t>
  </si>
  <si>
    <t>Pune</t>
  </si>
  <si>
    <t>Owner_2</t>
  </si>
  <si>
    <t>R003</t>
  </si>
  <si>
    <t>Restaurant_3</t>
  </si>
  <si>
    <t>Hyderabad</t>
  </si>
  <si>
    <t>Owner_3</t>
  </si>
  <si>
    <t>R004</t>
  </si>
  <si>
    <t>Restaurant_4</t>
  </si>
  <si>
    <t>Owner_4</t>
  </si>
  <si>
    <t>R005</t>
  </si>
  <si>
    <t>Restaurant_5</t>
  </si>
  <si>
    <t>Mumbai</t>
  </si>
  <si>
    <t>Owner_5</t>
  </si>
  <si>
    <t>R006</t>
  </si>
  <si>
    <t>Restaurant_6</t>
  </si>
  <si>
    <t>Owner_6</t>
  </si>
  <si>
    <t>R007</t>
  </si>
  <si>
    <t>Restaurant_7</t>
  </si>
  <si>
    <t>Owner_7</t>
  </si>
  <si>
    <t>R008</t>
  </si>
  <si>
    <t>Restaurant_8</t>
  </si>
  <si>
    <t>Owner_8</t>
  </si>
  <si>
    <t>R009</t>
  </si>
  <si>
    <t>Restaurant_9</t>
  </si>
  <si>
    <t>Kolkata</t>
  </si>
  <si>
    <t>Owner_9</t>
  </si>
  <si>
    <t>R010</t>
  </si>
  <si>
    <t>Restaurant_10</t>
  </si>
  <si>
    <t>Owner_10</t>
  </si>
  <si>
    <t>R011</t>
  </si>
  <si>
    <t>Restaurant_11</t>
  </si>
  <si>
    <t>Owner_11</t>
  </si>
  <si>
    <t>R012</t>
  </si>
  <si>
    <t>Restaurant_12</t>
  </si>
  <si>
    <t>Delhi</t>
  </si>
  <si>
    <t>Owner_12</t>
  </si>
  <si>
    <t>R013</t>
  </si>
  <si>
    <t>Restaurant_13</t>
  </si>
  <si>
    <t>Jaipur</t>
  </si>
  <si>
    <t>Owner_13</t>
  </si>
  <si>
    <t>R014</t>
  </si>
  <si>
    <t>Restaurant_14</t>
  </si>
  <si>
    <t>Owner_14</t>
  </si>
  <si>
    <t>R015</t>
  </si>
  <si>
    <t>Restaurant_15</t>
  </si>
  <si>
    <t>Owner_15</t>
  </si>
  <si>
    <t>R016</t>
  </si>
  <si>
    <t>Restaurant_16</t>
  </si>
  <si>
    <t>Owner_16</t>
  </si>
  <si>
    <t>R017</t>
  </si>
  <si>
    <t>Restaurant_17</t>
  </si>
  <si>
    <t>Owner_17</t>
  </si>
  <si>
    <t>R018</t>
  </si>
  <si>
    <t>Restaurant_18</t>
  </si>
  <si>
    <t>Owner_18</t>
  </si>
  <si>
    <t>R019</t>
  </si>
  <si>
    <t>Restaurant_19</t>
  </si>
  <si>
    <t>Owner_19</t>
  </si>
  <si>
    <t>R020</t>
  </si>
  <si>
    <t>Restaurant_20</t>
  </si>
  <si>
    <t>Owner_20</t>
  </si>
  <si>
    <t>R021</t>
  </si>
  <si>
    <t>Restaurant_21</t>
  </si>
  <si>
    <t>Chennai</t>
  </si>
  <si>
    <t>Owner_21</t>
  </si>
  <si>
    <t>R022</t>
  </si>
  <si>
    <t>Restaurant_22</t>
  </si>
  <si>
    <t>Owner_22</t>
  </si>
  <si>
    <t>R023</t>
  </si>
  <si>
    <t>Restaurant_23</t>
  </si>
  <si>
    <t>Owner_23</t>
  </si>
  <si>
    <t>R024</t>
  </si>
  <si>
    <t>Restaurant_24</t>
  </si>
  <si>
    <t>Owner_24</t>
  </si>
  <si>
    <t>R025</t>
  </si>
  <si>
    <t>Restaurant_25</t>
  </si>
  <si>
    <t>Owner_25</t>
  </si>
  <si>
    <t>R026</t>
  </si>
  <si>
    <t>Restaurant_26</t>
  </si>
  <si>
    <t>Owner_26</t>
  </si>
  <si>
    <t>R027</t>
  </si>
  <si>
    <t>Restaurant_27</t>
  </si>
  <si>
    <t>Owner_27</t>
  </si>
  <si>
    <t>R028</t>
  </si>
  <si>
    <t>Restaurant_28</t>
  </si>
  <si>
    <t>Owner_28</t>
  </si>
  <si>
    <t>R029</t>
  </si>
  <si>
    <t>Restaurant_29</t>
  </si>
  <si>
    <t>Owner_29</t>
  </si>
  <si>
    <t>R030</t>
  </si>
  <si>
    <t>Restaurant_30</t>
  </si>
  <si>
    <t>Owner_30</t>
  </si>
  <si>
    <t>R031</t>
  </si>
  <si>
    <t>Restaurant_31</t>
  </si>
  <si>
    <t>Owner_31</t>
  </si>
  <si>
    <t>R032</t>
  </si>
  <si>
    <t>Restaurant_32</t>
  </si>
  <si>
    <t>Owner_32</t>
  </si>
  <si>
    <t>R033</t>
  </si>
  <si>
    <t>Restaurant_33</t>
  </si>
  <si>
    <t>Owner_33</t>
  </si>
  <si>
    <t>R034</t>
  </si>
  <si>
    <t>Restaurant_34</t>
  </si>
  <si>
    <t>Owner_34</t>
  </si>
  <si>
    <t>R035</t>
  </si>
  <si>
    <t>Restaurant_35</t>
  </si>
  <si>
    <t>Owner_35</t>
  </si>
  <si>
    <t>R036</t>
  </si>
  <si>
    <t>Restaurant_36</t>
  </si>
  <si>
    <t>Owner_36</t>
  </si>
  <si>
    <t>R037</t>
  </si>
  <si>
    <t>Restaurant_37</t>
  </si>
  <si>
    <t>Owner_37</t>
  </si>
  <si>
    <t>R038</t>
  </si>
  <si>
    <t>Restaurant_38</t>
  </si>
  <si>
    <t>Owner_38</t>
  </si>
  <si>
    <t>R039</t>
  </si>
  <si>
    <t>Restaurant_39</t>
  </si>
  <si>
    <t>Owner_39</t>
  </si>
  <si>
    <t>R040</t>
  </si>
  <si>
    <t>Restaurant_40</t>
  </si>
  <si>
    <t>Owner_40</t>
  </si>
  <si>
    <t>R041</t>
  </si>
  <si>
    <t>Restaurant_41</t>
  </si>
  <si>
    <t>Owner_41</t>
  </si>
  <si>
    <t>R042</t>
  </si>
  <si>
    <t>Restaurant_42</t>
  </si>
  <si>
    <t>Owner_42</t>
  </si>
  <si>
    <t>R043</t>
  </si>
  <si>
    <t>Restaurant_43</t>
  </si>
  <si>
    <t>Owner_43</t>
  </si>
  <si>
    <t>R044</t>
  </si>
  <si>
    <t>Restaurant_44</t>
  </si>
  <si>
    <t>Owner_44</t>
  </si>
  <si>
    <t>R045</t>
  </si>
  <si>
    <t>Restaurant_45</t>
  </si>
  <si>
    <t>Owner_45</t>
  </si>
  <si>
    <t>R046</t>
  </si>
  <si>
    <t>Restaurant_46</t>
  </si>
  <si>
    <t>Owner_46</t>
  </si>
  <si>
    <t>R047</t>
  </si>
  <si>
    <t>Restaurant_47</t>
  </si>
  <si>
    <t>Owner_47</t>
  </si>
  <si>
    <t>R048</t>
  </si>
  <si>
    <t>Restaurant_48</t>
  </si>
  <si>
    <t>Owner_48</t>
  </si>
  <si>
    <t>R049</t>
  </si>
  <si>
    <t>Restaurant_49</t>
  </si>
  <si>
    <t>Owner_49</t>
  </si>
  <si>
    <t>R050</t>
  </si>
  <si>
    <t>Restaurant_50</t>
  </si>
  <si>
    <t>Owner_50</t>
  </si>
  <si>
    <t>R051</t>
  </si>
  <si>
    <t>Restaurant_51</t>
  </si>
  <si>
    <t>Owner_51</t>
  </si>
  <si>
    <t>R052</t>
  </si>
  <si>
    <t>Restaurant_52</t>
  </si>
  <si>
    <t>Owner_52</t>
  </si>
  <si>
    <t>R053</t>
  </si>
  <si>
    <t>Restaurant_53</t>
  </si>
  <si>
    <t>Owner_53</t>
  </si>
  <si>
    <t>R054</t>
  </si>
  <si>
    <t>Restaurant_54</t>
  </si>
  <si>
    <t>Owner_54</t>
  </si>
  <si>
    <t>R055</t>
  </si>
  <si>
    <t>Restaurant_55</t>
  </si>
  <si>
    <t>Owner_55</t>
  </si>
  <si>
    <t>R056</t>
  </si>
  <si>
    <t>Restaurant_56</t>
  </si>
  <si>
    <t>Owner_56</t>
  </si>
  <si>
    <t>R057</t>
  </si>
  <si>
    <t>Restaurant_57</t>
  </si>
  <si>
    <t>Owner_57</t>
  </si>
  <si>
    <t>R058</t>
  </si>
  <si>
    <t>Restaurant_58</t>
  </si>
  <si>
    <t>Owner_58</t>
  </si>
  <si>
    <t>R059</t>
  </si>
  <si>
    <t>Restaurant_59</t>
  </si>
  <si>
    <t>Owner_59</t>
  </si>
  <si>
    <t>R060</t>
  </si>
  <si>
    <t>Restaurant_60</t>
  </si>
  <si>
    <t>Owner_60</t>
  </si>
  <si>
    <t>R061</t>
  </si>
  <si>
    <t>Restaurant_61</t>
  </si>
  <si>
    <t>Owner_61</t>
  </si>
  <si>
    <t>R062</t>
  </si>
  <si>
    <t>Restaurant_62</t>
  </si>
  <si>
    <t>Owner_62</t>
  </si>
  <si>
    <t>R063</t>
  </si>
  <si>
    <t>Restaurant_63</t>
  </si>
  <si>
    <t>Owner_63</t>
  </si>
  <si>
    <t>R064</t>
  </si>
  <si>
    <t>Restaurant_64</t>
  </si>
  <si>
    <t>Owner_64</t>
  </si>
  <si>
    <t>R065</t>
  </si>
  <si>
    <t>Restaurant_65</t>
  </si>
  <si>
    <t>Owner_65</t>
  </si>
  <si>
    <t>R066</t>
  </si>
  <si>
    <t>Restaurant_66</t>
  </si>
  <si>
    <t>Owner_66</t>
  </si>
  <si>
    <t>R067</t>
  </si>
  <si>
    <t>Restaurant_67</t>
  </si>
  <si>
    <t>Owner_67</t>
  </si>
  <si>
    <t>R068</t>
  </si>
  <si>
    <t>Restaurant_68</t>
  </si>
  <si>
    <t>Owner_68</t>
  </si>
  <si>
    <t>R069</t>
  </si>
  <si>
    <t>Restaurant_69</t>
  </si>
  <si>
    <t>Owner_69</t>
  </si>
  <si>
    <t>R070</t>
  </si>
  <si>
    <t>Restaurant_70</t>
  </si>
  <si>
    <t>Owner_70</t>
  </si>
  <si>
    <t>R071</t>
  </si>
  <si>
    <t>Restaurant_71</t>
  </si>
  <si>
    <t>Owner_71</t>
  </si>
  <si>
    <t>R072</t>
  </si>
  <si>
    <t>Restaurant_72</t>
  </si>
  <si>
    <t>Owner_72</t>
  </si>
  <si>
    <t>R073</t>
  </si>
  <si>
    <t>Restaurant_73</t>
  </si>
  <si>
    <t>Owner_73</t>
  </si>
  <si>
    <t>R074</t>
  </si>
  <si>
    <t>Restaurant_74</t>
  </si>
  <si>
    <t>Owner_74</t>
  </si>
  <si>
    <t>R075</t>
  </si>
  <si>
    <t>Restaurant_75</t>
  </si>
  <si>
    <t>Owner_75</t>
  </si>
  <si>
    <t>R076</t>
  </si>
  <si>
    <t>Restaurant_76</t>
  </si>
  <si>
    <t>Owner_76</t>
  </si>
  <si>
    <t>R077</t>
  </si>
  <si>
    <t>Restaurant_77</t>
  </si>
  <si>
    <t>Owner_77</t>
  </si>
  <si>
    <t>R078</t>
  </si>
  <si>
    <t>Restaurant_78</t>
  </si>
  <si>
    <t>Owner_78</t>
  </si>
  <si>
    <t>R079</t>
  </si>
  <si>
    <t>Restaurant_79</t>
  </si>
  <si>
    <t>Owner_79</t>
  </si>
  <si>
    <t>R080</t>
  </si>
  <si>
    <t>Restaurant_80</t>
  </si>
  <si>
    <t>Owner_80</t>
  </si>
  <si>
    <t>R081</t>
  </si>
  <si>
    <t>Restaurant_81</t>
  </si>
  <si>
    <t>Owner_81</t>
  </si>
  <si>
    <t>R082</t>
  </si>
  <si>
    <t>Restaurant_82</t>
  </si>
  <si>
    <t>Owner_82</t>
  </si>
  <si>
    <t>R083</t>
  </si>
  <si>
    <t>Restaurant_83</t>
  </si>
  <si>
    <t>Owner_83</t>
  </si>
  <si>
    <t>R084</t>
  </si>
  <si>
    <t>Restaurant_84</t>
  </si>
  <si>
    <t>Owner_84</t>
  </si>
  <si>
    <t>R085</t>
  </si>
  <si>
    <t>Restaurant_85</t>
  </si>
  <si>
    <t>Owner_85</t>
  </si>
  <si>
    <t>R086</t>
  </si>
  <si>
    <t>Restaurant_86</t>
  </si>
  <si>
    <t>Owner_86</t>
  </si>
  <si>
    <t>R087</t>
  </si>
  <si>
    <t>Restaurant_87</t>
  </si>
  <si>
    <t>Owner_87</t>
  </si>
  <si>
    <t>R088</t>
  </si>
  <si>
    <t>Restaurant_88</t>
  </si>
  <si>
    <t>Owner_88</t>
  </si>
  <si>
    <t>R089</t>
  </si>
  <si>
    <t>Restaurant_89</t>
  </si>
  <si>
    <t>Owner_89</t>
  </si>
  <si>
    <t>R090</t>
  </si>
  <si>
    <t>Restaurant_90</t>
  </si>
  <si>
    <t>Owner_90</t>
  </si>
  <si>
    <t>R091</t>
  </si>
  <si>
    <t>Restaurant_91</t>
  </si>
  <si>
    <t>Owner_91</t>
  </si>
  <si>
    <t>R092</t>
  </si>
  <si>
    <t>Restaurant_92</t>
  </si>
  <si>
    <t>Owner_92</t>
  </si>
  <si>
    <t>R093</t>
  </si>
  <si>
    <t>Restaurant_93</t>
  </si>
  <si>
    <t>Owner_93</t>
  </si>
  <si>
    <t>R094</t>
  </si>
  <si>
    <t>Restaurant_94</t>
  </si>
  <si>
    <t>Owner_94</t>
  </si>
  <si>
    <t>R095</t>
  </si>
  <si>
    <t>Restaurant_95</t>
  </si>
  <si>
    <t>Owner_95</t>
  </si>
  <si>
    <t>R096</t>
  </si>
  <si>
    <t>Restaurant_96</t>
  </si>
  <si>
    <t>Owner_96</t>
  </si>
  <si>
    <t>R097</t>
  </si>
  <si>
    <t>Restaurant_97</t>
  </si>
  <si>
    <t>Owner_97</t>
  </si>
  <si>
    <t>R098</t>
  </si>
  <si>
    <t>Restaurant_98</t>
  </si>
  <si>
    <t>Owner_98</t>
  </si>
  <si>
    <t>R099</t>
  </si>
  <si>
    <t>Restaurant_99</t>
  </si>
  <si>
    <t>Owner_99</t>
  </si>
  <si>
    <t>R100</t>
  </si>
  <si>
    <t>Restaurant_100</t>
  </si>
  <si>
    <t>Owner_100</t>
  </si>
  <si>
    <t>Customer_ID</t>
  </si>
  <si>
    <t>Name</t>
  </si>
  <si>
    <t>Phone</t>
  </si>
  <si>
    <t>Total_Orders</t>
  </si>
  <si>
    <t>C001</t>
  </si>
  <si>
    <t>Customer_1</t>
  </si>
  <si>
    <t>C002</t>
  </si>
  <si>
    <t>Customer_2</t>
  </si>
  <si>
    <t>C003</t>
  </si>
  <si>
    <t>Customer_3</t>
  </si>
  <si>
    <t>C004</t>
  </si>
  <si>
    <t>Customer_4</t>
  </si>
  <si>
    <t>C005</t>
  </si>
  <si>
    <t>Customer_5</t>
  </si>
  <si>
    <t>C006</t>
  </si>
  <si>
    <t>Customer_6</t>
  </si>
  <si>
    <t>C007</t>
  </si>
  <si>
    <t>Customer_7</t>
  </si>
  <si>
    <t>C008</t>
  </si>
  <si>
    <t>Customer_8</t>
  </si>
  <si>
    <t>C009</t>
  </si>
  <si>
    <t>Customer_9</t>
  </si>
  <si>
    <t>C010</t>
  </si>
  <si>
    <t>Customer_10</t>
  </si>
  <si>
    <t>C011</t>
  </si>
  <si>
    <t>Customer_11</t>
  </si>
  <si>
    <t>C012</t>
  </si>
  <si>
    <t>Customer_12</t>
  </si>
  <si>
    <t>C013</t>
  </si>
  <si>
    <t>Customer_13</t>
  </si>
  <si>
    <t>C014</t>
  </si>
  <si>
    <t>Customer_14</t>
  </si>
  <si>
    <t>C015</t>
  </si>
  <si>
    <t>Customer_15</t>
  </si>
  <si>
    <t>C016</t>
  </si>
  <si>
    <t>Customer_16</t>
  </si>
  <si>
    <t>C017</t>
  </si>
  <si>
    <t>Customer_17</t>
  </si>
  <si>
    <t>C018</t>
  </si>
  <si>
    <t>Customer_18</t>
  </si>
  <si>
    <t>C019</t>
  </si>
  <si>
    <t>Customer_19</t>
  </si>
  <si>
    <t>C020</t>
  </si>
  <si>
    <t>Customer_20</t>
  </si>
  <si>
    <t>C021</t>
  </si>
  <si>
    <t>Customer_21</t>
  </si>
  <si>
    <t>C022</t>
  </si>
  <si>
    <t>Customer_22</t>
  </si>
  <si>
    <t>C023</t>
  </si>
  <si>
    <t>Customer_23</t>
  </si>
  <si>
    <t>C024</t>
  </si>
  <si>
    <t>Customer_24</t>
  </si>
  <si>
    <t>C025</t>
  </si>
  <si>
    <t>Customer_25</t>
  </si>
  <si>
    <t>C026</t>
  </si>
  <si>
    <t>Customer_26</t>
  </si>
  <si>
    <t>C027</t>
  </si>
  <si>
    <t>Customer_27</t>
  </si>
  <si>
    <t>C028</t>
  </si>
  <si>
    <t>Customer_28</t>
  </si>
  <si>
    <t>C029</t>
  </si>
  <si>
    <t>Customer_29</t>
  </si>
  <si>
    <t>C030</t>
  </si>
  <si>
    <t>Customer_30</t>
  </si>
  <si>
    <t>C031</t>
  </si>
  <si>
    <t>Customer_31</t>
  </si>
  <si>
    <t>C032</t>
  </si>
  <si>
    <t>Customer_32</t>
  </si>
  <si>
    <t>C033</t>
  </si>
  <si>
    <t>Customer_33</t>
  </si>
  <si>
    <t>C034</t>
  </si>
  <si>
    <t>Customer_34</t>
  </si>
  <si>
    <t>C035</t>
  </si>
  <si>
    <t>Customer_35</t>
  </si>
  <si>
    <t>C036</t>
  </si>
  <si>
    <t>Customer_36</t>
  </si>
  <si>
    <t>C037</t>
  </si>
  <si>
    <t>Customer_37</t>
  </si>
  <si>
    <t>C038</t>
  </si>
  <si>
    <t>Customer_38</t>
  </si>
  <si>
    <t>C039</t>
  </si>
  <si>
    <t>Customer_39</t>
  </si>
  <si>
    <t>C040</t>
  </si>
  <si>
    <t>Customer_40</t>
  </si>
  <si>
    <t>C041</t>
  </si>
  <si>
    <t>Customer_41</t>
  </si>
  <si>
    <t>C042</t>
  </si>
  <si>
    <t>Customer_42</t>
  </si>
  <si>
    <t>C043</t>
  </si>
  <si>
    <t>Customer_43</t>
  </si>
  <si>
    <t>C044</t>
  </si>
  <si>
    <t>Customer_44</t>
  </si>
  <si>
    <t>C045</t>
  </si>
  <si>
    <t>Customer_45</t>
  </si>
  <si>
    <t>C046</t>
  </si>
  <si>
    <t>Customer_46</t>
  </si>
  <si>
    <t>C047</t>
  </si>
  <si>
    <t>Customer_47</t>
  </si>
  <si>
    <t>C048</t>
  </si>
  <si>
    <t>Customer_48</t>
  </si>
  <si>
    <t>C049</t>
  </si>
  <si>
    <t>Customer_49</t>
  </si>
  <si>
    <t>C050</t>
  </si>
  <si>
    <t>Customer_50</t>
  </si>
  <si>
    <t>C051</t>
  </si>
  <si>
    <t>Customer_51</t>
  </si>
  <si>
    <t>C052</t>
  </si>
  <si>
    <t>Customer_52</t>
  </si>
  <si>
    <t>C053</t>
  </si>
  <si>
    <t>Customer_53</t>
  </si>
  <si>
    <t>C054</t>
  </si>
  <si>
    <t>Customer_54</t>
  </si>
  <si>
    <t>C055</t>
  </si>
  <si>
    <t>Customer_55</t>
  </si>
  <si>
    <t>C056</t>
  </si>
  <si>
    <t>Customer_56</t>
  </si>
  <si>
    <t>C057</t>
  </si>
  <si>
    <t>Customer_57</t>
  </si>
  <si>
    <t>C058</t>
  </si>
  <si>
    <t>Customer_58</t>
  </si>
  <si>
    <t>C059</t>
  </si>
  <si>
    <t>Customer_59</t>
  </si>
  <si>
    <t>C060</t>
  </si>
  <si>
    <t>Customer_60</t>
  </si>
  <si>
    <t>C061</t>
  </si>
  <si>
    <t>Customer_61</t>
  </si>
  <si>
    <t>C062</t>
  </si>
  <si>
    <t>Customer_62</t>
  </si>
  <si>
    <t>C063</t>
  </si>
  <si>
    <t>Customer_63</t>
  </si>
  <si>
    <t>C064</t>
  </si>
  <si>
    <t>Customer_64</t>
  </si>
  <si>
    <t>C065</t>
  </si>
  <si>
    <t>Customer_65</t>
  </si>
  <si>
    <t>C066</t>
  </si>
  <si>
    <t>Customer_66</t>
  </si>
  <si>
    <t>C067</t>
  </si>
  <si>
    <t>Customer_67</t>
  </si>
  <si>
    <t>C068</t>
  </si>
  <si>
    <t>Customer_68</t>
  </si>
  <si>
    <t>C069</t>
  </si>
  <si>
    <t>Customer_69</t>
  </si>
  <si>
    <t>C070</t>
  </si>
  <si>
    <t>Customer_70</t>
  </si>
  <si>
    <t>C071</t>
  </si>
  <si>
    <t>Customer_71</t>
  </si>
  <si>
    <t>C072</t>
  </si>
  <si>
    <t>Customer_72</t>
  </si>
  <si>
    <t>C073</t>
  </si>
  <si>
    <t>Customer_73</t>
  </si>
  <si>
    <t>C074</t>
  </si>
  <si>
    <t>Customer_74</t>
  </si>
  <si>
    <t>C075</t>
  </si>
  <si>
    <t>Customer_75</t>
  </si>
  <si>
    <t>C076</t>
  </si>
  <si>
    <t>Customer_76</t>
  </si>
  <si>
    <t>C077</t>
  </si>
  <si>
    <t>Customer_77</t>
  </si>
  <si>
    <t>C078</t>
  </si>
  <si>
    <t>Customer_78</t>
  </si>
  <si>
    <t>C079</t>
  </si>
  <si>
    <t>Customer_79</t>
  </si>
  <si>
    <t>C080</t>
  </si>
  <si>
    <t>Customer_80</t>
  </si>
  <si>
    <t>C081</t>
  </si>
  <si>
    <t>Customer_81</t>
  </si>
  <si>
    <t>C082</t>
  </si>
  <si>
    <t>Customer_82</t>
  </si>
  <si>
    <t>C083</t>
  </si>
  <si>
    <t>Customer_83</t>
  </si>
  <si>
    <t>C084</t>
  </si>
  <si>
    <t>Customer_84</t>
  </si>
  <si>
    <t>C085</t>
  </si>
  <si>
    <t>Customer_85</t>
  </si>
  <si>
    <t>C086</t>
  </si>
  <si>
    <t>Customer_86</t>
  </si>
  <si>
    <t>C087</t>
  </si>
  <si>
    <t>Customer_87</t>
  </si>
  <si>
    <t>C088</t>
  </si>
  <si>
    <t>Customer_88</t>
  </si>
  <si>
    <t>C089</t>
  </si>
  <si>
    <t>Customer_89</t>
  </si>
  <si>
    <t>C090</t>
  </si>
  <si>
    <t>Customer_90</t>
  </si>
  <si>
    <t>C091</t>
  </si>
  <si>
    <t>Customer_91</t>
  </si>
  <si>
    <t>C092</t>
  </si>
  <si>
    <t>Customer_92</t>
  </si>
  <si>
    <t>C093</t>
  </si>
  <si>
    <t>Customer_93</t>
  </si>
  <si>
    <t>C094</t>
  </si>
  <si>
    <t>Customer_94</t>
  </si>
  <si>
    <t>C095</t>
  </si>
  <si>
    <t>Customer_95</t>
  </si>
  <si>
    <t>C096</t>
  </si>
  <si>
    <t>Customer_96</t>
  </si>
  <si>
    <t>C097</t>
  </si>
  <si>
    <t>Customer_97</t>
  </si>
  <si>
    <t>C098</t>
  </si>
  <si>
    <t>Customer_98</t>
  </si>
  <si>
    <t>C099</t>
  </si>
  <si>
    <t>Customer_99</t>
  </si>
  <si>
    <t>C100</t>
  </si>
  <si>
    <t>Customer_100</t>
  </si>
  <si>
    <t>Dessert_ID</t>
  </si>
  <si>
    <t>Dessert_Name</t>
  </si>
  <si>
    <t>Original_Price</t>
  </si>
  <si>
    <t>Cost_Price</t>
  </si>
  <si>
    <t>D001</t>
  </si>
  <si>
    <t>Muffin_1</t>
  </si>
  <si>
    <t>D002</t>
  </si>
  <si>
    <t>Muffin_2</t>
  </si>
  <si>
    <t>D003</t>
  </si>
  <si>
    <t>GulabJamun_3</t>
  </si>
  <si>
    <t>D004</t>
  </si>
  <si>
    <t>IceCream_4</t>
  </si>
  <si>
    <t>D005</t>
  </si>
  <si>
    <t>Brownie_5</t>
  </si>
  <si>
    <t>D006</t>
  </si>
  <si>
    <t>Muffin_6</t>
  </si>
  <si>
    <t>D007</t>
  </si>
  <si>
    <t>Brownie_7</t>
  </si>
  <si>
    <t>D008</t>
  </si>
  <si>
    <t>Pudding_8</t>
  </si>
  <si>
    <t>D009</t>
  </si>
  <si>
    <t>Muffin_9</t>
  </si>
  <si>
    <t>D010</t>
  </si>
  <si>
    <t>Muffin_10</t>
  </si>
  <si>
    <t>D011</t>
  </si>
  <si>
    <t>IceCream_11</t>
  </si>
  <si>
    <t>D012</t>
  </si>
  <si>
    <t>Pudding_12</t>
  </si>
  <si>
    <t>D013</t>
  </si>
  <si>
    <t>Muffin_13</t>
  </si>
  <si>
    <t>D014</t>
  </si>
  <si>
    <t>Donut_14</t>
  </si>
  <si>
    <t>D015</t>
  </si>
  <si>
    <t>Pastry_15</t>
  </si>
  <si>
    <t>D016</t>
  </si>
  <si>
    <t>Brownie_16</t>
  </si>
  <si>
    <t>D017</t>
  </si>
  <si>
    <t>Donut_17</t>
  </si>
  <si>
    <t>D018</t>
  </si>
  <si>
    <t>Pudding_18</t>
  </si>
  <si>
    <t>D019</t>
  </si>
  <si>
    <t>IceCream_19</t>
  </si>
  <si>
    <t>D020</t>
  </si>
  <si>
    <t>Muffin_20</t>
  </si>
  <si>
    <t>D021</t>
  </si>
  <si>
    <t>Muffin_21</t>
  </si>
  <si>
    <t>D022</t>
  </si>
  <si>
    <t>Muffin_22</t>
  </si>
  <si>
    <t>D023</t>
  </si>
  <si>
    <t>Donut_23</t>
  </si>
  <si>
    <t>D024</t>
  </si>
  <si>
    <t>Donut_24</t>
  </si>
  <si>
    <t>D025</t>
  </si>
  <si>
    <t>Pudding_25</t>
  </si>
  <si>
    <t>D026</t>
  </si>
  <si>
    <t>IceCream_26</t>
  </si>
  <si>
    <t>D027</t>
  </si>
  <si>
    <t>Pastry_27</t>
  </si>
  <si>
    <t>D028</t>
  </si>
  <si>
    <t>Donut_28</t>
  </si>
  <si>
    <t>D029</t>
  </si>
  <si>
    <t>Cake_29</t>
  </si>
  <si>
    <t>D030</t>
  </si>
  <si>
    <t>Donut_30</t>
  </si>
  <si>
    <t>D031</t>
  </si>
  <si>
    <t>Cake_31</t>
  </si>
  <si>
    <t>D032</t>
  </si>
  <si>
    <t>Muffin_32</t>
  </si>
  <si>
    <t>D033</t>
  </si>
  <si>
    <t>Donut_33</t>
  </si>
  <si>
    <t>D034</t>
  </si>
  <si>
    <t>Pastry_34</t>
  </si>
  <si>
    <t>D035</t>
  </si>
  <si>
    <t>Brownie_35</t>
  </si>
  <si>
    <t>D036</t>
  </si>
  <si>
    <t>GulabJamun_36</t>
  </si>
  <si>
    <t>D037</t>
  </si>
  <si>
    <t>Cake_37</t>
  </si>
  <si>
    <t>D038</t>
  </si>
  <si>
    <t>GulabJamun_38</t>
  </si>
  <si>
    <t>D039</t>
  </si>
  <si>
    <t>Donut_39</t>
  </si>
  <si>
    <t>D040</t>
  </si>
  <si>
    <t>Cake_40</t>
  </si>
  <si>
    <t>D041</t>
  </si>
  <si>
    <t>Pudding_41</t>
  </si>
  <si>
    <t>D042</t>
  </si>
  <si>
    <t>Cake_42</t>
  </si>
  <si>
    <t>D043</t>
  </si>
  <si>
    <t>GulabJamun_43</t>
  </si>
  <si>
    <t>D044</t>
  </si>
  <si>
    <t>IceCream_44</t>
  </si>
  <si>
    <t>D045</t>
  </si>
  <si>
    <t>Cake_45</t>
  </si>
  <si>
    <t>D046</t>
  </si>
  <si>
    <t>IceCream_46</t>
  </si>
  <si>
    <t>D047</t>
  </si>
  <si>
    <t>Brownie_47</t>
  </si>
  <si>
    <t>D048</t>
  </si>
  <si>
    <t>Pudding_48</t>
  </si>
  <si>
    <t>D049</t>
  </si>
  <si>
    <t>Muffin_49</t>
  </si>
  <si>
    <t>D050</t>
  </si>
  <si>
    <t>IceCream_50</t>
  </si>
  <si>
    <t>Order_ID</t>
  </si>
  <si>
    <t>Date</t>
  </si>
  <si>
    <t>Quantity</t>
  </si>
  <si>
    <t>Price_Per_Item</t>
  </si>
  <si>
    <t>O0001</t>
  </si>
  <si>
    <t>2025-11-26</t>
  </si>
  <si>
    <t>O0002</t>
  </si>
  <si>
    <t>2025-07-06</t>
  </si>
  <si>
    <t>O0003</t>
  </si>
  <si>
    <t>2025-07-08</t>
  </si>
  <si>
    <t>O0004</t>
  </si>
  <si>
    <t>2025-06-29</t>
  </si>
  <si>
    <t>O0005</t>
  </si>
  <si>
    <t>2025-04-07</t>
  </si>
  <si>
    <t>O0006</t>
  </si>
  <si>
    <t>2025-09-01</t>
  </si>
  <si>
    <t>O0007</t>
  </si>
  <si>
    <t>2025-03-17</t>
  </si>
  <si>
    <t>O0008</t>
  </si>
  <si>
    <t>2025-02-11</t>
  </si>
  <si>
    <t>O0009</t>
  </si>
  <si>
    <t>2025-03-07</t>
  </si>
  <si>
    <t>O0010</t>
  </si>
  <si>
    <t>2025-10-21</t>
  </si>
  <si>
    <t>O0011</t>
  </si>
  <si>
    <t>2025-09-27</t>
  </si>
  <si>
    <t>O0012</t>
  </si>
  <si>
    <t>O0013</t>
  </si>
  <si>
    <t>2025-05-12</t>
  </si>
  <si>
    <t>O0014</t>
  </si>
  <si>
    <t>2025-08-03</t>
  </si>
  <si>
    <t>O0015</t>
  </si>
  <si>
    <t>2025-05-20</t>
  </si>
  <si>
    <t>O0016</t>
  </si>
  <si>
    <t>2025-09-19</t>
  </si>
  <si>
    <t>O0017</t>
  </si>
  <si>
    <t>2025-01-10</t>
  </si>
  <si>
    <t>O0018</t>
  </si>
  <si>
    <t>2025-06-24</t>
  </si>
  <si>
    <t>O0019</t>
  </si>
  <si>
    <t>2025-07-24</t>
  </si>
  <si>
    <t>O0020</t>
  </si>
  <si>
    <t>2025-08-20</t>
  </si>
  <si>
    <t>O0021</t>
  </si>
  <si>
    <t>2025-12-15</t>
  </si>
  <si>
    <t>O0022</t>
  </si>
  <si>
    <t>2025-04-09</t>
  </si>
  <si>
    <t>O0023</t>
  </si>
  <si>
    <t>2025-09-13</t>
  </si>
  <si>
    <t>O0024</t>
  </si>
  <si>
    <t>2026-01-20</t>
  </si>
  <si>
    <t>O0025</t>
  </si>
  <si>
    <t>2025-11-23</t>
  </si>
  <si>
    <t>O0026</t>
  </si>
  <si>
    <t>2025-11-05</t>
  </si>
  <si>
    <t>O0027</t>
  </si>
  <si>
    <t>2025-05-11</t>
  </si>
  <si>
    <t>O0028</t>
  </si>
  <si>
    <t>2025-01-09</t>
  </si>
  <si>
    <t>O0029</t>
  </si>
  <si>
    <t>2025-01-18</t>
  </si>
  <si>
    <t>O0030</t>
  </si>
  <si>
    <t>2025-03-11</t>
  </si>
  <si>
    <t>O0031</t>
  </si>
  <si>
    <t>2025-08-11</t>
  </si>
  <si>
    <t>O0032</t>
  </si>
  <si>
    <t>2025-06-14</t>
  </si>
  <si>
    <t>O0033</t>
  </si>
  <si>
    <t>2026-01-31</t>
  </si>
  <si>
    <t>O0034</t>
  </si>
  <si>
    <t>O0035</t>
  </si>
  <si>
    <t>2025-12-30</t>
  </si>
  <si>
    <t>O0036</t>
  </si>
  <si>
    <t>O0037</t>
  </si>
  <si>
    <t>2025-06-11</t>
  </si>
  <si>
    <t>O0038</t>
  </si>
  <si>
    <t>2025-04-16</t>
  </si>
  <si>
    <t>O0039</t>
  </si>
  <si>
    <t>2025-04-01</t>
  </si>
  <si>
    <t>O0040</t>
  </si>
  <si>
    <t>2025-12-23</t>
  </si>
  <si>
    <t>O0041</t>
  </si>
  <si>
    <t>2025-05-05</t>
  </si>
  <si>
    <t>O0042</t>
  </si>
  <si>
    <t>2025-08-25</t>
  </si>
  <si>
    <t>O0043</t>
  </si>
  <si>
    <t>O0044</t>
  </si>
  <si>
    <t>2025-02-27</t>
  </si>
  <si>
    <t>O0045</t>
  </si>
  <si>
    <t>2025-02-06</t>
  </si>
  <si>
    <t>O0046</t>
  </si>
  <si>
    <t>O0047</t>
  </si>
  <si>
    <t>2025-11-22</t>
  </si>
  <si>
    <t>O0048</t>
  </si>
  <si>
    <t>2025-07-26</t>
  </si>
  <si>
    <t>O0049</t>
  </si>
  <si>
    <t>2025-12-07</t>
  </si>
  <si>
    <t>O0050</t>
  </si>
  <si>
    <t>2025-01-13</t>
  </si>
  <si>
    <t>O0051</t>
  </si>
  <si>
    <t>2025-07-27</t>
  </si>
  <si>
    <t>O0052</t>
  </si>
  <si>
    <t>2025-04-27</t>
  </si>
  <si>
    <t>O0053</t>
  </si>
  <si>
    <t>2025-05-17</t>
  </si>
  <si>
    <t>O0054</t>
  </si>
  <si>
    <t>2025-12-12</t>
  </si>
  <si>
    <t>O0055</t>
  </si>
  <si>
    <t>2025-05-18</t>
  </si>
  <si>
    <t>O0056</t>
  </si>
  <si>
    <t>2025-09-18</t>
  </si>
  <si>
    <t>O0057</t>
  </si>
  <si>
    <t>2025-12-18</t>
  </si>
  <si>
    <t>O0058</t>
  </si>
  <si>
    <t>2025-03-13</t>
  </si>
  <si>
    <t>O0059</t>
  </si>
  <si>
    <t>2025-07-04</t>
  </si>
  <si>
    <t>O0060</t>
  </si>
  <si>
    <t>2025-11-01</t>
  </si>
  <si>
    <t>O0061</t>
  </si>
  <si>
    <t>2025-06-26</t>
  </si>
  <si>
    <t>O0062</t>
  </si>
  <si>
    <t>2025-04-03</t>
  </si>
  <si>
    <t>O0063</t>
  </si>
  <si>
    <t>2025-04-28</t>
  </si>
  <si>
    <t>O0064</t>
  </si>
  <si>
    <t>2025-12-24</t>
  </si>
  <si>
    <t>O0065</t>
  </si>
  <si>
    <t>2025-03-08</t>
  </si>
  <si>
    <t>O0066</t>
  </si>
  <si>
    <t>2025-03-02</t>
  </si>
  <si>
    <t>O0067</t>
  </si>
  <si>
    <t>2025-03-21</t>
  </si>
  <si>
    <t>O0068</t>
  </si>
  <si>
    <t>2025-01-03</t>
  </si>
  <si>
    <t>O0069</t>
  </si>
  <si>
    <t>2025-09-11</t>
  </si>
  <si>
    <t>O0070</t>
  </si>
  <si>
    <t>2025-06-10</t>
  </si>
  <si>
    <t>O0071</t>
  </si>
  <si>
    <t>2025-05-21</t>
  </si>
  <si>
    <t>O0072</t>
  </si>
  <si>
    <t>2025-07-16</t>
  </si>
  <si>
    <t>O0073</t>
  </si>
  <si>
    <t>2025-05-09</t>
  </si>
  <si>
    <t>O0074</t>
  </si>
  <si>
    <t>2026-01-26</t>
  </si>
  <si>
    <t>O0075</t>
  </si>
  <si>
    <t>2026-01-16</t>
  </si>
  <si>
    <t>O0076</t>
  </si>
  <si>
    <t>2026-02-03</t>
  </si>
  <si>
    <t>O0077</t>
  </si>
  <si>
    <t>2025-12-03</t>
  </si>
  <si>
    <t>O0078</t>
  </si>
  <si>
    <t>2025-04-29</t>
  </si>
  <si>
    <t>O0079</t>
  </si>
  <si>
    <t>2025-01-02</t>
  </si>
  <si>
    <t>O0080</t>
  </si>
  <si>
    <t>2025-08-17</t>
  </si>
  <si>
    <t>O0081</t>
  </si>
  <si>
    <t>2025-04-21</t>
  </si>
  <si>
    <t>O0082</t>
  </si>
  <si>
    <t>2025-01-14</t>
  </si>
  <si>
    <t>O0083</t>
  </si>
  <si>
    <t>2025-02-09</t>
  </si>
  <si>
    <t>O0084</t>
  </si>
  <si>
    <t>2025-03-14</t>
  </si>
  <si>
    <t>O0085</t>
  </si>
  <si>
    <t>2025-10-22</t>
  </si>
  <si>
    <t>O0086</t>
  </si>
  <si>
    <t>2025-02-19</t>
  </si>
  <si>
    <t>O0087</t>
  </si>
  <si>
    <t>2026-01-06</t>
  </si>
  <si>
    <t>O0088</t>
  </si>
  <si>
    <t>O0089</t>
  </si>
  <si>
    <t>2025-02-22</t>
  </si>
  <si>
    <t>O0090</t>
  </si>
  <si>
    <t>2025-08-02</t>
  </si>
  <si>
    <t>O0091</t>
  </si>
  <si>
    <t>2025-01-04</t>
  </si>
  <si>
    <t>O0092</t>
  </si>
  <si>
    <t>2025-07-17</t>
  </si>
  <si>
    <t>O0093</t>
  </si>
  <si>
    <t>2025-01-20</t>
  </si>
  <si>
    <t>O0094</t>
  </si>
  <si>
    <t>2025-01-26</t>
  </si>
  <si>
    <t>O0095</t>
  </si>
  <si>
    <t>2025-08-30</t>
  </si>
  <si>
    <t>O0096</t>
  </si>
  <si>
    <t>2025-12-28</t>
  </si>
  <si>
    <t>O0097</t>
  </si>
  <si>
    <t>2025-03-30</t>
  </si>
  <si>
    <t>O0098</t>
  </si>
  <si>
    <t>2025-08-06</t>
  </si>
  <si>
    <t>O0099</t>
  </si>
  <si>
    <t>2025-12-29</t>
  </si>
  <si>
    <t>O0100</t>
  </si>
  <si>
    <t>2026-01-02</t>
  </si>
  <si>
    <t>O0101</t>
  </si>
  <si>
    <t>2025-03-10</t>
  </si>
  <si>
    <t>O0102</t>
  </si>
  <si>
    <t>2025-10-20</t>
  </si>
  <si>
    <t>O0103</t>
  </si>
  <si>
    <t>2025-12-22</t>
  </si>
  <si>
    <t>O0104</t>
  </si>
  <si>
    <t>2025-04-13</t>
  </si>
  <si>
    <t>O0105</t>
  </si>
  <si>
    <t>2025-07-23</t>
  </si>
  <si>
    <t>O0106</t>
  </si>
  <si>
    <t>2026-01-22</t>
  </si>
  <si>
    <t>O0107</t>
  </si>
  <si>
    <t>2025-01-01</t>
  </si>
  <si>
    <t>O0108</t>
  </si>
  <si>
    <t>2025-09-08</t>
  </si>
  <si>
    <t>O0109</t>
  </si>
  <si>
    <t>O0110</t>
  </si>
  <si>
    <t>2026-01-24</t>
  </si>
  <si>
    <t>O0111</t>
  </si>
  <si>
    <t>2025-03-04</t>
  </si>
  <si>
    <t>O0112</t>
  </si>
  <si>
    <t>O0113</t>
  </si>
  <si>
    <t>2025-07-29</t>
  </si>
  <si>
    <t>O0114</t>
  </si>
  <si>
    <t>2025-06-03</t>
  </si>
  <si>
    <t>O0115</t>
  </si>
  <si>
    <t>O0116</t>
  </si>
  <si>
    <t>2025-05-31</t>
  </si>
  <si>
    <t>O0117</t>
  </si>
  <si>
    <t>2025-02-15</t>
  </si>
  <si>
    <t>O0118</t>
  </si>
  <si>
    <t>O0119</t>
  </si>
  <si>
    <t>2025-10-26</t>
  </si>
  <si>
    <t>O0120</t>
  </si>
  <si>
    <t>O0121</t>
  </si>
  <si>
    <t>O0122</t>
  </si>
  <si>
    <t>2025-04-25</t>
  </si>
  <si>
    <t>O0123</t>
  </si>
  <si>
    <t>O0124</t>
  </si>
  <si>
    <t>2025-06-20</t>
  </si>
  <si>
    <t>O0125</t>
  </si>
  <si>
    <t>2025-07-03</t>
  </si>
  <si>
    <t>O0126</t>
  </si>
  <si>
    <t>O0127</t>
  </si>
  <si>
    <t>2025-05-08</t>
  </si>
  <si>
    <t>O0128</t>
  </si>
  <si>
    <t>O0129</t>
  </si>
  <si>
    <t>2025-10-15</t>
  </si>
  <si>
    <t>O0130</t>
  </si>
  <si>
    <t>2025-11-12</t>
  </si>
  <si>
    <t>O0131</t>
  </si>
  <si>
    <t>2025-07-22</t>
  </si>
  <si>
    <t>O0132</t>
  </si>
  <si>
    <t>2025-08-13</t>
  </si>
  <si>
    <t>O0133</t>
  </si>
  <si>
    <t>2025-07-19</t>
  </si>
  <si>
    <t>O0134</t>
  </si>
  <si>
    <t>O0135</t>
  </si>
  <si>
    <t>2025-10-16</t>
  </si>
  <si>
    <t>O0136</t>
  </si>
  <si>
    <t>2025-08-28</t>
  </si>
  <si>
    <t>O0137</t>
  </si>
  <si>
    <t>2025-12-08</t>
  </si>
  <si>
    <t>O0138</t>
  </si>
  <si>
    <t>O0139</t>
  </si>
  <si>
    <t>O0140</t>
  </si>
  <si>
    <t>2025-04-23</t>
  </si>
  <si>
    <t>O0141</t>
  </si>
  <si>
    <t>2025-08-19</t>
  </si>
  <si>
    <t>O0142</t>
  </si>
  <si>
    <t>2025-12-10</t>
  </si>
  <si>
    <t>O0143</t>
  </si>
  <si>
    <t>2025-09-16</t>
  </si>
  <si>
    <t>O0144</t>
  </si>
  <si>
    <t>O0145</t>
  </si>
  <si>
    <t>2025-01-16</t>
  </si>
  <si>
    <t>O0146</t>
  </si>
  <si>
    <t>2026-02-04</t>
  </si>
  <si>
    <t>O0147</t>
  </si>
  <si>
    <t>2025-02-23</t>
  </si>
  <si>
    <t>O0148</t>
  </si>
  <si>
    <t>2025-12-11</t>
  </si>
  <si>
    <t>O0149</t>
  </si>
  <si>
    <t>O0150</t>
  </si>
  <si>
    <t>2025-05-07</t>
  </si>
  <si>
    <t>O0151</t>
  </si>
  <si>
    <t>O0152</t>
  </si>
  <si>
    <t>O0153</t>
  </si>
  <si>
    <t>2025-02-14</t>
  </si>
  <si>
    <t>O0154</t>
  </si>
  <si>
    <t>2026-01-21</t>
  </si>
  <si>
    <t>O0155</t>
  </si>
  <si>
    <t>O0156</t>
  </si>
  <si>
    <t>2025-10-07</t>
  </si>
  <si>
    <t>O0157</t>
  </si>
  <si>
    <t>2025-06-23</t>
  </si>
  <si>
    <t>O0158</t>
  </si>
  <si>
    <t>O0159</t>
  </si>
  <si>
    <t>O0160</t>
  </si>
  <si>
    <t>2025-12-14</t>
  </si>
  <si>
    <t>O0161</t>
  </si>
  <si>
    <t>2025-06-25</t>
  </si>
  <si>
    <t>O0162</t>
  </si>
  <si>
    <t>O0163</t>
  </si>
  <si>
    <t>2025-04-18</t>
  </si>
  <si>
    <t>O0164</t>
  </si>
  <si>
    <t>O0165</t>
  </si>
  <si>
    <t>O0166</t>
  </si>
  <si>
    <t>2025-03-19</t>
  </si>
  <si>
    <t>O0167</t>
  </si>
  <si>
    <t>O0168</t>
  </si>
  <si>
    <t>O0169</t>
  </si>
  <si>
    <t>2025-09-30</t>
  </si>
  <si>
    <t>O0170</t>
  </si>
  <si>
    <t>O0171</t>
  </si>
  <si>
    <t>O0172</t>
  </si>
  <si>
    <t>2025-10-05</t>
  </si>
  <si>
    <t>O0173</t>
  </si>
  <si>
    <t>2025-09-25</t>
  </si>
  <si>
    <t>O0174</t>
  </si>
  <si>
    <t>2025-11-13</t>
  </si>
  <si>
    <t>O0175</t>
  </si>
  <si>
    <t>2025-05-26</t>
  </si>
  <si>
    <t>O0176</t>
  </si>
  <si>
    <t>O0177</t>
  </si>
  <si>
    <t>O0178</t>
  </si>
  <si>
    <t>2025-07-12</t>
  </si>
  <si>
    <t>O0179</t>
  </si>
  <si>
    <t>2025-09-03</t>
  </si>
  <si>
    <t>O0180</t>
  </si>
  <si>
    <t>2025-03-29</t>
  </si>
  <si>
    <t>O0181</t>
  </si>
  <si>
    <t>2025-11-28</t>
  </si>
  <si>
    <t>O0182</t>
  </si>
  <si>
    <t>O0183</t>
  </si>
  <si>
    <t>2025-07-18</t>
  </si>
  <si>
    <t>O0184</t>
  </si>
  <si>
    <t>2025-06-07</t>
  </si>
  <si>
    <t>O0185</t>
  </si>
  <si>
    <t>2025-02-03</t>
  </si>
  <si>
    <t>O0186</t>
  </si>
  <si>
    <t>O0187</t>
  </si>
  <si>
    <t>2025-02-24</t>
  </si>
  <si>
    <t>O0188</t>
  </si>
  <si>
    <t>O0189</t>
  </si>
  <si>
    <t>2025-12-06</t>
  </si>
  <si>
    <t>O0190</t>
  </si>
  <si>
    <t>O0191</t>
  </si>
  <si>
    <t>2025-08-07</t>
  </si>
  <si>
    <t>O0192</t>
  </si>
  <si>
    <t>2025-08-21</t>
  </si>
  <si>
    <t>O0193</t>
  </si>
  <si>
    <t>2026-02-05</t>
  </si>
  <si>
    <t>O0194</t>
  </si>
  <si>
    <t>2025-10-24</t>
  </si>
  <si>
    <t>O0195</t>
  </si>
  <si>
    <t>2025-05-16</t>
  </si>
  <si>
    <t>O0196</t>
  </si>
  <si>
    <t>2025-05-22</t>
  </si>
  <si>
    <t>O0197</t>
  </si>
  <si>
    <t>O0198</t>
  </si>
  <si>
    <t>2025-02-05</t>
  </si>
  <si>
    <t>O0199</t>
  </si>
  <si>
    <t>O0200</t>
  </si>
  <si>
    <t>O0201</t>
  </si>
  <si>
    <t>2025-11-15</t>
  </si>
  <si>
    <t>O0202</t>
  </si>
  <si>
    <t>O0203</t>
  </si>
  <si>
    <t>2025-11-04</t>
  </si>
  <si>
    <t>O0204</t>
  </si>
  <si>
    <t>2025-04-22</t>
  </si>
  <si>
    <t>O0205</t>
  </si>
  <si>
    <t>2025-02-07</t>
  </si>
  <si>
    <t>O0206</t>
  </si>
  <si>
    <t>2025-04-05</t>
  </si>
  <si>
    <t>O0207</t>
  </si>
  <si>
    <t>2025-10-18</t>
  </si>
  <si>
    <t>O0208</t>
  </si>
  <si>
    <t>2025-05-25</t>
  </si>
  <si>
    <t>O0209</t>
  </si>
  <si>
    <t>2025-06-18</t>
  </si>
  <si>
    <t>O0210</t>
  </si>
  <si>
    <t>O0211</t>
  </si>
  <si>
    <t>O0212</t>
  </si>
  <si>
    <t>2025-03-26</t>
  </si>
  <si>
    <t>O0213</t>
  </si>
  <si>
    <t>2025-09-20</t>
  </si>
  <si>
    <t>O0214</t>
  </si>
  <si>
    <t>2025-03-25</t>
  </si>
  <si>
    <t>O0215</t>
  </si>
  <si>
    <t>O0216</t>
  </si>
  <si>
    <t>O0217</t>
  </si>
  <si>
    <t>O0218</t>
  </si>
  <si>
    <t>2025-08-08</t>
  </si>
  <si>
    <t>O0219</t>
  </si>
  <si>
    <t>O0220</t>
  </si>
  <si>
    <t>2025-09-02</t>
  </si>
  <si>
    <t>O0221</t>
  </si>
  <si>
    <t>O0222</t>
  </si>
  <si>
    <t>2025-05-03</t>
  </si>
  <si>
    <t>O0223</t>
  </si>
  <si>
    <t>2026-01-13</t>
  </si>
  <si>
    <t>O0224</t>
  </si>
  <si>
    <t>2025-10-30</t>
  </si>
  <si>
    <t>O0225</t>
  </si>
  <si>
    <t>2025-08-10</t>
  </si>
  <si>
    <t>O0226</t>
  </si>
  <si>
    <t>O0227</t>
  </si>
  <si>
    <t>O0228</t>
  </si>
  <si>
    <t>2025-10-25</t>
  </si>
  <si>
    <t>O0229</t>
  </si>
  <si>
    <t>2025-12-01</t>
  </si>
  <si>
    <t>O0230</t>
  </si>
  <si>
    <t>O0231</t>
  </si>
  <si>
    <t>2025-10-27</t>
  </si>
  <si>
    <t>O0232</t>
  </si>
  <si>
    <t>2025-01-29</t>
  </si>
  <si>
    <t>O0233</t>
  </si>
  <si>
    <t>2025-09-04</t>
  </si>
  <si>
    <t>O0234</t>
  </si>
  <si>
    <t>O0235</t>
  </si>
  <si>
    <t>O0236</t>
  </si>
  <si>
    <t>O0237</t>
  </si>
  <si>
    <t>2025-10-03</t>
  </si>
  <si>
    <t>O0238</t>
  </si>
  <si>
    <t>O0239</t>
  </si>
  <si>
    <t>O0240</t>
  </si>
  <si>
    <t>2025-08-05</t>
  </si>
  <si>
    <t>O0241</t>
  </si>
  <si>
    <t>2025-09-21</t>
  </si>
  <si>
    <t>O0242</t>
  </si>
  <si>
    <t>2025-07-25</t>
  </si>
  <si>
    <t>O0243</t>
  </si>
  <si>
    <t>O0244</t>
  </si>
  <si>
    <t>2025-10-10</t>
  </si>
  <si>
    <t>O0245</t>
  </si>
  <si>
    <t>O0246</t>
  </si>
  <si>
    <t>O0247</t>
  </si>
  <si>
    <t>O0248</t>
  </si>
  <si>
    <t>2025-05-28</t>
  </si>
  <si>
    <t>O0249</t>
  </si>
  <si>
    <t>O0250</t>
  </si>
  <si>
    <t>2025-10-06</t>
  </si>
  <si>
    <t>O0251</t>
  </si>
  <si>
    <t>2025-05-29</t>
  </si>
  <si>
    <t>O0252</t>
  </si>
  <si>
    <t>2025-04-20</t>
  </si>
  <si>
    <t>O0253</t>
  </si>
  <si>
    <t>2025-12-19</t>
  </si>
  <si>
    <t>O0254</t>
  </si>
  <si>
    <t>O0255</t>
  </si>
  <si>
    <t>2026-01-30</t>
  </si>
  <si>
    <t>O0256</t>
  </si>
  <si>
    <t>2025-11-25</t>
  </si>
  <si>
    <t>O0257</t>
  </si>
  <si>
    <t>2025-08-29</t>
  </si>
  <si>
    <t>O0258</t>
  </si>
  <si>
    <t>O0259</t>
  </si>
  <si>
    <t>2025-02-18</t>
  </si>
  <si>
    <t>O0260</t>
  </si>
  <si>
    <t>O0261</t>
  </si>
  <si>
    <t>2025-09-17</t>
  </si>
  <si>
    <t>O0262</t>
  </si>
  <si>
    <t>O0263</t>
  </si>
  <si>
    <t>O0264</t>
  </si>
  <si>
    <t>2025-03-09</t>
  </si>
  <si>
    <t>O0265</t>
  </si>
  <si>
    <t>O0266</t>
  </si>
  <si>
    <t>O0267</t>
  </si>
  <si>
    <t>O0268</t>
  </si>
  <si>
    <t>2025-03-12</t>
  </si>
  <si>
    <t>O0269</t>
  </si>
  <si>
    <t>O0270</t>
  </si>
  <si>
    <t>O0271</t>
  </si>
  <si>
    <t>2025-04-06</t>
  </si>
  <si>
    <t>O0272</t>
  </si>
  <si>
    <t>2025-09-29</t>
  </si>
  <si>
    <t>O0273</t>
  </si>
  <si>
    <t>2025-09-10</t>
  </si>
  <si>
    <t>O0274</t>
  </si>
  <si>
    <t>O0275</t>
  </si>
  <si>
    <t>O0276</t>
  </si>
  <si>
    <t>2025-07-15</t>
  </si>
  <si>
    <t>O0277</t>
  </si>
  <si>
    <t>2025-07-07</t>
  </si>
  <si>
    <t>O0278</t>
  </si>
  <si>
    <t>O0279</t>
  </si>
  <si>
    <t>2025-07-20</t>
  </si>
  <si>
    <t>O0280</t>
  </si>
  <si>
    <t>O0281</t>
  </si>
  <si>
    <t>2026-01-28</t>
  </si>
  <si>
    <t>O0282</t>
  </si>
  <si>
    <t>O0283</t>
  </si>
  <si>
    <t>2025-11-20</t>
  </si>
  <si>
    <t>O0284</t>
  </si>
  <si>
    <t>O0285</t>
  </si>
  <si>
    <t>O0286</t>
  </si>
  <si>
    <t>2025-11-03</t>
  </si>
  <si>
    <t>O0287</t>
  </si>
  <si>
    <t>O0288</t>
  </si>
  <si>
    <t>O0289</t>
  </si>
  <si>
    <t>2026-01-11</t>
  </si>
  <si>
    <t>O0290</t>
  </si>
  <si>
    <t>O0291</t>
  </si>
  <si>
    <t>2025-01-22</t>
  </si>
  <si>
    <t>O0292</t>
  </si>
  <si>
    <t>O0293</t>
  </si>
  <si>
    <t>O0294</t>
  </si>
  <si>
    <t>2025-10-14</t>
  </si>
  <si>
    <t>O0295</t>
  </si>
  <si>
    <t>O0296</t>
  </si>
  <si>
    <t>O0297</t>
  </si>
  <si>
    <t>2025-09-07</t>
  </si>
  <si>
    <t>O0298</t>
  </si>
  <si>
    <t>2025-02-26</t>
  </si>
  <si>
    <t>O0299</t>
  </si>
  <si>
    <t>2025-12-04</t>
  </si>
  <si>
    <t>O0300</t>
  </si>
  <si>
    <t>2025-11-30</t>
  </si>
  <si>
    <t>O0301</t>
  </si>
  <si>
    <t>2025-04-10</t>
  </si>
  <si>
    <t>O0302</t>
  </si>
  <si>
    <t>2025-06-13</t>
  </si>
  <si>
    <t>O0303</t>
  </si>
  <si>
    <t>O0304</t>
  </si>
  <si>
    <t>2025-06-12</t>
  </si>
  <si>
    <t>O0305</t>
  </si>
  <si>
    <t>2026-01-25</t>
  </si>
  <si>
    <t>O0306</t>
  </si>
  <si>
    <t>2025-05-24</t>
  </si>
  <si>
    <t>O0307</t>
  </si>
  <si>
    <t>2025-05-01</t>
  </si>
  <si>
    <t>O0308</t>
  </si>
  <si>
    <t>2025-06-27</t>
  </si>
  <si>
    <t>O0309</t>
  </si>
  <si>
    <t>2025-05-15</t>
  </si>
  <si>
    <t>O0310</t>
  </si>
  <si>
    <t>O0311</t>
  </si>
  <si>
    <t>2025-05-06</t>
  </si>
  <si>
    <t>O0312</t>
  </si>
  <si>
    <t>O0313</t>
  </si>
  <si>
    <t>2025-12-31</t>
  </si>
  <si>
    <t>O0314</t>
  </si>
  <si>
    <t>2025-06-02</t>
  </si>
  <si>
    <t>O0315</t>
  </si>
  <si>
    <t>O0316</t>
  </si>
  <si>
    <t>O0317</t>
  </si>
  <si>
    <t>2025-12-05</t>
  </si>
  <si>
    <t>O0318</t>
  </si>
  <si>
    <t>2025-06-08</t>
  </si>
  <si>
    <t>O0319</t>
  </si>
  <si>
    <t>O0320</t>
  </si>
  <si>
    <t>O0321</t>
  </si>
  <si>
    <t>O0322</t>
  </si>
  <si>
    <t>2026-02-02</t>
  </si>
  <si>
    <t>O0323</t>
  </si>
  <si>
    <t>O0324</t>
  </si>
  <si>
    <t>2025-04-24</t>
  </si>
  <si>
    <t>O0325</t>
  </si>
  <si>
    <t>O0326</t>
  </si>
  <si>
    <t>O0327</t>
  </si>
  <si>
    <t>O0328</t>
  </si>
  <si>
    <t>O0329</t>
  </si>
  <si>
    <t>2025-10-08</t>
  </si>
  <si>
    <t>O0330</t>
  </si>
  <si>
    <t>2025-07-11</t>
  </si>
  <si>
    <t>O0331</t>
  </si>
  <si>
    <t>O0332</t>
  </si>
  <si>
    <t>2025-01-11</t>
  </si>
  <si>
    <t>O0333</t>
  </si>
  <si>
    <t>2025-06-01</t>
  </si>
  <si>
    <t>O0334</t>
  </si>
  <si>
    <t>O0335</t>
  </si>
  <si>
    <t>O0336</t>
  </si>
  <si>
    <t>2026-01-07</t>
  </si>
  <si>
    <t>O0337</t>
  </si>
  <si>
    <t>2026-01-17</t>
  </si>
  <si>
    <t>O0338</t>
  </si>
  <si>
    <t>O0339</t>
  </si>
  <si>
    <t>2025-02-12</t>
  </si>
  <si>
    <t>O0340</t>
  </si>
  <si>
    <t>O0341</t>
  </si>
  <si>
    <t>O0342</t>
  </si>
  <si>
    <t>2025-08-16</t>
  </si>
  <si>
    <t>O0343</t>
  </si>
  <si>
    <t>2025-07-02</t>
  </si>
  <si>
    <t>O0344</t>
  </si>
  <si>
    <t>O0345</t>
  </si>
  <si>
    <t>2025-08-12</t>
  </si>
  <si>
    <t>O0346</t>
  </si>
  <si>
    <t>O0347</t>
  </si>
  <si>
    <t>O0348</t>
  </si>
  <si>
    <t>2025-11-06</t>
  </si>
  <si>
    <t>O0349</t>
  </si>
  <si>
    <t>O0350</t>
  </si>
  <si>
    <t>2025-10-28</t>
  </si>
  <si>
    <t>O0351</t>
  </si>
  <si>
    <t>O0352</t>
  </si>
  <si>
    <t>O0353</t>
  </si>
  <si>
    <t>2025-11-08</t>
  </si>
  <si>
    <t>O0354</t>
  </si>
  <si>
    <t>O0355</t>
  </si>
  <si>
    <t>2025-04-08</t>
  </si>
  <si>
    <t>O0356</t>
  </si>
  <si>
    <t>2026-01-09</t>
  </si>
  <si>
    <t>O0357</t>
  </si>
  <si>
    <t>2025-03-16</t>
  </si>
  <si>
    <t>O0358</t>
  </si>
  <si>
    <t>O0359</t>
  </si>
  <si>
    <t>O0360</t>
  </si>
  <si>
    <t>O0361</t>
  </si>
  <si>
    <t>O0362</t>
  </si>
  <si>
    <t>O0363</t>
  </si>
  <si>
    <t>2025-01-23</t>
  </si>
  <si>
    <t>O0364</t>
  </si>
  <si>
    <t>O0365</t>
  </si>
  <si>
    <t>O0366</t>
  </si>
  <si>
    <t>2025-02-08</t>
  </si>
  <si>
    <t>O0367</t>
  </si>
  <si>
    <t>O0368</t>
  </si>
  <si>
    <t>2025-10-17</t>
  </si>
  <si>
    <t>O0369</t>
  </si>
  <si>
    <t>2025-05-10</t>
  </si>
  <si>
    <t>O0370</t>
  </si>
  <si>
    <t>O0371</t>
  </si>
  <si>
    <t>2025-11-16</t>
  </si>
  <si>
    <t>O0372</t>
  </si>
  <si>
    <t>2025-01-17</t>
  </si>
  <si>
    <t>O0373</t>
  </si>
  <si>
    <t>O0374</t>
  </si>
  <si>
    <t>O0375</t>
  </si>
  <si>
    <t>O0376</t>
  </si>
  <si>
    <t>O0377</t>
  </si>
  <si>
    <t>2025-09-23</t>
  </si>
  <si>
    <t>O0378</t>
  </si>
  <si>
    <t>O0379</t>
  </si>
  <si>
    <t>O0380</t>
  </si>
  <si>
    <t>O0381</t>
  </si>
  <si>
    <t>2025-01-28</t>
  </si>
  <si>
    <t>O0382</t>
  </si>
  <si>
    <t>O0383</t>
  </si>
  <si>
    <t>2025-09-06</t>
  </si>
  <si>
    <t>O0384</t>
  </si>
  <si>
    <t>O0385</t>
  </si>
  <si>
    <t>O0386</t>
  </si>
  <si>
    <t>2025-03-01</t>
  </si>
  <si>
    <t>O0387</t>
  </si>
  <si>
    <t>O0388</t>
  </si>
  <si>
    <t>O0389</t>
  </si>
  <si>
    <t>O0390</t>
  </si>
  <si>
    <t>O0391</t>
  </si>
  <si>
    <t>O0392</t>
  </si>
  <si>
    <t>O0393</t>
  </si>
  <si>
    <t>O0394</t>
  </si>
  <si>
    <t>2025-03-27</t>
  </si>
  <si>
    <t>O0395</t>
  </si>
  <si>
    <t>O0396</t>
  </si>
  <si>
    <t>2025-06-21</t>
  </si>
  <si>
    <t>O0397</t>
  </si>
  <si>
    <t>O0398</t>
  </si>
  <si>
    <t>2026-01-27</t>
  </si>
  <si>
    <t>O0399</t>
  </si>
  <si>
    <t>O0400</t>
  </si>
  <si>
    <t>O0401</t>
  </si>
  <si>
    <t>2025-07-13</t>
  </si>
  <si>
    <t>O0402</t>
  </si>
  <si>
    <t>O0403</t>
  </si>
  <si>
    <t>2025-01-08</t>
  </si>
  <si>
    <t>O0404</t>
  </si>
  <si>
    <t>2025-02-16</t>
  </si>
  <si>
    <t>O0405</t>
  </si>
  <si>
    <t>O0406</t>
  </si>
  <si>
    <t>O0407</t>
  </si>
  <si>
    <t>O0408</t>
  </si>
  <si>
    <t>O0409</t>
  </si>
  <si>
    <t>O0410</t>
  </si>
  <si>
    <t>O0411</t>
  </si>
  <si>
    <t>2025-06-05</t>
  </si>
  <si>
    <t>O0412</t>
  </si>
  <si>
    <t>2025-12-26</t>
  </si>
  <si>
    <t>O0413</t>
  </si>
  <si>
    <t>O0414</t>
  </si>
  <si>
    <t>2025-09-05</t>
  </si>
  <si>
    <t>O0415</t>
  </si>
  <si>
    <t>O0416</t>
  </si>
  <si>
    <t>2025-08-22</t>
  </si>
  <si>
    <t>O0417</t>
  </si>
  <si>
    <t>O0418</t>
  </si>
  <si>
    <t>2025-02-20</t>
  </si>
  <si>
    <t>O0419</t>
  </si>
  <si>
    <t>2025-11-29</t>
  </si>
  <si>
    <t>O0420</t>
  </si>
  <si>
    <t>O0421</t>
  </si>
  <si>
    <t>O0422</t>
  </si>
  <si>
    <t>2025-11-24</t>
  </si>
  <si>
    <t>O0423</t>
  </si>
  <si>
    <t>2025-09-22</t>
  </si>
  <si>
    <t>O0424</t>
  </si>
  <si>
    <t>2025-08-01</t>
  </si>
  <si>
    <t>O0425</t>
  </si>
  <si>
    <t>O0426</t>
  </si>
  <si>
    <t>2025-05-23</t>
  </si>
  <si>
    <t>O0427</t>
  </si>
  <si>
    <t>O0428</t>
  </si>
  <si>
    <t>2025-02-01</t>
  </si>
  <si>
    <t>O0429</t>
  </si>
  <si>
    <t>2026-01-15</t>
  </si>
  <si>
    <t>O0430</t>
  </si>
  <si>
    <t>2025-07-31</t>
  </si>
  <si>
    <t>O0431</t>
  </si>
  <si>
    <t>O0432</t>
  </si>
  <si>
    <t>O0433</t>
  </si>
  <si>
    <t>O0434</t>
  </si>
  <si>
    <t>2025-05-13</t>
  </si>
  <si>
    <t>O0435</t>
  </si>
  <si>
    <t>2025-06-19</t>
  </si>
  <si>
    <t>O0436</t>
  </si>
  <si>
    <t>O0437</t>
  </si>
  <si>
    <t>O0438</t>
  </si>
  <si>
    <t>O0439</t>
  </si>
  <si>
    <t>O0440</t>
  </si>
  <si>
    <t>2025-08-18</t>
  </si>
  <si>
    <t>O0441</t>
  </si>
  <si>
    <t>O0442</t>
  </si>
  <si>
    <t>O0443</t>
  </si>
  <si>
    <t>2025-04-11</t>
  </si>
  <si>
    <t>O0444</t>
  </si>
  <si>
    <t>2025-12-02</t>
  </si>
  <si>
    <t>O0445</t>
  </si>
  <si>
    <t>O0446</t>
  </si>
  <si>
    <t>O0447</t>
  </si>
  <si>
    <t>2026-01-01</t>
  </si>
  <si>
    <t>O0448</t>
  </si>
  <si>
    <t>O0449</t>
  </si>
  <si>
    <t>O0450</t>
  </si>
  <si>
    <t>O0451</t>
  </si>
  <si>
    <t>O0452</t>
  </si>
  <si>
    <t>2025-11-07</t>
  </si>
  <si>
    <t>O0453</t>
  </si>
  <si>
    <t>O0454</t>
  </si>
  <si>
    <t>O0455</t>
  </si>
  <si>
    <t>O0456</t>
  </si>
  <si>
    <t>O0457</t>
  </si>
  <si>
    <t>O0458</t>
  </si>
  <si>
    <t>O0459</t>
  </si>
  <si>
    <t>O0460</t>
  </si>
  <si>
    <t>O0461</t>
  </si>
  <si>
    <t>2025-07-14</t>
  </si>
  <si>
    <t>O0462</t>
  </si>
  <si>
    <t>2025-02-21</t>
  </si>
  <si>
    <t>O0463</t>
  </si>
  <si>
    <t>O0464</t>
  </si>
  <si>
    <t>O0465</t>
  </si>
  <si>
    <t>2025-02-28</t>
  </si>
  <si>
    <t>O0466</t>
  </si>
  <si>
    <t>O0467</t>
  </si>
  <si>
    <t>O0468</t>
  </si>
  <si>
    <t>O0469</t>
  </si>
  <si>
    <t>O0470</t>
  </si>
  <si>
    <t>O0471</t>
  </si>
  <si>
    <t>O0472</t>
  </si>
  <si>
    <t>O0473</t>
  </si>
  <si>
    <t>2025-10-12</t>
  </si>
  <si>
    <t>O0474</t>
  </si>
  <si>
    <t>2026-01-19</t>
  </si>
  <si>
    <t>O0475</t>
  </si>
  <si>
    <t>2026-01-29</t>
  </si>
  <si>
    <t>O0476</t>
  </si>
  <si>
    <t>O0477</t>
  </si>
  <si>
    <t>O0478</t>
  </si>
  <si>
    <t>O0479</t>
  </si>
  <si>
    <t>O0480</t>
  </si>
  <si>
    <t>O0481</t>
  </si>
  <si>
    <t>O0482</t>
  </si>
  <si>
    <t>O0483</t>
  </si>
  <si>
    <t>O0484</t>
  </si>
  <si>
    <t>O0485</t>
  </si>
  <si>
    <t>O0486</t>
  </si>
  <si>
    <t>2025-09-14</t>
  </si>
  <si>
    <t>O0487</t>
  </si>
  <si>
    <t>O0488</t>
  </si>
  <si>
    <t>O0489</t>
  </si>
  <si>
    <t>O0490</t>
  </si>
  <si>
    <t>2025-11-14</t>
  </si>
  <si>
    <t>O0491</t>
  </si>
  <si>
    <t>2025-05-14</t>
  </si>
  <si>
    <t>O0492</t>
  </si>
  <si>
    <t>2026-01-03</t>
  </si>
  <si>
    <t>O0493</t>
  </si>
  <si>
    <t>O0494</t>
  </si>
  <si>
    <t>O0495</t>
  </si>
  <si>
    <t>2025-04-26</t>
  </si>
  <si>
    <t>O0496</t>
  </si>
  <si>
    <t>2025-03-06</t>
  </si>
  <si>
    <t>O0497</t>
  </si>
  <si>
    <t>O0498</t>
  </si>
  <si>
    <t>O0499</t>
  </si>
  <si>
    <t>2025-12-13</t>
  </si>
  <si>
    <t>O0500</t>
  </si>
  <si>
    <t>2025-11-10</t>
  </si>
  <si>
    <t>Use Pivot Tables and Charts Here</t>
  </si>
  <si>
    <t>Discount_Eligible</t>
  </si>
  <si>
    <t>Discounted_Price</t>
  </si>
  <si>
    <t>Profit</t>
  </si>
  <si>
    <t>Row Labels</t>
  </si>
  <si>
    <t>Grand Total</t>
  </si>
  <si>
    <t>Sum of Profit</t>
  </si>
  <si>
    <t>Sum of Quantity</t>
  </si>
  <si>
    <t>NO</t>
  </si>
  <si>
    <t>YES</t>
  </si>
  <si>
    <t>Count of Order_ID</t>
  </si>
  <si>
    <t>Real_Date</t>
  </si>
  <si>
    <t>2025</t>
  </si>
  <si>
    <t>2026</t>
  </si>
  <si>
    <t>Qtr1</t>
  </si>
  <si>
    <t>Qtr2</t>
  </si>
  <si>
    <t>Qtr3</t>
  </si>
  <si>
    <t>Qtr4</t>
  </si>
  <si>
    <t>Jan</t>
  </si>
  <si>
    <t>Feb</t>
  </si>
  <si>
    <t>Mar</t>
  </si>
  <si>
    <t>Monthly Profit</t>
  </si>
  <si>
    <t>Total Profit by Restaurant</t>
  </si>
  <si>
    <t>Discount vs No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</si>
</sst>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6"/>
      <color rgb="FFFF0000"/>
      <name val="Calibri"/>
      <family val="2"/>
      <scheme val="minor"/>
    </font>
    <font>
      <b/>
      <sz val="18"/>
      <color rgb="FFFF0000"/>
      <name val="Calibri"/>
      <family val="2"/>
      <scheme val="minor"/>
    </font>
    <font>
      <b/>
      <sz val="14"/>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0" fontId="2" fillId="2" borderId="0" xfId="0" applyFont="1" applyFill="1" applyAlignment="1">
      <alignment horizontal="center"/>
    </xf>
    <xf numFmtId="14" fontId="0" fillId="0" borderId="0" xfId="0" applyNumberFormat="1"/>
    <xf numFmtId="14" fontId="0" fillId="0" borderId="0" xfId="0" applyNumberFormat="1" applyAlignment="1">
      <alignment horizontal="left" indent="3"/>
    </xf>
    <xf numFmtId="0" fontId="3" fillId="2" borderId="0" xfId="0" applyFont="1" applyFill="1" applyAlignment="1">
      <alignment horizontal="center"/>
    </xf>
    <xf numFmtId="0" fontId="4" fillId="2" borderId="0" xfId="0" applyFont="1" applyFill="1" applyAlignment="1">
      <alignment horizontal="center"/>
    </xf>
  </cellXfs>
  <cellStyles count="1">
    <cellStyle name="Normal" xfId="0" builtinId="0"/>
  </cellStyles>
  <dxfs count="16">
    <dxf>
      <numFmt numFmtId="0" formatCode="General"/>
    </dxf>
    <dxf>
      <numFmt numFmtId="0" formatCode="General"/>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
      <numFmt numFmtId="19" formatCode="dd/mm/yyyy"/>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[Restaurant_Sales_Dashboard_Large_Data.xlsx]TotalProfit_Restaurent!PivotTable6</c:name>
    <c:fmtId val="3"/>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solidFill>
                  <a:schemeClr val="bg1">
                    <a:lumMod val="95000"/>
                  </a:schemeClr>
                </a:solidFill>
              </a:rPr>
              <a:t>Bar</a:t>
            </a:r>
            <a:r>
              <a:rPr lang="en-US" baseline="0">
                <a:solidFill>
                  <a:schemeClr val="bg1">
                    <a:lumMod val="95000"/>
                  </a:schemeClr>
                </a:solidFill>
              </a:rPr>
              <a:t> Chart</a:t>
            </a:r>
            <a:endParaRPr lang="en-US">
              <a:solidFill>
                <a:schemeClr val="bg1">
                  <a:lumMod val="95000"/>
                </a:schemeClr>
              </a:solidFill>
            </a:endParaRPr>
          </a:p>
        </c:rich>
      </c:tx>
      <c:layout>
        <c:manualLayout>
          <c:xMode val="edge"/>
          <c:yMode val="edge"/>
          <c:x val="0.42852314000480074"/>
          <c:y val="0.11934966462525518"/>
        </c:manualLayout>
      </c:layout>
      <c:overlay val="0"/>
      <c:spPr>
        <a:solidFill>
          <a:schemeClr val="tx1"/>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TotalProfit_Restaurent!$O$4</c:f>
              <c:strCache>
                <c:ptCount val="1"/>
                <c:pt idx="0">
                  <c:v>Total</c:v>
                </c:pt>
              </c:strCache>
            </c:strRef>
          </c:tx>
          <c:spPr>
            <a:solidFill>
              <a:schemeClr val="accent1"/>
            </a:solidFill>
            <a:ln>
              <a:noFill/>
            </a:ln>
            <a:effectLst/>
          </c:spPr>
          <c:invertIfNegative val="0"/>
          <c:cat>
            <c:strRef>
              <c:f>TotalProfit_Restaurent!$N$5:$N$104</c:f>
              <c:strCache>
                <c:ptCount val="99"/>
                <c:pt idx="0">
                  <c:v>R001</c:v>
                </c:pt>
                <c:pt idx="1">
                  <c:v>R002</c:v>
                </c:pt>
                <c:pt idx="2">
                  <c:v>R003</c:v>
                </c:pt>
                <c:pt idx="3">
                  <c:v>R004</c:v>
                </c:pt>
                <c:pt idx="4">
                  <c:v>R005</c:v>
                </c:pt>
                <c:pt idx="5">
                  <c:v>R006</c:v>
                </c:pt>
                <c:pt idx="6">
                  <c:v>R007</c:v>
                </c:pt>
                <c:pt idx="7">
                  <c:v>R008</c:v>
                </c:pt>
                <c:pt idx="8">
                  <c:v>R009</c:v>
                </c:pt>
                <c:pt idx="9">
                  <c:v>R010</c:v>
                </c:pt>
                <c:pt idx="10">
                  <c:v>R011</c:v>
                </c:pt>
                <c:pt idx="11">
                  <c:v>R012</c:v>
                </c:pt>
                <c:pt idx="12">
                  <c:v>R013</c:v>
                </c:pt>
                <c:pt idx="13">
                  <c:v>R014</c:v>
                </c:pt>
                <c:pt idx="14">
                  <c:v>R015</c:v>
                </c:pt>
                <c:pt idx="15">
                  <c:v>R016</c:v>
                </c:pt>
                <c:pt idx="16">
                  <c:v>R017</c:v>
                </c:pt>
                <c:pt idx="17">
                  <c:v>R018</c:v>
                </c:pt>
                <c:pt idx="18">
                  <c:v>R019</c:v>
                </c:pt>
                <c:pt idx="19">
                  <c:v>R020</c:v>
                </c:pt>
                <c:pt idx="20">
                  <c:v>R021</c:v>
                </c:pt>
                <c:pt idx="21">
                  <c:v>R022</c:v>
                </c:pt>
                <c:pt idx="22">
                  <c:v>R023</c:v>
                </c:pt>
                <c:pt idx="23">
                  <c:v>R024</c:v>
                </c:pt>
                <c:pt idx="24">
                  <c:v>R025</c:v>
                </c:pt>
                <c:pt idx="25">
                  <c:v>R026</c:v>
                </c:pt>
                <c:pt idx="26">
                  <c:v>R027</c:v>
                </c:pt>
                <c:pt idx="27">
                  <c:v>R028</c:v>
                </c:pt>
                <c:pt idx="28">
                  <c:v>R029</c:v>
                </c:pt>
                <c:pt idx="29">
                  <c:v>R030</c:v>
                </c:pt>
                <c:pt idx="30">
                  <c:v>R031</c:v>
                </c:pt>
                <c:pt idx="31">
                  <c:v>R032</c:v>
                </c:pt>
                <c:pt idx="32">
                  <c:v>R033</c:v>
                </c:pt>
                <c:pt idx="33">
                  <c:v>R034</c:v>
                </c:pt>
                <c:pt idx="34">
                  <c:v>R035</c:v>
                </c:pt>
                <c:pt idx="35">
                  <c:v>R036</c:v>
                </c:pt>
                <c:pt idx="36">
                  <c:v>R037</c:v>
                </c:pt>
                <c:pt idx="37">
                  <c:v>R038</c:v>
                </c:pt>
                <c:pt idx="38">
                  <c:v>R039</c:v>
                </c:pt>
                <c:pt idx="39">
                  <c:v>R040</c:v>
                </c:pt>
                <c:pt idx="40">
                  <c:v>R041</c:v>
                </c:pt>
                <c:pt idx="41">
                  <c:v>R042</c:v>
                </c:pt>
                <c:pt idx="42">
                  <c:v>R043</c:v>
                </c:pt>
                <c:pt idx="43">
                  <c:v>R044</c:v>
                </c:pt>
                <c:pt idx="44">
                  <c:v>R045</c:v>
                </c:pt>
                <c:pt idx="45">
                  <c:v>R046</c:v>
                </c:pt>
                <c:pt idx="46">
                  <c:v>R047</c:v>
                </c:pt>
                <c:pt idx="47">
                  <c:v>R048</c:v>
                </c:pt>
                <c:pt idx="48">
                  <c:v>R049</c:v>
                </c:pt>
                <c:pt idx="49">
                  <c:v>R051</c:v>
                </c:pt>
                <c:pt idx="50">
                  <c:v>R052</c:v>
                </c:pt>
                <c:pt idx="51">
                  <c:v>R053</c:v>
                </c:pt>
                <c:pt idx="52">
                  <c:v>R054</c:v>
                </c:pt>
                <c:pt idx="53">
                  <c:v>R055</c:v>
                </c:pt>
                <c:pt idx="54">
                  <c:v>R056</c:v>
                </c:pt>
                <c:pt idx="55">
                  <c:v>R057</c:v>
                </c:pt>
                <c:pt idx="56">
                  <c:v>R058</c:v>
                </c:pt>
                <c:pt idx="57">
                  <c:v>R059</c:v>
                </c:pt>
                <c:pt idx="58">
                  <c:v>R060</c:v>
                </c:pt>
                <c:pt idx="59">
                  <c:v>R061</c:v>
                </c:pt>
                <c:pt idx="60">
                  <c:v>R062</c:v>
                </c:pt>
                <c:pt idx="61">
                  <c:v>R063</c:v>
                </c:pt>
                <c:pt idx="62">
                  <c:v>R064</c:v>
                </c:pt>
                <c:pt idx="63">
                  <c:v>R065</c:v>
                </c:pt>
                <c:pt idx="64">
                  <c:v>R066</c:v>
                </c:pt>
                <c:pt idx="65">
                  <c:v>R067</c:v>
                </c:pt>
                <c:pt idx="66">
                  <c:v>R068</c:v>
                </c:pt>
                <c:pt idx="67">
                  <c:v>R069</c:v>
                </c:pt>
                <c:pt idx="68">
                  <c:v>R070</c:v>
                </c:pt>
                <c:pt idx="69">
                  <c:v>R071</c:v>
                </c:pt>
                <c:pt idx="70">
                  <c:v>R072</c:v>
                </c:pt>
                <c:pt idx="71">
                  <c:v>R073</c:v>
                </c:pt>
                <c:pt idx="72">
                  <c:v>R074</c:v>
                </c:pt>
                <c:pt idx="73">
                  <c:v>R075</c:v>
                </c:pt>
                <c:pt idx="74">
                  <c:v>R076</c:v>
                </c:pt>
                <c:pt idx="75">
                  <c:v>R077</c:v>
                </c:pt>
                <c:pt idx="76">
                  <c:v>R078</c:v>
                </c:pt>
                <c:pt idx="77">
                  <c:v>R079</c:v>
                </c:pt>
                <c:pt idx="78">
                  <c:v>R080</c:v>
                </c:pt>
                <c:pt idx="79">
                  <c:v>R081</c:v>
                </c:pt>
                <c:pt idx="80">
                  <c:v>R082</c:v>
                </c:pt>
                <c:pt idx="81">
                  <c:v>R083</c:v>
                </c:pt>
                <c:pt idx="82">
                  <c:v>R084</c:v>
                </c:pt>
                <c:pt idx="83">
                  <c:v>R085</c:v>
                </c:pt>
                <c:pt idx="84">
                  <c:v>R086</c:v>
                </c:pt>
                <c:pt idx="85">
                  <c:v>R087</c:v>
                </c:pt>
                <c:pt idx="86">
                  <c:v>R088</c:v>
                </c:pt>
                <c:pt idx="87">
                  <c:v>R089</c:v>
                </c:pt>
                <c:pt idx="88">
                  <c:v>R090</c:v>
                </c:pt>
                <c:pt idx="89">
                  <c:v>R091</c:v>
                </c:pt>
                <c:pt idx="90">
                  <c:v>R092</c:v>
                </c:pt>
                <c:pt idx="91">
                  <c:v>R093</c:v>
                </c:pt>
                <c:pt idx="92">
                  <c:v>R094</c:v>
                </c:pt>
                <c:pt idx="93">
                  <c:v>R095</c:v>
                </c:pt>
                <c:pt idx="94">
                  <c:v>R096</c:v>
                </c:pt>
                <c:pt idx="95">
                  <c:v>R097</c:v>
                </c:pt>
                <c:pt idx="96">
                  <c:v>R098</c:v>
                </c:pt>
                <c:pt idx="97">
                  <c:v>R099</c:v>
                </c:pt>
                <c:pt idx="98">
                  <c:v>R100</c:v>
                </c:pt>
              </c:strCache>
            </c:strRef>
          </c:cat>
          <c:val>
            <c:numRef>
              <c:f>TotalProfit_Restaurent!$O$5:$O$104</c:f>
              <c:numCache>
                <c:formatCode>General</c:formatCode>
                <c:ptCount val="99"/>
                <c:pt idx="0">
                  <c:v>1173</c:v>
                </c:pt>
                <c:pt idx="1">
                  <c:v>1555</c:v>
                </c:pt>
                <c:pt idx="2">
                  <c:v>760.5</c:v>
                </c:pt>
                <c:pt idx="3">
                  <c:v>1051</c:v>
                </c:pt>
                <c:pt idx="4">
                  <c:v>886</c:v>
                </c:pt>
                <c:pt idx="5">
                  <c:v>235</c:v>
                </c:pt>
                <c:pt idx="6">
                  <c:v>1966</c:v>
                </c:pt>
                <c:pt idx="7">
                  <c:v>952</c:v>
                </c:pt>
                <c:pt idx="8">
                  <c:v>17</c:v>
                </c:pt>
                <c:pt idx="9">
                  <c:v>284</c:v>
                </c:pt>
                <c:pt idx="10">
                  <c:v>941</c:v>
                </c:pt>
                <c:pt idx="11">
                  <c:v>554.5</c:v>
                </c:pt>
                <c:pt idx="12">
                  <c:v>1275</c:v>
                </c:pt>
                <c:pt idx="13">
                  <c:v>1601</c:v>
                </c:pt>
                <c:pt idx="14">
                  <c:v>1170</c:v>
                </c:pt>
                <c:pt idx="15">
                  <c:v>1798</c:v>
                </c:pt>
                <c:pt idx="16">
                  <c:v>383</c:v>
                </c:pt>
                <c:pt idx="17">
                  <c:v>626.5</c:v>
                </c:pt>
                <c:pt idx="18">
                  <c:v>1266</c:v>
                </c:pt>
                <c:pt idx="19">
                  <c:v>727</c:v>
                </c:pt>
                <c:pt idx="20">
                  <c:v>1342.5</c:v>
                </c:pt>
                <c:pt idx="21">
                  <c:v>2077</c:v>
                </c:pt>
                <c:pt idx="22">
                  <c:v>1796.5</c:v>
                </c:pt>
                <c:pt idx="23">
                  <c:v>54.5</c:v>
                </c:pt>
                <c:pt idx="24">
                  <c:v>421.5</c:v>
                </c:pt>
                <c:pt idx="25">
                  <c:v>1110.5</c:v>
                </c:pt>
                <c:pt idx="26">
                  <c:v>725</c:v>
                </c:pt>
                <c:pt idx="27">
                  <c:v>-97</c:v>
                </c:pt>
                <c:pt idx="28">
                  <c:v>1674</c:v>
                </c:pt>
                <c:pt idx="29">
                  <c:v>1611.5</c:v>
                </c:pt>
                <c:pt idx="30">
                  <c:v>1549</c:v>
                </c:pt>
                <c:pt idx="31">
                  <c:v>963</c:v>
                </c:pt>
                <c:pt idx="32">
                  <c:v>886</c:v>
                </c:pt>
                <c:pt idx="33">
                  <c:v>775</c:v>
                </c:pt>
                <c:pt idx="34">
                  <c:v>1007</c:v>
                </c:pt>
                <c:pt idx="35">
                  <c:v>1802</c:v>
                </c:pt>
                <c:pt idx="36">
                  <c:v>255</c:v>
                </c:pt>
                <c:pt idx="37">
                  <c:v>634</c:v>
                </c:pt>
                <c:pt idx="38">
                  <c:v>381</c:v>
                </c:pt>
                <c:pt idx="39">
                  <c:v>1214.5</c:v>
                </c:pt>
                <c:pt idx="40">
                  <c:v>64.5</c:v>
                </c:pt>
                <c:pt idx="41">
                  <c:v>1485.5</c:v>
                </c:pt>
                <c:pt idx="42">
                  <c:v>1123</c:v>
                </c:pt>
                <c:pt idx="43">
                  <c:v>1179.5</c:v>
                </c:pt>
                <c:pt idx="44">
                  <c:v>247</c:v>
                </c:pt>
                <c:pt idx="45">
                  <c:v>594</c:v>
                </c:pt>
                <c:pt idx="46">
                  <c:v>1846</c:v>
                </c:pt>
                <c:pt idx="47">
                  <c:v>6</c:v>
                </c:pt>
                <c:pt idx="48">
                  <c:v>1149.5</c:v>
                </c:pt>
                <c:pt idx="49">
                  <c:v>1152.5</c:v>
                </c:pt>
                <c:pt idx="50">
                  <c:v>1297.5</c:v>
                </c:pt>
                <c:pt idx="51">
                  <c:v>531</c:v>
                </c:pt>
                <c:pt idx="52">
                  <c:v>807</c:v>
                </c:pt>
                <c:pt idx="53">
                  <c:v>1157.5</c:v>
                </c:pt>
                <c:pt idx="54">
                  <c:v>1191.5</c:v>
                </c:pt>
                <c:pt idx="55">
                  <c:v>2547.5</c:v>
                </c:pt>
                <c:pt idx="56">
                  <c:v>668</c:v>
                </c:pt>
                <c:pt idx="57">
                  <c:v>895</c:v>
                </c:pt>
                <c:pt idx="58">
                  <c:v>1162</c:v>
                </c:pt>
                <c:pt idx="59">
                  <c:v>1874.5</c:v>
                </c:pt>
                <c:pt idx="60">
                  <c:v>973.5</c:v>
                </c:pt>
                <c:pt idx="61">
                  <c:v>1465</c:v>
                </c:pt>
                <c:pt idx="62">
                  <c:v>847</c:v>
                </c:pt>
                <c:pt idx="63">
                  <c:v>2628.5</c:v>
                </c:pt>
                <c:pt idx="64">
                  <c:v>2327</c:v>
                </c:pt>
                <c:pt idx="65">
                  <c:v>437.5</c:v>
                </c:pt>
                <c:pt idx="66">
                  <c:v>2688.5</c:v>
                </c:pt>
                <c:pt idx="67">
                  <c:v>1241</c:v>
                </c:pt>
                <c:pt idx="68">
                  <c:v>658</c:v>
                </c:pt>
                <c:pt idx="69">
                  <c:v>554.5</c:v>
                </c:pt>
                <c:pt idx="70">
                  <c:v>737</c:v>
                </c:pt>
                <c:pt idx="71">
                  <c:v>998</c:v>
                </c:pt>
                <c:pt idx="72">
                  <c:v>1115</c:v>
                </c:pt>
                <c:pt idx="73">
                  <c:v>1538</c:v>
                </c:pt>
                <c:pt idx="74">
                  <c:v>588</c:v>
                </c:pt>
                <c:pt idx="75">
                  <c:v>578.5</c:v>
                </c:pt>
                <c:pt idx="76">
                  <c:v>414.5</c:v>
                </c:pt>
                <c:pt idx="77">
                  <c:v>462.5</c:v>
                </c:pt>
                <c:pt idx="78">
                  <c:v>1131.5</c:v>
                </c:pt>
                <c:pt idx="79">
                  <c:v>420.5</c:v>
                </c:pt>
                <c:pt idx="80">
                  <c:v>1549</c:v>
                </c:pt>
                <c:pt idx="81">
                  <c:v>741</c:v>
                </c:pt>
                <c:pt idx="82">
                  <c:v>357.5</c:v>
                </c:pt>
                <c:pt idx="83">
                  <c:v>620.5</c:v>
                </c:pt>
                <c:pt idx="84">
                  <c:v>739</c:v>
                </c:pt>
                <c:pt idx="85">
                  <c:v>600</c:v>
                </c:pt>
                <c:pt idx="86">
                  <c:v>749</c:v>
                </c:pt>
                <c:pt idx="87">
                  <c:v>613.5</c:v>
                </c:pt>
                <c:pt idx="88">
                  <c:v>1420.5</c:v>
                </c:pt>
                <c:pt idx="89">
                  <c:v>875</c:v>
                </c:pt>
                <c:pt idx="90">
                  <c:v>1349.5</c:v>
                </c:pt>
                <c:pt idx="91">
                  <c:v>1948.5</c:v>
                </c:pt>
                <c:pt idx="92">
                  <c:v>105.5</c:v>
                </c:pt>
                <c:pt idx="93">
                  <c:v>1361</c:v>
                </c:pt>
                <c:pt idx="94">
                  <c:v>667.5</c:v>
                </c:pt>
                <c:pt idx="95">
                  <c:v>944</c:v>
                </c:pt>
                <c:pt idx="96">
                  <c:v>1055</c:v>
                </c:pt>
                <c:pt idx="97">
                  <c:v>770.5</c:v>
                </c:pt>
                <c:pt idx="98">
                  <c:v>1036</c:v>
                </c:pt>
              </c:numCache>
            </c:numRef>
          </c:val>
          <c:extLst>
            <c:ext xmlns:c16="http://schemas.microsoft.com/office/drawing/2014/chart" uri="{C3380CC4-5D6E-409C-BE32-E72D297353CC}">
              <c16:uniqueId val="{00000000-7E5B-4D3A-B2E5-26DB3814951D}"/>
            </c:ext>
          </c:extLst>
        </c:ser>
        <c:dLbls>
          <c:showLegendKey val="0"/>
          <c:showVal val="0"/>
          <c:showCatName val="0"/>
          <c:showSerName val="0"/>
          <c:showPercent val="0"/>
          <c:showBubbleSize val="0"/>
        </c:dLbls>
        <c:gapWidth val="150"/>
        <c:overlap val="100"/>
        <c:axId val="129378480"/>
        <c:axId val="129378960"/>
      </c:barChart>
      <c:catAx>
        <c:axId val="129378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78960"/>
        <c:crosses val="autoZero"/>
        <c:auto val="1"/>
        <c:lblAlgn val="ctr"/>
        <c:lblOffset val="100"/>
        <c:noMultiLvlLbl val="0"/>
      </c:catAx>
      <c:valAx>
        <c:axId val="129378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7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tx1"/>
      </a:solidFill>
      <a:round/>
    </a:ln>
    <a:effectLst>
      <a:outerShdw blurRad="50800" dist="50800" dir="5400000" algn="ctr" rotWithShape="0">
        <a:schemeClr val="tx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[Restaurant_Sales_Dashboard_Large_Data.xlsx]Discount_Eligible!PivotTable7</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Column</a:t>
            </a:r>
            <a:r>
              <a:rPr lang="en-US" baseline="0">
                <a:solidFill>
                  <a:schemeClr val="bg1"/>
                </a:solidFill>
              </a:rPr>
              <a:t> Chart</a:t>
            </a:r>
            <a:endParaRPr lang="en-US">
              <a:solidFill>
                <a:schemeClr val="bg1"/>
              </a:solidFill>
            </a:endParaRPr>
          </a:p>
        </c:rich>
      </c:tx>
      <c:overlay val="0"/>
      <c:spPr>
        <a:solidFill>
          <a:schemeClr val="tx1"/>
        </a:solidFill>
        <a:ln>
          <a:solidFill>
            <a:schemeClr val="tx1"/>
          </a:solidFill>
        </a:ln>
        <a:effectLst>
          <a:outerShdw blurRad="50800" dist="50800" dir="5400000" algn="ctr" rotWithShape="0">
            <a:schemeClr val="tx1"/>
          </a:outerShdw>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Discount_Eligible!$M$5</c:f>
              <c:strCache>
                <c:ptCount val="1"/>
                <c:pt idx="0">
                  <c:v>Total</c:v>
                </c:pt>
              </c:strCache>
            </c:strRef>
          </c:tx>
          <c:spPr>
            <a:solidFill>
              <a:schemeClr val="accent1"/>
            </a:solidFill>
            <a:ln>
              <a:noFill/>
            </a:ln>
            <a:effectLst/>
          </c:spPr>
          <c:invertIfNegative val="0"/>
          <c:cat>
            <c:strRef>
              <c:f>Discount_Eligible!$L$6:$L$8</c:f>
              <c:strCache>
                <c:ptCount val="2"/>
                <c:pt idx="0">
                  <c:v>NO</c:v>
                </c:pt>
                <c:pt idx="1">
                  <c:v>YES</c:v>
                </c:pt>
              </c:strCache>
            </c:strRef>
          </c:cat>
          <c:val>
            <c:numRef>
              <c:f>Discount_Eligible!$M$6:$M$8</c:f>
              <c:numCache>
                <c:formatCode>General</c:formatCode>
                <c:ptCount val="2"/>
                <c:pt idx="0">
                  <c:v>83701</c:v>
                </c:pt>
                <c:pt idx="1">
                  <c:v>15988.5</c:v>
                </c:pt>
              </c:numCache>
            </c:numRef>
          </c:val>
          <c:extLst>
            <c:ext xmlns:c16="http://schemas.microsoft.com/office/drawing/2014/chart" uri="{C3380CC4-5D6E-409C-BE32-E72D297353CC}">
              <c16:uniqueId val="{00000000-E62E-4342-85DD-FF2F938B7691}"/>
            </c:ext>
          </c:extLst>
        </c:ser>
        <c:dLbls>
          <c:showLegendKey val="0"/>
          <c:showVal val="0"/>
          <c:showCatName val="0"/>
          <c:showSerName val="0"/>
          <c:showPercent val="0"/>
          <c:showBubbleSize val="0"/>
        </c:dLbls>
        <c:gapWidth val="150"/>
        <c:overlap val="100"/>
        <c:axId val="129392880"/>
        <c:axId val="129393360"/>
      </c:barChart>
      <c:catAx>
        <c:axId val="12939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93360"/>
        <c:crosses val="autoZero"/>
        <c:auto val="1"/>
        <c:lblAlgn val="ctr"/>
        <c:lblOffset val="100"/>
        <c:noMultiLvlLbl val="0"/>
      </c:catAx>
      <c:valAx>
        <c:axId val="12939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9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tx1"/>
      </a:solidFill>
      <a:round/>
    </a:ln>
    <a:effectLst>
      <a:outerShdw blurRad="50800" dist="50800" dir="5400000" algn="ctr" rotWithShape="0">
        <a:schemeClr val="tx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[Restaurant_Sales_Dashboard_Large_Data.xlsx]Monthly Profit!PivotTable3</c:name>
    <c:fmtId val="6"/>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Line</a:t>
            </a:r>
            <a:r>
              <a:rPr lang="en-US" b="1" baseline="0">
                <a:solidFill>
                  <a:schemeClr val="bg1"/>
                </a:solidFill>
              </a:rPr>
              <a:t> Chart</a:t>
            </a:r>
          </a:p>
        </c:rich>
      </c:tx>
      <c:overlay val="0"/>
      <c:spPr>
        <a:solidFill>
          <a:schemeClr val="tx1"/>
        </a:solidFill>
        <a:ln>
          <a:solidFill>
            <a:schemeClr val="accent2"/>
          </a:solidFill>
        </a:ln>
        <a:effectLst>
          <a:outerShdw blurRad="50800" dist="50800" dir="5400000" algn="ctr" rotWithShape="0">
            <a:schemeClr val="tx1"/>
          </a:outerShdw>
        </a:effectLst>
        <a:scene3d>
          <a:camera prst="orthographicFront"/>
          <a:lightRig rig="threePt" dir="t"/>
        </a:scene3d>
        <a:sp3d prstMaterial="dkEdge"/>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Profit'!$O$4</c:f>
              <c:strCache>
                <c:ptCount val="1"/>
                <c:pt idx="0">
                  <c:v>Total</c:v>
                </c:pt>
              </c:strCache>
            </c:strRef>
          </c:tx>
          <c:spPr>
            <a:ln w="28575" cap="rnd">
              <a:solidFill>
                <a:schemeClr val="accent1"/>
              </a:solidFill>
              <a:round/>
            </a:ln>
            <a:effectLst/>
          </c:spPr>
          <c:marker>
            <c:symbol val="none"/>
          </c:marker>
          <c:cat>
            <c:multiLvlStrRef>
              <c:f>'Monthly Profit'!$N$5:$N$59</c:f>
              <c:multiLvlStrCache>
                <c:ptCount val="48"/>
                <c:lvl>
                  <c:pt idx="0">
                    <c:v>01-01-2025</c:v>
                  </c:pt>
                  <c:pt idx="1">
                    <c:v>02-01-2025</c:v>
                  </c:pt>
                  <c:pt idx="2">
                    <c:v>03-01-2025</c:v>
                  </c:pt>
                  <c:pt idx="3">
                    <c:v>04-01-2025</c:v>
                  </c:pt>
                  <c:pt idx="4">
                    <c:v>08-01-2025</c:v>
                  </c:pt>
                  <c:pt idx="5">
                    <c:v>09-01-2025</c:v>
                  </c:pt>
                  <c:pt idx="6">
                    <c:v>10-01-2025</c:v>
                  </c:pt>
                  <c:pt idx="7">
                    <c:v>11-01-2025</c:v>
                  </c:pt>
                  <c:pt idx="8">
                    <c:v>13-01-2025</c:v>
                  </c:pt>
                  <c:pt idx="9">
                    <c:v>14-01-2025</c:v>
                  </c:pt>
                  <c:pt idx="10">
                    <c:v>16-01-2025</c:v>
                  </c:pt>
                  <c:pt idx="11">
                    <c:v>17-01-2025</c:v>
                  </c:pt>
                  <c:pt idx="12">
                    <c:v>18-01-2025</c:v>
                  </c:pt>
                  <c:pt idx="13">
                    <c:v>20-01-2025</c:v>
                  </c:pt>
                  <c:pt idx="14">
                    <c:v>22-01-2025</c:v>
                  </c:pt>
                  <c:pt idx="15">
                    <c:v>23-01-2025</c:v>
                  </c:pt>
                  <c:pt idx="16">
                    <c:v>26-01-2025</c:v>
                  </c:pt>
                  <c:pt idx="17">
                    <c:v>28-01-2025</c:v>
                  </c:pt>
                  <c:pt idx="18">
                    <c:v>29-01-2025</c:v>
                  </c:pt>
                  <c:pt idx="24">
                    <c:v>01-01-2026</c:v>
                  </c:pt>
                  <c:pt idx="25">
                    <c:v>02-01-2026</c:v>
                  </c:pt>
                  <c:pt idx="26">
                    <c:v>03-01-2026</c:v>
                  </c:pt>
                  <c:pt idx="27">
                    <c:v>06-01-2026</c:v>
                  </c:pt>
                  <c:pt idx="28">
                    <c:v>07-01-2026</c:v>
                  </c:pt>
                  <c:pt idx="29">
                    <c:v>09-01-2026</c:v>
                  </c:pt>
                  <c:pt idx="30">
                    <c:v>11-01-2026</c:v>
                  </c:pt>
                  <c:pt idx="31">
                    <c:v>13-01-2026</c:v>
                  </c:pt>
                  <c:pt idx="32">
                    <c:v>15-01-2026</c:v>
                  </c:pt>
                  <c:pt idx="33">
                    <c:v>16-01-2026</c:v>
                  </c:pt>
                  <c:pt idx="34">
                    <c:v>17-01-2026</c:v>
                  </c:pt>
                  <c:pt idx="35">
                    <c:v>19-01-2026</c:v>
                  </c:pt>
                  <c:pt idx="36">
                    <c:v>20-01-2026</c:v>
                  </c:pt>
                  <c:pt idx="37">
                    <c:v>21-01-2026</c:v>
                  </c:pt>
                  <c:pt idx="38">
                    <c:v>22-01-2026</c:v>
                  </c:pt>
                  <c:pt idx="39">
                    <c:v>24-01-2026</c:v>
                  </c:pt>
                  <c:pt idx="40">
                    <c:v>25-01-2026</c:v>
                  </c:pt>
                  <c:pt idx="41">
                    <c:v>26-01-2026</c:v>
                  </c:pt>
                  <c:pt idx="42">
                    <c:v>27-01-2026</c:v>
                  </c:pt>
                  <c:pt idx="43">
                    <c:v>28-01-2026</c:v>
                  </c:pt>
                  <c:pt idx="44">
                    <c:v>29-01-2026</c:v>
                  </c:pt>
                  <c:pt idx="45">
                    <c:v>30-01-2026</c:v>
                  </c:pt>
                  <c:pt idx="46">
                    <c:v>31-01-2026</c:v>
                  </c:pt>
                </c:lvl>
                <c:lvl>
                  <c:pt idx="0">
                    <c:v>Jan</c:v>
                  </c:pt>
                  <c:pt idx="19">
                    <c:v>Feb</c:v>
                  </c:pt>
                  <c:pt idx="20">
                    <c:v>Mar</c:v>
                  </c:pt>
                  <c:pt idx="24">
                    <c:v>Jan</c:v>
                  </c:pt>
                  <c:pt idx="47">
                    <c:v>Feb</c:v>
                  </c:pt>
                </c:lvl>
                <c:lvl>
                  <c:pt idx="0">
                    <c:v>Qtr1</c:v>
                  </c:pt>
                  <c:pt idx="21">
                    <c:v>Qtr2</c:v>
                  </c:pt>
                  <c:pt idx="22">
                    <c:v>Qtr3</c:v>
                  </c:pt>
                  <c:pt idx="23">
                    <c:v>Qtr4</c:v>
                  </c:pt>
                  <c:pt idx="24">
                    <c:v>Qtr1</c:v>
                  </c:pt>
                </c:lvl>
                <c:lvl>
                  <c:pt idx="0">
                    <c:v>2025</c:v>
                  </c:pt>
                  <c:pt idx="24">
                    <c:v>2026</c:v>
                  </c:pt>
                </c:lvl>
              </c:multiLvlStrCache>
            </c:multiLvlStrRef>
          </c:cat>
          <c:val>
            <c:numRef>
              <c:f>'Monthly Profit'!$O$5:$O$59</c:f>
              <c:numCache>
                <c:formatCode>General</c:formatCode>
                <c:ptCount val="48"/>
                <c:pt idx="0">
                  <c:v>0</c:v>
                </c:pt>
                <c:pt idx="1">
                  <c:v>39</c:v>
                </c:pt>
                <c:pt idx="2">
                  <c:v>-11</c:v>
                </c:pt>
                <c:pt idx="3">
                  <c:v>762</c:v>
                </c:pt>
                <c:pt idx="4">
                  <c:v>626</c:v>
                </c:pt>
                <c:pt idx="5">
                  <c:v>472</c:v>
                </c:pt>
                <c:pt idx="6">
                  <c:v>228</c:v>
                </c:pt>
                <c:pt idx="7">
                  <c:v>185</c:v>
                </c:pt>
                <c:pt idx="8">
                  <c:v>784</c:v>
                </c:pt>
                <c:pt idx="9">
                  <c:v>82</c:v>
                </c:pt>
                <c:pt idx="10">
                  <c:v>79</c:v>
                </c:pt>
                <c:pt idx="11">
                  <c:v>568</c:v>
                </c:pt>
                <c:pt idx="12">
                  <c:v>263.5</c:v>
                </c:pt>
                <c:pt idx="13">
                  <c:v>21</c:v>
                </c:pt>
                <c:pt idx="14">
                  <c:v>248</c:v>
                </c:pt>
                <c:pt idx="15">
                  <c:v>-6.5</c:v>
                </c:pt>
                <c:pt idx="16">
                  <c:v>252</c:v>
                </c:pt>
                <c:pt idx="17">
                  <c:v>56</c:v>
                </c:pt>
                <c:pt idx="18">
                  <c:v>345</c:v>
                </c:pt>
                <c:pt idx="19">
                  <c:v>6458.5</c:v>
                </c:pt>
                <c:pt idx="20">
                  <c:v>7510.5</c:v>
                </c:pt>
                <c:pt idx="21">
                  <c:v>26059.5</c:v>
                </c:pt>
                <c:pt idx="22">
                  <c:v>22452</c:v>
                </c:pt>
                <c:pt idx="23">
                  <c:v>22956.5</c:v>
                </c:pt>
                <c:pt idx="24">
                  <c:v>96</c:v>
                </c:pt>
                <c:pt idx="25">
                  <c:v>865</c:v>
                </c:pt>
                <c:pt idx="26">
                  <c:v>-11.5</c:v>
                </c:pt>
                <c:pt idx="27">
                  <c:v>60</c:v>
                </c:pt>
                <c:pt idx="28">
                  <c:v>1040</c:v>
                </c:pt>
                <c:pt idx="29">
                  <c:v>606</c:v>
                </c:pt>
                <c:pt idx="30">
                  <c:v>338</c:v>
                </c:pt>
                <c:pt idx="31">
                  <c:v>279</c:v>
                </c:pt>
                <c:pt idx="32">
                  <c:v>65.5</c:v>
                </c:pt>
                <c:pt idx="33">
                  <c:v>315</c:v>
                </c:pt>
                <c:pt idx="34">
                  <c:v>-38</c:v>
                </c:pt>
                <c:pt idx="35">
                  <c:v>-12</c:v>
                </c:pt>
                <c:pt idx="36">
                  <c:v>716</c:v>
                </c:pt>
                <c:pt idx="37">
                  <c:v>11</c:v>
                </c:pt>
                <c:pt idx="38">
                  <c:v>832</c:v>
                </c:pt>
                <c:pt idx="39">
                  <c:v>206</c:v>
                </c:pt>
                <c:pt idx="40">
                  <c:v>272</c:v>
                </c:pt>
                <c:pt idx="41">
                  <c:v>479</c:v>
                </c:pt>
                <c:pt idx="42">
                  <c:v>684</c:v>
                </c:pt>
                <c:pt idx="43">
                  <c:v>140</c:v>
                </c:pt>
                <c:pt idx="44">
                  <c:v>119</c:v>
                </c:pt>
                <c:pt idx="45">
                  <c:v>77.5</c:v>
                </c:pt>
                <c:pt idx="46">
                  <c:v>835</c:v>
                </c:pt>
                <c:pt idx="47">
                  <c:v>1285</c:v>
                </c:pt>
              </c:numCache>
            </c:numRef>
          </c:val>
          <c:smooth val="0"/>
          <c:extLst>
            <c:ext xmlns:c16="http://schemas.microsoft.com/office/drawing/2014/chart" uri="{C3380CC4-5D6E-409C-BE32-E72D297353CC}">
              <c16:uniqueId val="{00000000-EE39-4710-9016-D7FD85B85346}"/>
            </c:ext>
          </c:extLst>
        </c:ser>
        <c:dLbls>
          <c:showLegendKey val="0"/>
          <c:showVal val="0"/>
          <c:showCatName val="0"/>
          <c:showSerName val="0"/>
          <c:showPercent val="0"/>
          <c:showBubbleSize val="0"/>
        </c:dLbls>
        <c:smooth val="0"/>
        <c:axId val="1968785472"/>
        <c:axId val="1968786912"/>
      </c:lineChart>
      <c:catAx>
        <c:axId val="196878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786912"/>
        <c:crosses val="autoZero"/>
        <c:auto val="1"/>
        <c:lblAlgn val="ctr"/>
        <c:lblOffset val="100"/>
        <c:noMultiLvlLbl val="0"/>
      </c:catAx>
      <c:valAx>
        <c:axId val="196878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78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dk1"/>
      </a:solidFill>
      <a:round/>
    </a:ln>
    <a:effectLst>
      <a:outerShdw blurRad="50800" dist="50800" dir="5400000" algn="ctr" rotWithShape="0">
        <a:schemeClr val="tx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14</xdr:col>
      <xdr:colOff>571500</xdr:colOff>
      <xdr:row>2</xdr:row>
      <xdr:rowOff>15240</xdr:rowOff>
    </xdr:from>
    <xdr:to>
      <xdr:col>17</xdr:col>
      <xdr:colOff>571500</xdr:colOff>
      <xdr:row>15</xdr:row>
      <xdr:rowOff>104775</xdr:rowOff>
    </xdr:to>
    <mc:AlternateContent xmlns:mc="http://schemas.openxmlformats.org/markup-compatibility/2006">
      <mc:Choice xmlns:a14="http://schemas.microsoft.com/office/drawing/2010/main" Requires="a14">
        <xdr:graphicFrame macro="">
          <xdr:nvGraphicFramePr>
            <xdr:cNvPr id="5" name="Customer_ID">
              <a:extLst>
                <a:ext uri="{FF2B5EF4-FFF2-40B4-BE49-F238E27FC236}">
                  <a16:creationId xmlns:a16="http://schemas.microsoft.com/office/drawing/2014/main" id="{F19BBF72-BDB1-EAB8-F7D2-F1EE8D90657D}"/>
                </a:ext>
              </a:extLst>
            </xdr:cNvPr>
            <xdr:cNvGraphicFramePr/>
          </xdr:nvGraphicFramePr>
          <xdr:xfrm>
            <a:off x="0" y="0"/>
            <a:ext cx="0" cy="0"/>
          </xdr:xfrm>
          <a:graphic>
            <a:graphicData uri="http://schemas.microsoft.com/office/drawing/2010/slicer">
              <sle:slicer xmlns:sle="http://schemas.microsoft.com/office/drawing/2010/slicer" name="Customer_ID"/>
            </a:graphicData>
          </a:graphic>
        </xdr:graphicFrame>
      </mc:Choice>
      <mc:Fallback>
        <xdr:sp macro="" textlink="">
          <xdr:nvSpPr>
            <xdr:cNvPr id="0" name=""/>
            <xdr:cNvSpPr>
              <a:spLocks noTextEdit="1"/>
            </xdr:cNvSpPr>
          </xdr:nvSpPr>
          <xdr:spPr>
            <a:xfrm>
              <a:off x="10386060" y="42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320040</xdr:colOff>
      <xdr:row>1</xdr:row>
      <xdr:rowOff>22860</xdr:rowOff>
    </xdr:from>
    <xdr:to>
      <xdr:col>14</xdr:col>
      <xdr:colOff>320040</xdr:colOff>
      <xdr:row>14</xdr:row>
      <xdr:rowOff>112395</xdr:rowOff>
    </xdr:to>
    <mc:AlternateContent xmlns:mc="http://schemas.openxmlformats.org/markup-compatibility/2006">
      <mc:Choice xmlns:a14="http://schemas.microsoft.com/office/drawing/2010/main" Requires="a14">
        <xdr:graphicFrame macro="">
          <xdr:nvGraphicFramePr>
            <xdr:cNvPr id="6" name="Restaurant_ID">
              <a:extLst>
                <a:ext uri="{FF2B5EF4-FFF2-40B4-BE49-F238E27FC236}">
                  <a16:creationId xmlns:a16="http://schemas.microsoft.com/office/drawing/2014/main" id="{0AA6F33E-E39A-AE38-3FEA-E1C267E571B6}"/>
                </a:ext>
              </a:extLst>
            </xdr:cNvPr>
            <xdr:cNvGraphicFramePr/>
          </xdr:nvGraphicFramePr>
          <xdr:xfrm>
            <a:off x="0" y="0"/>
            <a:ext cx="0" cy="0"/>
          </xdr:xfrm>
          <a:graphic>
            <a:graphicData uri="http://schemas.microsoft.com/office/drawing/2010/slicer">
              <sle:slicer xmlns:sle="http://schemas.microsoft.com/office/drawing/2010/slicer" name="Restaurant_ID"/>
            </a:graphicData>
          </a:graphic>
        </xdr:graphicFrame>
      </mc:Choice>
      <mc:Fallback>
        <xdr:sp macro="" textlink="">
          <xdr:nvSpPr>
            <xdr:cNvPr id="0" name=""/>
            <xdr:cNvSpPr>
              <a:spLocks noTextEdit="1"/>
            </xdr:cNvSpPr>
          </xdr:nvSpPr>
          <xdr:spPr>
            <a:xfrm>
              <a:off x="8305800" y="251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281940</xdr:colOff>
      <xdr:row>1</xdr:row>
      <xdr:rowOff>0</xdr:rowOff>
    </xdr:from>
    <xdr:to>
      <xdr:col>11</xdr:col>
      <xdr:colOff>281940</xdr:colOff>
      <xdr:row>14</xdr:row>
      <xdr:rowOff>89535</xdr:rowOff>
    </xdr:to>
    <mc:AlternateContent xmlns:mc="http://schemas.openxmlformats.org/markup-compatibility/2006">
      <mc:Choice xmlns:a14="http://schemas.microsoft.com/office/drawing/2010/main" Requires="a14">
        <xdr:graphicFrame macro="">
          <xdr:nvGraphicFramePr>
            <xdr:cNvPr id="7" name="Dessert_ID">
              <a:extLst>
                <a:ext uri="{FF2B5EF4-FFF2-40B4-BE49-F238E27FC236}">
                  <a16:creationId xmlns:a16="http://schemas.microsoft.com/office/drawing/2014/main" id="{C9D5B740-FD10-526F-BFA6-2F6F069FE179}"/>
                </a:ext>
              </a:extLst>
            </xdr:cNvPr>
            <xdr:cNvGraphicFramePr/>
          </xdr:nvGraphicFramePr>
          <xdr:xfrm>
            <a:off x="0" y="0"/>
            <a:ext cx="0" cy="0"/>
          </xdr:xfrm>
          <a:graphic>
            <a:graphicData uri="http://schemas.microsoft.com/office/drawing/2010/slicer">
              <sle:slicer xmlns:sle="http://schemas.microsoft.com/office/drawing/2010/slicer" name="Dessert_ID"/>
            </a:graphicData>
          </a:graphic>
        </xdr:graphicFrame>
      </mc:Choice>
      <mc:Fallback>
        <xdr:sp macro="" textlink="">
          <xdr:nvSpPr>
            <xdr:cNvPr id="0" name=""/>
            <xdr:cNvSpPr>
              <a:spLocks noTextEdit="1"/>
            </xdr:cNvSpPr>
          </xdr:nvSpPr>
          <xdr:spPr>
            <a:xfrm>
              <a:off x="6438900" y="228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160020</xdr:colOff>
      <xdr:row>1</xdr:row>
      <xdr:rowOff>60960</xdr:rowOff>
    </xdr:from>
    <xdr:to>
      <xdr:col>8</xdr:col>
      <xdr:colOff>160020</xdr:colOff>
      <xdr:row>14</xdr:row>
      <xdr:rowOff>150495</xdr:rowOff>
    </xdr:to>
    <mc:AlternateContent xmlns:mc="http://schemas.openxmlformats.org/markup-compatibility/2006">
      <mc:Choice xmlns:a14="http://schemas.microsoft.com/office/drawing/2010/main" Requires="a14">
        <xdr:graphicFrame macro="">
          <xdr:nvGraphicFramePr>
            <xdr:cNvPr id="8" name="Discount_Eligible">
              <a:extLst>
                <a:ext uri="{FF2B5EF4-FFF2-40B4-BE49-F238E27FC236}">
                  <a16:creationId xmlns:a16="http://schemas.microsoft.com/office/drawing/2014/main" id="{F26C5C9C-B0C8-76AE-E5E6-A31211F39F65}"/>
                </a:ext>
              </a:extLst>
            </xdr:cNvPr>
            <xdr:cNvGraphicFramePr/>
          </xdr:nvGraphicFramePr>
          <xdr:xfrm>
            <a:off x="0" y="0"/>
            <a:ext cx="0" cy="0"/>
          </xdr:xfrm>
          <a:graphic>
            <a:graphicData uri="http://schemas.microsoft.com/office/drawing/2010/slicer">
              <sle:slicer xmlns:sle="http://schemas.microsoft.com/office/drawing/2010/slicer" name="Discount_Eligible"/>
            </a:graphicData>
          </a:graphic>
        </xdr:graphicFrame>
      </mc:Choice>
      <mc:Fallback>
        <xdr:sp macro="" textlink="">
          <xdr:nvSpPr>
            <xdr:cNvPr id="0" name=""/>
            <xdr:cNvSpPr>
              <a:spLocks noTextEdit="1"/>
            </xdr:cNvSpPr>
          </xdr:nvSpPr>
          <xdr:spPr>
            <a:xfrm>
              <a:off x="4488180" y="289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571500</xdr:colOff>
      <xdr:row>4</xdr:row>
      <xdr:rowOff>11430</xdr:rowOff>
    </xdr:from>
    <xdr:to>
      <xdr:col>24</xdr:col>
      <xdr:colOff>167640</xdr:colOff>
      <xdr:row>19</xdr:row>
      <xdr:rowOff>11430</xdr:rowOff>
    </xdr:to>
    <xdr:graphicFrame macro="">
      <xdr:nvGraphicFramePr>
        <xdr:cNvPr id="2" name="Chart 1">
          <a:extLst>
            <a:ext uri="{FF2B5EF4-FFF2-40B4-BE49-F238E27FC236}">
              <a16:creationId xmlns:a16="http://schemas.microsoft.com/office/drawing/2014/main" id="{50DF13AC-1A60-68C5-9BE1-CFC761E6B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487680</xdr:colOff>
      <xdr:row>9</xdr:row>
      <xdr:rowOff>179070</xdr:rowOff>
    </xdr:from>
    <xdr:to>
      <xdr:col>17</xdr:col>
      <xdr:colOff>320040</xdr:colOff>
      <xdr:row>24</xdr:row>
      <xdr:rowOff>179070</xdr:rowOff>
    </xdr:to>
    <xdr:graphicFrame macro="">
      <xdr:nvGraphicFramePr>
        <xdr:cNvPr id="2" name="Chart 1">
          <a:extLst>
            <a:ext uri="{FF2B5EF4-FFF2-40B4-BE49-F238E27FC236}">
              <a16:creationId xmlns:a16="http://schemas.microsoft.com/office/drawing/2014/main" id="{16ECD4A8-FC8D-43D1-CC4B-6E9067F91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106680</xdr:colOff>
      <xdr:row>11</xdr:row>
      <xdr:rowOff>95250</xdr:rowOff>
    </xdr:from>
    <xdr:to>
      <xdr:col>18</xdr:col>
      <xdr:colOff>548640</xdr:colOff>
      <xdr:row>26</xdr:row>
      <xdr:rowOff>95250</xdr:rowOff>
    </xdr:to>
    <xdr:graphicFrame macro="">
      <xdr:nvGraphicFramePr>
        <xdr:cNvPr id="2" name="Chart 1">
          <a:extLst>
            <a:ext uri="{FF2B5EF4-FFF2-40B4-BE49-F238E27FC236}">
              <a16:creationId xmlns:a16="http://schemas.microsoft.com/office/drawing/2014/main" id="{FAEC970D-8233-501A-5DB0-DF99ECF05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Madhavi" refreshedDate="46069.305879976855" createdVersion="8" refreshedVersion="8" minRefreshableVersion="3" recordCount="500" xr:uid="{65EEF3AF-48C8-425C-989B-BBE1B46E8E2E}">
  <cacheSource type="worksheet">
    <worksheetSource name="Table2"/>
  </cacheSource>
  <cacheFields count="10">
    <cacheField name="Order_ID" numFmtId="0">
      <sharedItems/>
    </cacheField>
    <cacheField name="Date" numFmtId="0">
      <sharedItems/>
    </cacheField>
    <cacheField name="Customer_ID" numFmtId="0">
      <sharedItems count="100">
        <s v="C016"/>
        <s v="C069"/>
        <s v="C079"/>
        <s v="C097"/>
        <s v="C021"/>
        <s v="C062"/>
        <s v="C074"/>
        <s v="C044"/>
        <s v="C100"/>
        <s v="C013"/>
        <s v="C051"/>
        <s v="C034"/>
        <s v="C092"/>
        <s v="C001"/>
        <s v="C063"/>
        <s v="C061"/>
        <s v="C094"/>
        <s v="C017"/>
        <s v="C042"/>
        <s v="C059"/>
        <s v="C064"/>
        <s v="C096"/>
        <s v="C055"/>
        <s v="C076"/>
        <s v="C083"/>
        <s v="C066"/>
        <s v="C031"/>
        <s v="C023"/>
        <s v="C030"/>
        <s v="C005"/>
        <s v="C035"/>
        <s v="C033"/>
        <s v="C026"/>
        <s v="C071"/>
        <s v="C053"/>
        <s v="C058"/>
        <s v="C077"/>
        <s v="C010"/>
        <s v="C043"/>
        <s v="C054"/>
        <s v="C041"/>
        <s v="C073"/>
        <s v="C090"/>
        <s v="C098"/>
        <s v="C085"/>
        <s v="C029"/>
        <s v="C048"/>
        <s v="C002"/>
        <s v="C025"/>
        <s v="C047"/>
        <s v="C024"/>
        <s v="C039"/>
        <s v="C015"/>
        <s v="C091"/>
        <s v="C036"/>
        <s v="C049"/>
        <s v="C087"/>
        <s v="C089"/>
        <s v="C088"/>
        <s v="C081"/>
        <s v="C003"/>
        <s v="C018"/>
        <s v="C068"/>
        <s v="C008"/>
        <s v="C046"/>
        <s v="C052"/>
        <s v="C020"/>
        <s v="C014"/>
        <s v="C095"/>
        <s v="C099"/>
        <s v="C050"/>
        <s v="C045"/>
        <s v="C093"/>
        <s v="C032"/>
        <s v="C019"/>
        <s v="C007"/>
        <s v="C078"/>
        <s v="C038"/>
        <s v="C027"/>
        <s v="C070"/>
        <s v="C012"/>
        <s v="C028"/>
        <s v="C056"/>
        <s v="C060"/>
        <s v="C040"/>
        <s v="C072"/>
        <s v="C037"/>
        <s v="C004"/>
        <s v="C067"/>
        <s v="C086"/>
        <s v="C022"/>
        <s v="C065"/>
        <s v="C006"/>
        <s v="C057"/>
        <s v="C084"/>
        <s v="C011"/>
        <s v="C082"/>
        <s v="C080"/>
        <s v="C009"/>
        <s v="C075"/>
      </sharedItems>
    </cacheField>
    <cacheField name="Restaurant_ID" numFmtId="0">
      <sharedItems count="99">
        <s v="R003"/>
        <s v="R097"/>
        <s v="R060"/>
        <s v="R074"/>
        <s v="R023"/>
        <s v="R020"/>
        <s v="R072"/>
        <s v="R095"/>
        <s v="R054"/>
        <s v="R049"/>
        <s v="R073"/>
        <s v="R008"/>
        <s v="R077"/>
        <s v="R029"/>
        <s v="R030"/>
        <s v="R014"/>
        <s v="R062"/>
        <s v="R087"/>
        <s v="R015"/>
        <s v="R005"/>
        <s v="R075"/>
        <s v="R098"/>
        <s v="R042"/>
        <s v="R032"/>
        <s v="R076"/>
        <s v="R053"/>
        <s v="R028"/>
        <s v="R093"/>
        <s v="R085"/>
        <s v="R052"/>
        <s v="R046"/>
        <s v="R033"/>
        <s v="R034"/>
        <s v="R090"/>
        <s v="R047"/>
        <s v="R025"/>
        <s v="R094"/>
        <s v="R016"/>
        <s v="R099"/>
        <s v="R088"/>
        <s v="R092"/>
        <s v="R068"/>
        <s v="R057"/>
        <s v="R086"/>
        <s v="R063"/>
        <s v="R089"/>
        <s v="R007"/>
        <s v="R027"/>
        <s v="R037"/>
        <s v="R002"/>
        <s v="R081"/>
        <s v="R080"/>
        <s v="R039"/>
        <s v="R083"/>
        <s v="R069"/>
        <s v="R019"/>
        <s v="R012"/>
        <s v="R021"/>
        <s v="R004"/>
        <s v="R011"/>
        <s v="R071"/>
        <s v="R066"/>
        <s v="R006"/>
        <s v="R010"/>
        <s v="R058"/>
        <s v="R026"/>
        <s v="R065"/>
        <s v="R035"/>
        <s v="R018"/>
        <s v="R022"/>
        <s v="R082"/>
        <s v="R031"/>
        <s v="R036"/>
        <s v="R048"/>
        <s v="R100"/>
        <s v="R055"/>
        <s v="R084"/>
        <s v="R017"/>
        <s v="R024"/>
        <s v="R041"/>
        <s v="R056"/>
        <s v="R067"/>
        <s v="R061"/>
        <s v="R079"/>
        <s v="R070"/>
        <s v="R044"/>
        <s v="R064"/>
        <s v="R040"/>
        <s v="R013"/>
        <s v="R043"/>
        <s v="R059"/>
        <s v="R096"/>
        <s v="R001"/>
        <s v="R045"/>
        <s v="R078"/>
        <s v="R009"/>
        <s v="R091"/>
        <s v="R038"/>
        <s v="R051"/>
      </sharedItems>
    </cacheField>
    <cacheField name="Dessert_ID" numFmtId="0">
      <sharedItems count="50">
        <s v="D044"/>
        <s v="D001"/>
        <s v="D015"/>
        <s v="D042"/>
        <s v="D031"/>
        <s v="D034"/>
        <s v="D009"/>
        <s v="D023"/>
        <s v="D010"/>
        <s v="D030"/>
        <s v="D049"/>
        <s v="D004"/>
        <s v="D047"/>
        <s v="D029"/>
        <s v="D039"/>
        <s v="D018"/>
        <s v="D003"/>
        <s v="D035"/>
        <s v="D025"/>
        <s v="D036"/>
        <s v="D027"/>
        <s v="D016"/>
        <s v="D007"/>
        <s v="D017"/>
        <s v="D032"/>
        <s v="D002"/>
        <s v="D024"/>
        <s v="D022"/>
        <s v="D040"/>
        <s v="D008"/>
        <s v="D033"/>
        <s v="D045"/>
        <s v="D021"/>
        <s v="D048"/>
        <s v="D046"/>
        <s v="D019"/>
        <s v="D037"/>
        <s v="D020"/>
        <s v="D028"/>
        <s v="D038"/>
        <s v="D050"/>
        <s v="D005"/>
        <s v="D013"/>
        <s v="D006"/>
        <s v="D011"/>
        <s v="D041"/>
        <s v="D043"/>
        <s v="D026"/>
        <s v="D014"/>
        <s v="D012"/>
      </sharedItems>
    </cacheField>
    <cacheField name="Quantity" numFmtId="0">
      <sharedItems containsSemiMixedTypes="0" containsString="0" containsNumber="1" containsInteger="1" minValue="1" maxValue="5"/>
    </cacheField>
    <cacheField name="Price_Per_Item" numFmtId="0">
      <sharedItems containsSemiMixedTypes="0" containsString="0" containsNumber="1" containsInteger="1" minValue="100" maxValue="250"/>
    </cacheField>
    <cacheField name="Discount_Eligible" numFmtId="0">
      <sharedItems count="2">
        <s v="YES"/>
        <s v="NO"/>
      </sharedItems>
    </cacheField>
    <cacheField name="Discounted_Price" numFmtId="0">
      <sharedItems containsSemiMixedTypes="0" containsString="0" containsNumber="1" minValue="50.5" maxValue="250" count="233">
        <n v="86.5"/>
        <n v="67.5"/>
        <n v="142"/>
        <n v="188"/>
        <n v="161"/>
        <n v="79"/>
        <n v="160"/>
        <n v="179"/>
        <n v="69.5"/>
        <n v="124"/>
        <n v="89"/>
        <n v="240"/>
        <n v="121"/>
        <n v="233"/>
        <n v="228"/>
        <n v="202"/>
        <n v="132"/>
        <n v="226"/>
        <n v="225"/>
        <n v="110.5"/>
        <n v="73.5"/>
        <n v="106.5"/>
        <n v="115"/>
        <n v="241"/>
        <n v="52"/>
        <n v="103"/>
        <n v="88"/>
        <n v="100.5"/>
        <n v="222"/>
        <n v="156"/>
        <n v="175"/>
        <n v="77"/>
        <n v="91.5"/>
        <n v="108.5"/>
        <n v="63"/>
        <n v="139"/>
        <n v="203"/>
        <n v="87"/>
        <n v="219"/>
        <n v="243"/>
        <n v="234"/>
        <n v="62"/>
        <n v="105.5"/>
        <n v="80.5"/>
        <n v="71.5"/>
        <n v="165"/>
        <n v="108"/>
        <n v="75"/>
        <n v="210"/>
        <n v="232"/>
        <n v="58"/>
        <n v="214"/>
        <n v="123"/>
        <n v="68.5"/>
        <n v="201"/>
        <n v="122"/>
        <n v="212"/>
        <n v="248"/>
        <n v="125"/>
        <n v="56.5"/>
        <n v="65"/>
        <n v="235"/>
        <n v="169"/>
        <n v="195"/>
        <n v="200"/>
        <n v="120"/>
        <n v="191"/>
        <n v="140"/>
        <n v="193"/>
        <n v="213"/>
        <n v="145"/>
        <n v="78.5"/>
        <n v="114"/>
        <n v="90"/>
        <n v="181"/>
        <n v="92.5"/>
        <n v="236"/>
        <n v="101"/>
        <n v="196"/>
        <n v="206"/>
        <n v="198"/>
        <n v="109"/>
        <n v="96.5"/>
        <n v="53.5"/>
        <n v="158"/>
        <n v="111"/>
        <n v="182"/>
        <n v="88.5"/>
        <n v="112"/>
        <n v="116.5"/>
        <n v="85.5"/>
        <n v="65.5"/>
        <n v="117.5"/>
        <n v="250"/>
        <n v="242"/>
        <n v="148"/>
        <n v="54.5"/>
        <n v="58.5"/>
        <n v="57"/>
        <n v="180"/>
        <n v="97"/>
        <n v="92"/>
        <n v="77.5"/>
        <n v="146"/>
        <n v="104.5"/>
        <n v="162"/>
        <n v="100"/>
        <n v="69"/>
        <n v="178"/>
        <n v="94"/>
        <n v="150"/>
        <n v="60.5"/>
        <n v="81"/>
        <n v="84.5"/>
        <n v="66.5"/>
        <n v="101.5"/>
        <n v="118"/>
        <n v="154"/>
        <n v="68"/>
        <n v="113.5"/>
        <n v="216"/>
        <n v="245"/>
        <n v="105"/>
        <n v="106"/>
        <n v="70"/>
        <n v="186"/>
        <n v="197"/>
        <n v="82"/>
        <n v="64.5"/>
        <n v="208"/>
        <n v="138"/>
        <n v="61"/>
        <n v="53"/>
        <n v="109.5"/>
        <n v="130"/>
        <n v="171"/>
        <n v="137"/>
        <n v="189"/>
        <n v="127"/>
        <n v="107.5"/>
        <n v="224"/>
        <n v="76.5"/>
        <n v="128"/>
        <n v="111.5"/>
        <n v="72.5"/>
        <n v="143"/>
        <n v="231"/>
        <n v="116"/>
        <n v="170"/>
        <n v="184"/>
        <n v="164"/>
        <n v="141"/>
        <n v="144"/>
        <n v="87.5"/>
        <n v="166"/>
        <n v="83.5"/>
        <n v="80"/>
        <n v="55"/>
        <n v="51.5"/>
        <n v="207"/>
        <n v="119"/>
        <n v="204"/>
        <n v="78"/>
        <n v="223"/>
        <n v="93"/>
        <n v="227"/>
        <n v="64"/>
        <n v="93.5"/>
        <n v="185"/>
        <n v="244"/>
        <n v="247"/>
        <n v="57.5"/>
        <n v="110"/>
        <n v="84"/>
        <n v="96"/>
        <n v="103.5"/>
        <n v="176"/>
        <n v="86"/>
        <n v="221"/>
        <n v="74.5"/>
        <n v="94.5"/>
        <n v="118.5"/>
        <n v="155"/>
        <n v="79.5"/>
        <n v="177"/>
        <n v="114.5"/>
        <n v="51"/>
        <n v="229"/>
        <n v="246"/>
        <n v="237"/>
        <n v="157"/>
        <n v="153"/>
        <n v="183"/>
        <n v="159"/>
        <n v="239"/>
        <n v="194"/>
        <n v="133"/>
        <n v="124.5"/>
        <n v="97.5"/>
        <n v="95"/>
        <n v="55.5"/>
        <n v="61.5"/>
        <n v="113"/>
        <n v="218"/>
        <n v="81.5"/>
        <n v="71"/>
        <n v="70.5"/>
        <n v="217"/>
        <n v="134"/>
        <n v="120.5"/>
        <n v="75.5"/>
        <n v="117"/>
        <n v="211"/>
        <n v="147"/>
        <n v="129"/>
        <n v="167"/>
        <n v="115.5"/>
        <n v="173"/>
        <n v="136"/>
        <n v="168"/>
        <n v="249"/>
        <n v="99.5"/>
        <n v="135"/>
        <n v="172"/>
        <n v="119.5"/>
        <n v="73"/>
        <n v="192"/>
        <n v="50.5"/>
        <n v="199"/>
        <n v="95.5"/>
        <n v="102"/>
        <n v="76"/>
        <n v="104"/>
      </sharedItems>
    </cacheField>
    <cacheField name="Profit" numFmtId="0">
      <sharedItems containsSemiMixedTypes="0" containsString="0" containsNumber="1" minValue="-137.5" maxValue="935" count="337">
        <n v="49.5"/>
        <n v="14"/>
        <n v="63"/>
        <n v="396"/>
        <n v="288"/>
        <n v="380"/>
        <n v="552"/>
        <n v="30"/>
        <n v="310"/>
        <n v="144"/>
        <n v="394"/>
        <n v="36"/>
        <n v="326"/>
        <n v="286"/>
        <n v="471"/>
        <n v="228"/>
        <n v="685"/>
        <n v="136"/>
        <n v="53"/>
        <n v="5"/>
        <n v="59"/>
        <n v="135"/>
        <n v="716"/>
        <n v="4"/>
        <n v="120"/>
        <n v="95"/>
        <n v="77"/>
        <n v="181"/>
        <n v="368"/>
        <n v="540"/>
        <n v="34"/>
        <n v="25"/>
        <n v="465"/>
        <n v="24.5"/>
        <n v="-35"/>
        <n v="250"/>
        <n v="141"/>
        <n v="88"/>
        <n v="480"/>
        <n v="498"/>
        <n v="295"/>
        <n v="-3"/>
        <n v="177.5"/>
        <n v="82.5"/>
        <n v="-17.5"/>
        <n v="425"/>
        <n v="112"/>
        <n v="676"/>
        <n v="704"/>
        <n v="-30"/>
        <n v="432"/>
        <n v="98"/>
        <n v="12.5"/>
        <n v="156"/>
        <n v="520"/>
        <n v="712"/>
        <n v="5.5"/>
        <n v="66"/>
        <n v="129"/>
        <n v="412"/>
        <n v="252"/>
        <n v="-11"/>
        <n v="-10"/>
        <n v="344"/>
        <n v="126"/>
        <n v="222"/>
        <n v="292"/>
        <n v="159"/>
        <n v="115"/>
        <n v="255"/>
        <n v="277.5"/>
        <n v="320"/>
        <n v="39"/>
        <n v="453"/>
        <n v="332"/>
        <n v="82"/>
        <n v="40"/>
        <n v="75"/>
        <n v="60"/>
        <n v="138"/>
        <n v="67.5"/>
        <n v="656"/>
        <n v="24"/>
        <n v="174"/>
        <n v="21"/>
        <n v="-5"/>
        <n v="652"/>
        <n v="153"/>
        <n v="50"/>
        <n v="106"/>
        <n v="309"/>
        <n v="130"/>
        <n v="-36"/>
        <n v="339"/>
        <n v="660"/>
        <n v="0"/>
        <n v="46"/>
        <n v="81"/>
        <n v="206"/>
        <n v="294"/>
        <n v="46.5"/>
        <n v="860"/>
        <n v="31"/>
        <n v="390"/>
        <n v="157"/>
        <n v="180"/>
        <n v="-62"/>
        <n v="340"/>
        <n v="114"/>
        <n v="-112.5"/>
        <n v="15.5"/>
        <n v="225"/>
        <n v="-48"/>
        <n v="270"/>
        <n v="122"/>
        <n v="384"/>
        <n v="188"/>
        <n v="420"/>
        <n v="350"/>
        <n v="169"/>
        <n v="54.5"/>
        <n v="161"/>
        <n v="510"/>
        <n v="17"/>
        <n v="668"/>
        <n v="198"/>
        <n v="80"/>
        <n v="-70.5"/>
        <n v="2.5"/>
        <n v="710"/>
        <n v="117.5"/>
        <n v="124"/>
        <n v="33"/>
        <n v="190"/>
        <n v="195"/>
        <n v="83"/>
        <n v="-27"/>
        <n v="59.5"/>
        <n v="137"/>
        <n v="370"/>
        <n v="102"/>
        <n v="220"/>
        <n v="85"/>
        <n v="32"/>
        <n v="-29.5"/>
        <n v="312"/>
        <n v="57.5"/>
        <n v="765"/>
        <n v="279"/>
        <n v="157.5"/>
        <n v="55"/>
        <n v="-34"/>
        <n v="122.5"/>
        <n v="171"/>
        <n v="86"/>
        <n v="790"/>
        <n v="246"/>
        <n v="249"/>
        <n v="63.5"/>
        <n v="278"/>
        <n v="525"/>
        <n v="365"/>
        <n v="92.5"/>
        <n v="477"/>
        <n v="330"/>
        <n v="187.5"/>
        <n v="22"/>
        <n v="43"/>
        <n v="8"/>
        <n v="28.5"/>
        <n v="205.5"/>
        <n v="31.5"/>
        <n v="123"/>
        <n v="189"/>
        <n v="152"/>
        <n v="240"/>
        <n v="116"/>
        <n v="321"/>
        <n v="165"/>
        <n v="145"/>
        <n v="142"/>
        <n v="408"/>
        <n v="132"/>
        <n v="35"/>
        <n v="262"/>
        <n v="111"/>
        <n v="117"/>
        <n v="-34.5"/>
        <n v="636"/>
        <n v="162"/>
        <n v="556"/>
        <n v="399"/>
        <n v="27"/>
        <n v="935"/>
        <n v="495"/>
        <n v="218"/>
        <n v="163"/>
        <n v="77.5"/>
        <n v="468"/>
        <n v="65"/>
        <n v="205"/>
        <n v="450"/>
        <n v="621"/>
        <n v="700"/>
        <n v="68"/>
        <n v="280"/>
        <n v="755"/>
        <n v="456"/>
        <n v="715"/>
        <n v="154"/>
        <n v="655"/>
        <n v="203"/>
        <n v="576"/>
        <n v="15"/>
        <n v="73"/>
        <n v="217.5"/>
        <n v="140"/>
        <n v="172"/>
        <n v="69"/>
        <n v="113"/>
        <n v="38"/>
        <n v="186"/>
        <n v="248"/>
        <n v="4.5"/>
        <n v="70"/>
        <n v="53.5"/>
        <n v="200"/>
        <n v="352"/>
        <n v="-21"/>
        <n v="-102"/>
        <n v="272"/>
        <n v="-6"/>
        <n v="19"/>
        <n v="20"/>
        <n v="170"/>
        <n v="296"/>
        <n v="204"/>
        <n v="84"/>
        <n v="870"/>
        <n v="25.5"/>
        <n v="-2.5"/>
        <n v="428"/>
        <n v="612"/>
        <n v="275"/>
        <n v="143"/>
        <n v="-16"/>
        <n v="185"/>
        <n v="537"/>
        <n v="385"/>
        <n v="-38"/>
        <n v="455"/>
        <n v="-26"/>
        <n v="6"/>
        <n v="318"/>
        <n v="102.5"/>
        <n v="210"/>
        <n v="411"/>
        <n v="8.5"/>
        <n v="128"/>
        <n v="52.5"/>
        <n v="-0.5"/>
        <n v="49"/>
        <n v="43.5"/>
        <n v="440"/>
        <n v="-6.5"/>
        <n v="168"/>
        <n v="256"/>
        <n v="810"/>
        <n v="-33"/>
        <n v="164"/>
        <n v="104"/>
        <n v="568"/>
        <n v="885"/>
        <n v="134"/>
        <n v="264"/>
        <n v="325"/>
        <n v="306"/>
        <n v="684"/>
        <n v="56"/>
        <n v="-20"/>
        <n v="-4.5"/>
        <n v="106.5"/>
        <n v="462"/>
        <n v="308"/>
        <n v="48"/>
        <n v="441"/>
        <n v="-28.5"/>
        <n v="19.5"/>
        <n v="3"/>
        <n v="805"/>
        <n v="-7.5"/>
        <n v="364"/>
        <n v="-8"/>
        <n v="400"/>
        <n v="62"/>
        <n v="-25.5"/>
        <n v="-132.5"/>
        <n v="483"/>
        <n v="94"/>
        <n v="133"/>
        <n v="158"/>
        <n v="91"/>
        <n v="42"/>
        <n v="-32"/>
        <n v="224"/>
        <n v="2"/>
        <n v="-137.5"/>
        <n v="65.5"/>
        <n v="-4"/>
        <n v="230"/>
        <n v="61"/>
        <n v="435"/>
        <n v="58"/>
        <n v="504"/>
        <n v="96"/>
        <n v="212.5"/>
        <n v="476"/>
        <n v="395"/>
        <n v="215"/>
        <n v="548"/>
        <n v="88.5"/>
        <n v="125"/>
        <n v="26.5"/>
        <n v="300"/>
        <n v="-12"/>
        <n v="119"/>
        <n v="64.5"/>
        <n v="147"/>
        <n v="448"/>
        <n v="236"/>
        <n v="45"/>
        <n v="-28"/>
        <n v="0.5"/>
        <n v="-11.5"/>
        <n v="89"/>
        <n v="-112"/>
        <n v="-9"/>
      </sharedItems>
    </cacheField>
  </cacheFields>
  <extLst>
    <ext xmlns:x14="http://schemas.microsoft.com/office/spreadsheetml/2009/9/main" uri="{725AE2AE-9491-48be-B2B4-4EB974FC3084}">
      <x14:pivotCacheDefinition pivotCacheId="82437259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Madhavi" refreshedDate="46069.352684953701" createdVersion="8" refreshedVersion="8" minRefreshableVersion="3" recordCount="500" xr:uid="{3B795BD6-01CC-426C-BD06-4D865A0C3556}">
  <cacheSource type="worksheet">
    <worksheetSource name="Table29"/>
  </cacheSource>
  <cacheFields count="14">
    <cacheField name="Order_ID" numFmtId="0">
      <sharedItems/>
    </cacheField>
    <cacheField name="Date" numFmtId="14">
      <sharedItems containsSemiMixedTypes="0" containsNonDate="0" containsDate="1" containsString="0" minDate="2025-01-01T00:00:00" maxDate="2026-02-06T00:00:00" count="295">
        <d v="2025-11-26T00:00:00"/>
        <d v="2025-07-06T00:00:00"/>
        <d v="2025-07-08T00:00:00"/>
        <d v="2025-06-29T00:00:00"/>
        <d v="2025-04-07T00:00:00"/>
        <d v="2025-09-01T00:00:00"/>
        <d v="2025-03-17T00:00:00"/>
        <d v="2025-02-11T00:00:00"/>
        <d v="2025-03-07T00:00:00"/>
        <d v="2025-10-21T00:00:00"/>
        <d v="2025-09-27T00:00:00"/>
        <d v="2025-05-12T00:00:00"/>
        <d v="2025-08-03T00:00:00"/>
        <d v="2025-05-20T00:00:00"/>
        <d v="2025-09-19T00:00:00"/>
        <d v="2025-01-10T00:00:00"/>
        <d v="2025-06-24T00:00:00"/>
        <d v="2025-07-24T00:00:00"/>
        <d v="2025-08-20T00:00:00"/>
        <d v="2025-12-15T00:00:00"/>
        <d v="2025-04-09T00:00:00"/>
        <d v="2025-09-13T00:00:00"/>
        <d v="2026-01-20T00:00:00"/>
        <d v="2025-11-23T00:00:00"/>
        <d v="2025-11-05T00:00:00"/>
        <d v="2025-05-11T00:00:00"/>
        <d v="2025-01-09T00:00:00"/>
        <d v="2025-01-18T00:00:00"/>
        <d v="2025-03-11T00:00:00"/>
        <d v="2025-08-11T00:00:00"/>
        <d v="2025-06-14T00:00:00"/>
        <d v="2026-01-31T00:00:00"/>
        <d v="2025-12-30T00:00:00"/>
        <d v="2025-06-11T00:00:00"/>
        <d v="2025-04-16T00:00:00"/>
        <d v="2025-04-01T00:00:00"/>
        <d v="2025-12-23T00:00:00"/>
        <d v="2025-05-05T00:00:00"/>
        <d v="2025-08-25T00:00:00"/>
        <d v="2025-02-27T00:00:00"/>
        <d v="2025-02-06T00:00:00"/>
        <d v="2025-11-22T00:00:00"/>
        <d v="2025-07-26T00:00:00"/>
        <d v="2025-12-07T00:00:00"/>
        <d v="2025-01-13T00:00:00"/>
        <d v="2025-07-27T00:00:00"/>
        <d v="2025-04-27T00:00:00"/>
        <d v="2025-05-17T00:00:00"/>
        <d v="2025-12-12T00:00:00"/>
        <d v="2025-05-18T00:00:00"/>
        <d v="2025-09-18T00:00:00"/>
        <d v="2025-12-18T00:00:00"/>
        <d v="2025-03-13T00:00:00"/>
        <d v="2025-07-04T00:00:00"/>
        <d v="2025-11-01T00:00:00"/>
        <d v="2025-06-26T00:00:00"/>
        <d v="2025-04-03T00:00:00"/>
        <d v="2025-04-28T00:00:00"/>
        <d v="2025-12-24T00:00:00"/>
        <d v="2025-03-08T00:00:00"/>
        <d v="2025-03-02T00:00:00"/>
        <d v="2025-03-21T00:00:00"/>
        <d v="2025-01-03T00:00:00"/>
        <d v="2025-09-11T00:00:00"/>
        <d v="2025-06-10T00:00:00"/>
        <d v="2025-05-21T00:00:00"/>
        <d v="2025-07-16T00:00:00"/>
        <d v="2025-05-09T00:00:00"/>
        <d v="2026-01-26T00:00:00"/>
        <d v="2026-01-16T00:00:00"/>
        <d v="2026-02-03T00:00:00"/>
        <d v="2025-12-03T00:00:00"/>
        <d v="2025-04-29T00:00:00"/>
        <d v="2025-01-02T00:00:00"/>
        <d v="2025-08-17T00:00:00"/>
        <d v="2025-04-21T00:00:00"/>
        <d v="2025-01-14T00:00:00"/>
        <d v="2025-02-09T00:00:00"/>
        <d v="2025-03-14T00:00:00"/>
        <d v="2025-10-22T00:00:00"/>
        <d v="2025-02-19T00:00:00"/>
        <d v="2026-01-06T00:00:00"/>
        <d v="2025-02-22T00:00:00"/>
        <d v="2025-08-02T00:00:00"/>
        <d v="2025-01-04T00:00:00"/>
        <d v="2025-07-17T00:00:00"/>
        <d v="2025-01-20T00:00:00"/>
        <d v="2025-01-26T00:00:00"/>
        <d v="2025-08-30T00:00:00"/>
        <d v="2025-12-28T00:00:00"/>
        <d v="2025-03-30T00:00:00"/>
        <d v="2025-08-06T00:00:00"/>
        <d v="2025-12-29T00:00:00"/>
        <d v="2026-01-02T00:00:00"/>
        <d v="2025-03-10T00:00:00"/>
        <d v="2025-10-20T00:00:00"/>
        <d v="2025-12-22T00:00:00"/>
        <d v="2025-04-13T00:00:00"/>
        <d v="2025-07-23T00:00:00"/>
        <d v="2026-01-22T00:00:00"/>
        <d v="2025-01-01T00:00:00"/>
        <d v="2025-09-08T00:00:00"/>
        <d v="2026-01-24T00:00:00"/>
        <d v="2025-03-04T00:00:00"/>
        <d v="2025-07-29T00:00:00"/>
        <d v="2025-06-03T00:00:00"/>
        <d v="2025-05-31T00:00:00"/>
        <d v="2025-02-15T00:00:00"/>
        <d v="2025-10-26T00:00:00"/>
        <d v="2025-04-25T00:00:00"/>
        <d v="2025-06-20T00:00:00"/>
        <d v="2025-07-03T00:00:00"/>
        <d v="2025-05-08T00:00:00"/>
        <d v="2025-10-15T00:00:00"/>
        <d v="2025-11-12T00:00:00"/>
        <d v="2025-07-22T00:00:00"/>
        <d v="2025-08-13T00:00:00"/>
        <d v="2025-07-19T00:00:00"/>
        <d v="2025-10-16T00:00:00"/>
        <d v="2025-08-28T00:00:00"/>
        <d v="2025-12-08T00:00:00"/>
        <d v="2025-04-23T00:00:00"/>
        <d v="2025-08-19T00:00:00"/>
        <d v="2025-12-10T00:00:00"/>
        <d v="2025-09-16T00:00:00"/>
        <d v="2025-01-16T00:00:00"/>
        <d v="2026-02-04T00:00:00"/>
        <d v="2025-02-23T00:00:00"/>
        <d v="2025-12-11T00:00:00"/>
        <d v="2025-05-07T00:00:00"/>
        <d v="2025-02-14T00:00:00"/>
        <d v="2026-01-21T00:00:00"/>
        <d v="2025-10-07T00:00:00"/>
        <d v="2025-06-23T00:00:00"/>
        <d v="2025-12-14T00:00:00"/>
        <d v="2025-06-25T00:00:00"/>
        <d v="2025-04-18T00:00:00"/>
        <d v="2025-03-19T00:00:00"/>
        <d v="2025-09-30T00:00:00"/>
        <d v="2025-10-05T00:00:00"/>
        <d v="2025-09-25T00:00:00"/>
        <d v="2025-11-13T00:00:00"/>
        <d v="2025-05-26T00:00:00"/>
        <d v="2025-07-12T00:00:00"/>
        <d v="2025-09-03T00:00:00"/>
        <d v="2025-03-29T00:00:00"/>
        <d v="2025-11-28T00:00:00"/>
        <d v="2025-07-18T00:00:00"/>
        <d v="2025-06-07T00:00:00"/>
        <d v="2025-02-03T00:00:00"/>
        <d v="2025-02-24T00:00:00"/>
        <d v="2025-12-06T00:00:00"/>
        <d v="2025-08-07T00:00:00"/>
        <d v="2025-08-21T00:00:00"/>
        <d v="2026-02-05T00:00:00"/>
        <d v="2025-10-24T00:00:00"/>
        <d v="2025-05-16T00:00:00"/>
        <d v="2025-05-22T00:00:00"/>
        <d v="2025-02-05T00:00:00"/>
        <d v="2025-11-15T00:00:00"/>
        <d v="2025-11-04T00:00:00"/>
        <d v="2025-04-22T00:00:00"/>
        <d v="2025-02-07T00:00:00"/>
        <d v="2025-04-05T00:00:00"/>
        <d v="2025-10-18T00:00:00"/>
        <d v="2025-05-25T00:00:00"/>
        <d v="2025-06-18T00:00:00"/>
        <d v="2025-03-26T00:00:00"/>
        <d v="2025-09-20T00:00:00"/>
        <d v="2025-03-25T00:00:00"/>
        <d v="2025-08-08T00:00:00"/>
        <d v="2025-09-02T00:00:00"/>
        <d v="2025-05-03T00:00:00"/>
        <d v="2026-01-13T00:00:00"/>
        <d v="2025-10-30T00:00:00"/>
        <d v="2025-08-10T00:00:00"/>
        <d v="2025-10-25T00:00:00"/>
        <d v="2025-12-01T00:00:00"/>
        <d v="2025-10-27T00:00:00"/>
        <d v="2025-01-29T00:00:00"/>
        <d v="2025-09-04T00:00:00"/>
        <d v="2025-10-03T00:00:00"/>
        <d v="2025-08-05T00:00:00"/>
        <d v="2025-09-21T00:00:00"/>
        <d v="2025-07-25T00:00:00"/>
        <d v="2025-10-10T00:00:00"/>
        <d v="2025-05-28T00:00:00"/>
        <d v="2025-10-06T00:00:00"/>
        <d v="2025-05-29T00:00:00"/>
        <d v="2025-04-20T00:00:00"/>
        <d v="2025-12-19T00:00:00"/>
        <d v="2026-01-30T00:00:00"/>
        <d v="2025-11-25T00:00:00"/>
        <d v="2025-08-29T00:00:00"/>
        <d v="2025-02-18T00:00:00"/>
        <d v="2025-09-17T00:00:00"/>
        <d v="2025-03-09T00:00:00"/>
        <d v="2025-03-12T00:00:00"/>
        <d v="2025-04-06T00:00:00"/>
        <d v="2025-09-29T00:00:00"/>
        <d v="2025-09-10T00:00:00"/>
        <d v="2025-07-15T00:00:00"/>
        <d v="2025-07-07T00:00:00"/>
        <d v="2025-07-20T00:00:00"/>
        <d v="2026-01-28T00:00:00"/>
        <d v="2025-11-20T00:00:00"/>
        <d v="2025-11-03T00:00:00"/>
        <d v="2026-01-11T00:00:00"/>
        <d v="2025-01-22T00:00:00"/>
        <d v="2025-10-14T00:00:00"/>
        <d v="2025-09-07T00:00:00"/>
        <d v="2025-02-26T00:00:00"/>
        <d v="2025-12-04T00:00:00"/>
        <d v="2025-11-30T00:00:00"/>
        <d v="2025-04-10T00:00:00"/>
        <d v="2025-06-13T00:00:00"/>
        <d v="2025-06-12T00:00:00"/>
        <d v="2026-01-25T00:00:00"/>
        <d v="2025-05-24T00:00:00"/>
        <d v="2025-05-01T00:00:00"/>
        <d v="2025-06-27T00:00:00"/>
        <d v="2025-05-15T00:00:00"/>
        <d v="2025-05-06T00:00:00"/>
        <d v="2025-12-31T00:00:00"/>
        <d v="2025-06-02T00:00:00"/>
        <d v="2025-12-05T00:00:00"/>
        <d v="2025-06-08T00:00:00"/>
        <d v="2026-02-02T00:00:00"/>
        <d v="2025-04-24T00:00:00"/>
        <d v="2025-10-08T00:00:00"/>
        <d v="2025-07-11T00:00:00"/>
        <d v="2025-01-11T00:00:00"/>
        <d v="2025-06-01T00:00:00"/>
        <d v="2026-01-07T00:00:00"/>
        <d v="2026-01-17T00:00:00"/>
        <d v="2025-02-12T00:00:00"/>
        <d v="2025-08-16T00:00:00"/>
        <d v="2025-07-02T00:00:00"/>
        <d v="2025-08-12T00:00:00"/>
        <d v="2025-11-06T00:00:00"/>
        <d v="2025-10-28T00:00:00"/>
        <d v="2025-11-08T00:00:00"/>
        <d v="2025-04-08T00:00:00"/>
        <d v="2026-01-09T00:00:00"/>
        <d v="2025-03-16T00:00:00"/>
        <d v="2025-01-23T00:00:00"/>
        <d v="2025-02-08T00:00:00"/>
        <d v="2025-10-17T00:00:00"/>
        <d v="2025-05-10T00:00:00"/>
        <d v="2025-11-16T00:00:00"/>
        <d v="2025-01-17T00:00:00"/>
        <d v="2025-09-23T00:00:00"/>
        <d v="2025-01-28T00:00:00"/>
        <d v="2025-09-06T00:00:00"/>
        <d v="2025-03-01T00:00:00"/>
        <d v="2025-03-27T00:00:00"/>
        <d v="2025-06-21T00:00:00"/>
        <d v="2026-01-27T00:00:00"/>
        <d v="2025-07-13T00:00:00"/>
        <d v="2025-01-08T00:00:00"/>
        <d v="2025-02-16T00:00:00"/>
        <d v="2025-06-05T00:00:00"/>
        <d v="2025-12-26T00:00:00"/>
        <d v="2025-09-05T00:00:00"/>
        <d v="2025-08-22T00:00:00"/>
        <d v="2025-02-20T00:00:00"/>
        <d v="2025-11-29T00:00:00"/>
        <d v="2025-11-24T00:00:00"/>
        <d v="2025-09-22T00:00:00"/>
        <d v="2025-08-01T00:00:00"/>
        <d v="2025-05-23T00:00:00"/>
        <d v="2025-02-01T00:00:00"/>
        <d v="2026-01-15T00:00:00"/>
        <d v="2025-07-31T00:00:00"/>
        <d v="2025-05-13T00:00:00"/>
        <d v="2025-06-19T00:00:00"/>
        <d v="2025-08-18T00:00:00"/>
        <d v="2025-04-11T00:00:00"/>
        <d v="2025-12-02T00:00:00"/>
        <d v="2026-01-01T00:00:00"/>
        <d v="2025-11-07T00:00:00"/>
        <d v="2025-07-14T00:00:00"/>
        <d v="2025-02-21T00:00:00"/>
        <d v="2025-02-28T00:00:00"/>
        <d v="2025-10-12T00:00:00"/>
        <d v="2026-01-19T00:00:00"/>
        <d v="2026-01-29T00:00:00"/>
        <d v="2025-09-14T00:00:00"/>
        <d v="2025-11-14T00:00:00"/>
        <d v="2025-05-14T00:00:00"/>
        <d v="2026-01-03T00:00:00"/>
        <d v="2025-04-26T00:00:00"/>
        <d v="2025-03-06T00:00:00"/>
        <d v="2025-12-13T00:00:00"/>
        <d v="2025-11-10T00:00:00"/>
      </sharedItems>
    </cacheField>
    <cacheField name="Real_Date" numFmtId="14">
      <sharedItems containsSemiMixedTypes="0" containsNonDate="0" containsDate="1" containsString="0" minDate="2025-01-01T00:00:00" maxDate="2026-02-06T00:00:00" count="295">
        <d v="2025-11-26T00:00:00"/>
        <d v="2025-07-06T00:00:00"/>
        <d v="2025-07-08T00:00:00"/>
        <d v="2025-06-29T00:00:00"/>
        <d v="2025-04-07T00:00:00"/>
        <d v="2025-09-01T00:00:00"/>
        <d v="2025-03-17T00:00:00"/>
        <d v="2025-02-11T00:00:00"/>
        <d v="2025-03-07T00:00:00"/>
        <d v="2025-10-21T00:00:00"/>
        <d v="2025-09-27T00:00:00"/>
        <d v="2025-05-12T00:00:00"/>
        <d v="2025-08-03T00:00:00"/>
        <d v="2025-05-20T00:00:00"/>
        <d v="2025-09-19T00:00:00"/>
        <d v="2025-01-10T00:00:00"/>
        <d v="2025-06-24T00:00:00"/>
        <d v="2025-07-24T00:00:00"/>
        <d v="2025-08-20T00:00:00"/>
        <d v="2025-12-15T00:00:00"/>
        <d v="2025-04-09T00:00:00"/>
        <d v="2025-09-13T00:00:00"/>
        <d v="2026-01-20T00:00:00"/>
        <d v="2025-11-23T00:00:00"/>
        <d v="2025-11-05T00:00:00"/>
        <d v="2025-05-11T00:00:00"/>
        <d v="2025-01-09T00:00:00"/>
        <d v="2025-01-18T00:00:00"/>
        <d v="2025-03-11T00:00:00"/>
        <d v="2025-08-11T00:00:00"/>
        <d v="2025-06-14T00:00:00"/>
        <d v="2026-01-31T00:00:00"/>
        <d v="2025-12-30T00:00:00"/>
        <d v="2025-06-11T00:00:00"/>
        <d v="2025-04-16T00:00:00"/>
        <d v="2025-04-01T00:00:00"/>
        <d v="2025-12-23T00:00:00"/>
        <d v="2025-05-05T00:00:00"/>
        <d v="2025-08-25T00:00:00"/>
        <d v="2025-02-27T00:00:00"/>
        <d v="2025-02-06T00:00:00"/>
        <d v="2025-11-22T00:00:00"/>
        <d v="2025-07-26T00:00:00"/>
        <d v="2025-12-07T00:00:00"/>
        <d v="2025-01-13T00:00:00"/>
        <d v="2025-07-27T00:00:00"/>
        <d v="2025-04-27T00:00:00"/>
        <d v="2025-05-17T00:00:00"/>
        <d v="2025-12-12T00:00:00"/>
        <d v="2025-05-18T00:00:00"/>
        <d v="2025-09-18T00:00:00"/>
        <d v="2025-12-18T00:00:00"/>
        <d v="2025-03-13T00:00:00"/>
        <d v="2025-07-04T00:00:00"/>
        <d v="2025-11-01T00:00:00"/>
        <d v="2025-06-26T00:00:00"/>
        <d v="2025-04-03T00:00:00"/>
        <d v="2025-04-28T00:00:00"/>
        <d v="2025-12-24T00:00:00"/>
        <d v="2025-03-08T00:00:00"/>
        <d v="2025-03-02T00:00:00"/>
        <d v="2025-03-21T00:00:00"/>
        <d v="2025-01-03T00:00:00"/>
        <d v="2025-09-11T00:00:00"/>
        <d v="2025-06-10T00:00:00"/>
        <d v="2025-05-21T00:00:00"/>
        <d v="2025-07-16T00:00:00"/>
        <d v="2025-05-09T00:00:00"/>
        <d v="2026-01-26T00:00:00"/>
        <d v="2026-01-16T00:00:00"/>
        <d v="2026-02-03T00:00:00"/>
        <d v="2025-12-03T00:00:00"/>
        <d v="2025-04-29T00:00:00"/>
        <d v="2025-01-02T00:00:00"/>
        <d v="2025-08-17T00:00:00"/>
        <d v="2025-04-21T00:00:00"/>
        <d v="2025-01-14T00:00:00"/>
        <d v="2025-02-09T00:00:00"/>
        <d v="2025-03-14T00:00:00"/>
        <d v="2025-10-22T00:00:00"/>
        <d v="2025-02-19T00:00:00"/>
        <d v="2026-01-06T00:00:00"/>
        <d v="2025-02-22T00:00:00"/>
        <d v="2025-08-02T00:00:00"/>
        <d v="2025-01-04T00:00:00"/>
        <d v="2025-07-17T00:00:00"/>
        <d v="2025-01-20T00:00:00"/>
        <d v="2025-01-26T00:00:00"/>
        <d v="2025-08-30T00:00:00"/>
        <d v="2025-12-28T00:00:00"/>
        <d v="2025-03-30T00:00:00"/>
        <d v="2025-08-06T00:00:00"/>
        <d v="2025-12-29T00:00:00"/>
        <d v="2026-01-02T00:00:00"/>
        <d v="2025-03-10T00:00:00"/>
        <d v="2025-10-20T00:00:00"/>
        <d v="2025-12-22T00:00:00"/>
        <d v="2025-04-13T00:00:00"/>
        <d v="2025-07-23T00:00:00"/>
        <d v="2026-01-22T00:00:00"/>
        <d v="2025-01-01T00:00:00"/>
        <d v="2025-09-08T00:00:00"/>
        <d v="2026-01-24T00:00:00"/>
        <d v="2025-03-04T00:00:00"/>
        <d v="2025-07-29T00:00:00"/>
        <d v="2025-06-03T00:00:00"/>
        <d v="2025-05-31T00:00:00"/>
        <d v="2025-02-15T00:00:00"/>
        <d v="2025-10-26T00:00:00"/>
        <d v="2025-04-25T00:00:00"/>
        <d v="2025-06-20T00:00:00"/>
        <d v="2025-07-03T00:00:00"/>
        <d v="2025-05-08T00:00:00"/>
        <d v="2025-10-15T00:00:00"/>
        <d v="2025-11-12T00:00:00"/>
        <d v="2025-07-22T00:00:00"/>
        <d v="2025-08-13T00:00:00"/>
        <d v="2025-07-19T00:00:00"/>
        <d v="2025-10-16T00:00:00"/>
        <d v="2025-08-28T00:00:00"/>
        <d v="2025-12-08T00:00:00"/>
        <d v="2025-04-23T00:00:00"/>
        <d v="2025-08-19T00:00:00"/>
        <d v="2025-12-10T00:00:00"/>
        <d v="2025-09-16T00:00:00"/>
        <d v="2025-01-16T00:00:00"/>
        <d v="2026-02-04T00:00:00"/>
        <d v="2025-02-23T00:00:00"/>
        <d v="2025-12-11T00:00:00"/>
        <d v="2025-05-07T00:00:00"/>
        <d v="2025-02-14T00:00:00"/>
        <d v="2026-01-21T00:00:00"/>
        <d v="2025-10-07T00:00:00"/>
        <d v="2025-06-23T00:00:00"/>
        <d v="2025-12-14T00:00:00"/>
        <d v="2025-06-25T00:00:00"/>
        <d v="2025-04-18T00:00:00"/>
        <d v="2025-03-19T00:00:00"/>
        <d v="2025-09-30T00:00:00"/>
        <d v="2025-10-05T00:00:00"/>
        <d v="2025-09-25T00:00:00"/>
        <d v="2025-11-13T00:00:00"/>
        <d v="2025-05-26T00:00:00"/>
        <d v="2025-07-12T00:00:00"/>
        <d v="2025-09-03T00:00:00"/>
        <d v="2025-03-29T00:00:00"/>
        <d v="2025-11-28T00:00:00"/>
        <d v="2025-07-18T00:00:00"/>
        <d v="2025-06-07T00:00:00"/>
        <d v="2025-02-03T00:00:00"/>
        <d v="2025-02-24T00:00:00"/>
        <d v="2025-12-06T00:00:00"/>
        <d v="2025-08-07T00:00:00"/>
        <d v="2025-08-21T00:00:00"/>
        <d v="2026-02-05T00:00:00"/>
        <d v="2025-10-24T00:00:00"/>
        <d v="2025-05-16T00:00:00"/>
        <d v="2025-05-22T00:00:00"/>
        <d v="2025-02-05T00:00:00"/>
        <d v="2025-11-15T00:00:00"/>
        <d v="2025-11-04T00:00:00"/>
        <d v="2025-04-22T00:00:00"/>
        <d v="2025-02-07T00:00:00"/>
        <d v="2025-04-05T00:00:00"/>
        <d v="2025-10-18T00:00:00"/>
        <d v="2025-05-25T00:00:00"/>
        <d v="2025-06-18T00:00:00"/>
        <d v="2025-03-26T00:00:00"/>
        <d v="2025-09-20T00:00:00"/>
        <d v="2025-03-25T00:00:00"/>
        <d v="2025-08-08T00:00:00"/>
        <d v="2025-09-02T00:00:00"/>
        <d v="2025-05-03T00:00:00"/>
        <d v="2026-01-13T00:00:00"/>
        <d v="2025-10-30T00:00:00"/>
        <d v="2025-08-10T00:00:00"/>
        <d v="2025-10-25T00:00:00"/>
        <d v="2025-12-01T00:00:00"/>
        <d v="2025-10-27T00:00:00"/>
        <d v="2025-01-29T00:00:00"/>
        <d v="2025-09-04T00:00:00"/>
        <d v="2025-10-03T00:00:00"/>
        <d v="2025-08-05T00:00:00"/>
        <d v="2025-09-21T00:00:00"/>
        <d v="2025-07-25T00:00:00"/>
        <d v="2025-10-10T00:00:00"/>
        <d v="2025-05-28T00:00:00"/>
        <d v="2025-10-06T00:00:00"/>
        <d v="2025-05-29T00:00:00"/>
        <d v="2025-04-20T00:00:00"/>
        <d v="2025-12-19T00:00:00"/>
        <d v="2026-01-30T00:00:00"/>
        <d v="2025-11-25T00:00:00"/>
        <d v="2025-08-29T00:00:00"/>
        <d v="2025-02-18T00:00:00"/>
        <d v="2025-09-17T00:00:00"/>
        <d v="2025-03-09T00:00:00"/>
        <d v="2025-03-12T00:00:00"/>
        <d v="2025-04-06T00:00:00"/>
        <d v="2025-09-29T00:00:00"/>
        <d v="2025-09-10T00:00:00"/>
        <d v="2025-07-15T00:00:00"/>
        <d v="2025-07-07T00:00:00"/>
        <d v="2025-07-20T00:00:00"/>
        <d v="2026-01-28T00:00:00"/>
        <d v="2025-11-20T00:00:00"/>
        <d v="2025-11-03T00:00:00"/>
        <d v="2026-01-11T00:00:00"/>
        <d v="2025-01-22T00:00:00"/>
        <d v="2025-10-14T00:00:00"/>
        <d v="2025-09-07T00:00:00"/>
        <d v="2025-02-26T00:00:00"/>
        <d v="2025-12-04T00:00:00"/>
        <d v="2025-11-30T00:00:00"/>
        <d v="2025-04-10T00:00:00"/>
        <d v="2025-06-13T00:00:00"/>
        <d v="2025-06-12T00:00:00"/>
        <d v="2026-01-25T00:00:00"/>
        <d v="2025-05-24T00:00:00"/>
        <d v="2025-05-01T00:00:00"/>
        <d v="2025-06-27T00:00:00"/>
        <d v="2025-05-15T00:00:00"/>
        <d v="2025-05-06T00:00:00"/>
        <d v="2025-12-31T00:00:00"/>
        <d v="2025-06-02T00:00:00"/>
        <d v="2025-12-05T00:00:00"/>
        <d v="2025-06-08T00:00:00"/>
        <d v="2026-02-02T00:00:00"/>
        <d v="2025-04-24T00:00:00"/>
        <d v="2025-10-08T00:00:00"/>
        <d v="2025-07-11T00:00:00"/>
        <d v="2025-01-11T00:00:00"/>
        <d v="2025-06-01T00:00:00"/>
        <d v="2026-01-07T00:00:00"/>
        <d v="2026-01-17T00:00:00"/>
        <d v="2025-02-12T00:00:00"/>
        <d v="2025-08-16T00:00:00"/>
        <d v="2025-07-02T00:00:00"/>
        <d v="2025-08-12T00:00:00"/>
        <d v="2025-11-06T00:00:00"/>
        <d v="2025-10-28T00:00:00"/>
        <d v="2025-11-08T00:00:00"/>
        <d v="2025-04-08T00:00:00"/>
        <d v="2026-01-09T00:00:00"/>
        <d v="2025-03-16T00:00:00"/>
        <d v="2025-01-23T00:00:00"/>
        <d v="2025-02-08T00:00:00"/>
        <d v="2025-10-17T00:00:00"/>
        <d v="2025-05-10T00:00:00"/>
        <d v="2025-11-16T00:00:00"/>
        <d v="2025-01-17T00:00:00"/>
        <d v="2025-09-23T00:00:00"/>
        <d v="2025-01-28T00:00:00"/>
        <d v="2025-09-06T00:00:00"/>
        <d v="2025-03-01T00:00:00"/>
        <d v="2025-03-27T00:00:00"/>
        <d v="2025-06-21T00:00:00"/>
        <d v="2026-01-27T00:00:00"/>
        <d v="2025-07-13T00:00:00"/>
        <d v="2025-01-08T00:00:00"/>
        <d v="2025-02-16T00:00:00"/>
        <d v="2025-06-05T00:00:00"/>
        <d v="2025-12-26T00:00:00"/>
        <d v="2025-09-05T00:00:00"/>
        <d v="2025-08-22T00:00:00"/>
        <d v="2025-02-20T00:00:00"/>
        <d v="2025-11-29T00:00:00"/>
        <d v="2025-11-24T00:00:00"/>
        <d v="2025-09-22T00:00:00"/>
        <d v="2025-08-01T00:00:00"/>
        <d v="2025-05-23T00:00:00"/>
        <d v="2025-02-01T00:00:00"/>
        <d v="2026-01-15T00:00:00"/>
        <d v="2025-07-31T00:00:00"/>
        <d v="2025-05-13T00:00:00"/>
        <d v="2025-06-19T00:00:00"/>
        <d v="2025-08-18T00:00:00"/>
        <d v="2025-04-11T00:00:00"/>
        <d v="2025-12-02T00:00:00"/>
        <d v="2026-01-01T00:00:00"/>
        <d v="2025-11-07T00:00:00"/>
        <d v="2025-07-14T00:00:00"/>
        <d v="2025-02-21T00:00:00"/>
        <d v="2025-02-28T00:00:00"/>
        <d v="2025-10-12T00:00:00"/>
        <d v="2026-01-19T00:00:00"/>
        <d v="2026-01-29T00:00:00"/>
        <d v="2025-09-14T00:00:00"/>
        <d v="2025-11-14T00:00:00"/>
        <d v="2025-05-14T00:00:00"/>
        <d v="2026-01-03T00:00:00"/>
        <d v="2025-04-26T00:00:00"/>
        <d v="2025-03-06T00:00:00"/>
        <d v="2025-12-13T00:00:00"/>
        <d v="2025-11-10T00:00:00"/>
      </sharedItems>
      <fieldGroup par="13"/>
    </cacheField>
    <cacheField name="Customer_ID" numFmtId="0">
      <sharedItems/>
    </cacheField>
    <cacheField name="Restaurant_ID" numFmtId="0">
      <sharedItems/>
    </cacheField>
    <cacheField name="Dessert_ID" numFmtId="0">
      <sharedItems/>
    </cacheField>
    <cacheField name="Quantity" numFmtId="0">
      <sharedItems containsSemiMixedTypes="0" containsString="0" containsNumber="1" containsInteger="1" minValue="1" maxValue="5"/>
    </cacheField>
    <cacheField name="Price_Per_Item" numFmtId="0">
      <sharedItems containsSemiMixedTypes="0" containsString="0" containsNumber="1" containsInteger="1" minValue="100" maxValue="250"/>
    </cacheField>
    <cacheField name="Discount_Eligible" numFmtId="0">
      <sharedItems/>
    </cacheField>
    <cacheField name="Discounted_Price" numFmtId="0">
      <sharedItems containsSemiMixedTypes="0" containsString="0" containsNumber="1" minValue="50.5" maxValue="250"/>
    </cacheField>
    <cacheField name="Profit" numFmtId="0">
      <sharedItems containsSemiMixedTypes="0" containsString="0" containsNumber="1" minValue="-137.5" maxValue="935"/>
    </cacheField>
    <cacheField name="Months (Real_Date)" numFmtId="0" databaseField="0">
      <fieldGroup base="2">
        <rangePr groupBy="months" startDate="2025-01-01T00:00:00" endDate="2026-02-06T00:00:00"/>
        <groupItems count="14">
          <s v="&lt;01-01-2025"/>
          <s v="Jan"/>
          <s v="Feb"/>
          <s v="Mar"/>
          <s v="Apr"/>
          <s v="May"/>
          <s v="Jun"/>
          <s v="Jul"/>
          <s v="Aug"/>
          <s v="Sep"/>
          <s v="Oct"/>
          <s v="Nov"/>
          <s v="Dec"/>
          <s v="&gt;06-02-2026"/>
        </groupItems>
      </fieldGroup>
    </cacheField>
    <cacheField name="Quarters (Real_Date)" numFmtId="0" databaseField="0">
      <fieldGroup base="2">
        <rangePr groupBy="quarters" startDate="2025-01-01T00:00:00" endDate="2026-02-06T00:00:00"/>
        <groupItems count="6">
          <s v="&lt;01-01-2025"/>
          <s v="Qtr1"/>
          <s v="Qtr2"/>
          <s v="Qtr3"/>
          <s v="Qtr4"/>
          <s v="&gt;06-02-2026"/>
        </groupItems>
      </fieldGroup>
    </cacheField>
    <cacheField name="Years (Real_Date)" numFmtId="0" databaseField="0">
      <fieldGroup base="2">
        <rangePr groupBy="years" startDate="2025-01-01T00:00:00" endDate="2026-02-06T00:00:00"/>
        <groupItems count="4">
          <s v="&lt;01-01-2025"/>
          <s v="2025"/>
          <s v="2026"/>
          <s v="&gt;06-02-2026"/>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Madhavi" refreshedDate="46069.372081944442" createdVersion="8" refreshedVersion="8" minRefreshableVersion="3" recordCount="500" xr:uid="{CD4A0125-9D16-4706-8673-5A181CE19778}">
  <cacheSource type="worksheet">
    <worksheetSource name="Table210"/>
  </cacheSource>
  <cacheFields count="10">
    <cacheField name="Order_ID" numFmtId="0">
      <sharedItems/>
    </cacheField>
    <cacheField name="Date" numFmtId="0">
      <sharedItems/>
    </cacheField>
    <cacheField name="Customer_ID" numFmtId="0">
      <sharedItems/>
    </cacheField>
    <cacheField name="Restaurant_ID" numFmtId="0">
      <sharedItems count="99">
        <s v="R003"/>
        <s v="R097"/>
        <s v="R060"/>
        <s v="R074"/>
        <s v="R023"/>
        <s v="R020"/>
        <s v="R072"/>
        <s v="R095"/>
        <s v="R054"/>
        <s v="R049"/>
        <s v="R073"/>
        <s v="R008"/>
        <s v="R077"/>
        <s v="R029"/>
        <s v="R030"/>
        <s v="R014"/>
        <s v="R062"/>
        <s v="R087"/>
        <s v="R015"/>
        <s v="R005"/>
        <s v="R075"/>
        <s v="R098"/>
        <s v="R042"/>
        <s v="R032"/>
        <s v="R076"/>
        <s v="R053"/>
        <s v="R028"/>
        <s v="R093"/>
        <s v="R085"/>
        <s v="R052"/>
        <s v="R046"/>
        <s v="R033"/>
        <s v="R034"/>
        <s v="R090"/>
        <s v="R047"/>
        <s v="R025"/>
        <s v="R094"/>
        <s v="R016"/>
        <s v="R099"/>
        <s v="R088"/>
        <s v="R092"/>
        <s v="R068"/>
        <s v="R057"/>
        <s v="R086"/>
        <s v="R063"/>
        <s v="R089"/>
        <s v="R007"/>
        <s v="R027"/>
        <s v="R037"/>
        <s v="R002"/>
        <s v="R081"/>
        <s v="R080"/>
        <s v="R039"/>
        <s v="R083"/>
        <s v="R069"/>
        <s v="R019"/>
        <s v="R012"/>
        <s v="R021"/>
        <s v="R004"/>
        <s v="R011"/>
        <s v="R071"/>
        <s v="R066"/>
        <s v="R006"/>
        <s v="R010"/>
        <s v="R058"/>
        <s v="R026"/>
        <s v="R065"/>
        <s v="R035"/>
        <s v="R018"/>
        <s v="R022"/>
        <s v="R082"/>
        <s v="R031"/>
        <s v="R036"/>
        <s v="R048"/>
        <s v="R100"/>
        <s v="R055"/>
        <s v="R084"/>
        <s v="R017"/>
        <s v="R024"/>
        <s v="R041"/>
        <s v="R056"/>
        <s v="R067"/>
        <s v="R061"/>
        <s v="R079"/>
        <s v="R070"/>
        <s v="R044"/>
        <s v="R064"/>
        <s v="R040"/>
        <s v="R013"/>
        <s v="R043"/>
        <s v="R059"/>
        <s v="R096"/>
        <s v="R001"/>
        <s v="R045"/>
        <s v="R078"/>
        <s v="R009"/>
        <s v="R091"/>
        <s v="R038"/>
        <s v="R051"/>
      </sharedItems>
    </cacheField>
    <cacheField name="Dessert_ID" numFmtId="0">
      <sharedItems/>
    </cacheField>
    <cacheField name="Quantity" numFmtId="0">
      <sharedItems containsSemiMixedTypes="0" containsString="0" containsNumber="1" containsInteger="1" minValue="1" maxValue="5"/>
    </cacheField>
    <cacheField name="Price_Per_Item" numFmtId="0">
      <sharedItems containsSemiMixedTypes="0" containsString="0" containsNumber="1" containsInteger="1" minValue="100" maxValue="250"/>
    </cacheField>
    <cacheField name="Discount_Eligible" numFmtId="0">
      <sharedItems/>
    </cacheField>
    <cacheField name="Discounted_Price" numFmtId="0">
      <sharedItems containsSemiMixedTypes="0" containsString="0" containsNumber="1" minValue="50.5" maxValue="250"/>
    </cacheField>
    <cacheField name="Profit" numFmtId="0">
      <sharedItems containsSemiMixedTypes="0" containsString="0" containsNumber="1" minValue="-137.5" maxValue="93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Madhavi" refreshedDate="46069.376018981478" createdVersion="8" refreshedVersion="8" minRefreshableVersion="3" recordCount="500" xr:uid="{12803DEE-94E5-46C6-833F-451EB84D9572}">
  <cacheSource type="worksheet">
    <worksheetSource name="Table21011"/>
  </cacheSource>
  <cacheFields count="10">
    <cacheField name="Order_ID" numFmtId="0">
      <sharedItems/>
    </cacheField>
    <cacheField name="Date" numFmtId="0">
      <sharedItems/>
    </cacheField>
    <cacheField name="Customer_ID" numFmtId="0">
      <sharedItems/>
    </cacheField>
    <cacheField name="Restaurant_ID" numFmtId="0">
      <sharedItems count="99">
        <s v="R003"/>
        <s v="R097"/>
        <s v="R060"/>
        <s v="R074"/>
        <s v="R023"/>
        <s v="R020"/>
        <s v="R072"/>
        <s v="R095"/>
        <s v="R054"/>
        <s v="R049"/>
        <s v="R073"/>
        <s v="R008"/>
        <s v="R077"/>
        <s v="R029"/>
        <s v="R030"/>
        <s v="R014"/>
        <s v="R062"/>
        <s v="R087"/>
        <s v="R015"/>
        <s v="R005"/>
        <s v="R075"/>
        <s v="R098"/>
        <s v="R042"/>
        <s v="R032"/>
        <s v="R076"/>
        <s v="R053"/>
        <s v="R028"/>
        <s v="R093"/>
        <s v="R085"/>
        <s v="R052"/>
        <s v="R046"/>
        <s v="R033"/>
        <s v="R034"/>
        <s v="R090"/>
        <s v="R047"/>
        <s v="R025"/>
        <s v="R094"/>
        <s v="R016"/>
        <s v="R099"/>
        <s v="R088"/>
        <s v="R092"/>
        <s v="R068"/>
        <s v="R057"/>
        <s v="R086"/>
        <s v="R063"/>
        <s v="R089"/>
        <s v="R007"/>
        <s v="R027"/>
        <s v="R037"/>
        <s v="R002"/>
        <s v="R081"/>
        <s v="R080"/>
        <s v="R039"/>
        <s v="R083"/>
        <s v="R069"/>
        <s v="R019"/>
        <s v="R012"/>
        <s v="R021"/>
        <s v="R004"/>
        <s v="R011"/>
        <s v="R071"/>
        <s v="R066"/>
        <s v="R006"/>
        <s v="R010"/>
        <s v="R058"/>
        <s v="R026"/>
        <s v="R065"/>
        <s v="R035"/>
        <s v="R018"/>
        <s v="R022"/>
        <s v="R082"/>
        <s v="R031"/>
        <s v="R036"/>
        <s v="R048"/>
        <s v="R100"/>
        <s v="R055"/>
        <s v="R084"/>
        <s v="R017"/>
        <s v="R024"/>
        <s v="R041"/>
        <s v="R056"/>
        <s v="R067"/>
        <s v="R061"/>
        <s v="R079"/>
        <s v="R070"/>
        <s v="R044"/>
        <s v="R064"/>
        <s v="R040"/>
        <s v="R013"/>
        <s v="R043"/>
        <s v="R059"/>
        <s v="R096"/>
        <s v="R001"/>
        <s v="R045"/>
        <s v="R078"/>
        <s v="R009"/>
        <s v="R091"/>
        <s v="R038"/>
        <s v="R051"/>
      </sharedItems>
    </cacheField>
    <cacheField name="Dessert_ID" numFmtId="0">
      <sharedItems/>
    </cacheField>
    <cacheField name="Quantity" numFmtId="0">
      <sharedItems containsSemiMixedTypes="0" containsString="0" containsNumber="1" containsInteger="1" minValue="1" maxValue="5"/>
    </cacheField>
    <cacheField name="Price_Per_Item" numFmtId="0">
      <sharedItems containsSemiMixedTypes="0" containsString="0" containsNumber="1" containsInteger="1" minValue="100" maxValue="250"/>
    </cacheField>
    <cacheField name="Discount_Eligible" numFmtId="0">
      <sharedItems count="2">
        <s v="YES"/>
        <s v="NO"/>
      </sharedItems>
    </cacheField>
    <cacheField name="Discounted_Price" numFmtId="0">
      <sharedItems containsSemiMixedTypes="0" containsString="0" containsNumber="1" minValue="50.5" maxValue="250"/>
    </cacheField>
    <cacheField name="Profit" numFmtId="0">
      <sharedItems containsSemiMixedTypes="0" containsString="0" containsNumber="1" minValue="-137.5" maxValue="9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0001"/>
    <s v="2025-11-26"/>
    <x v="0"/>
    <x v="0"/>
    <x v="0"/>
    <n v="3"/>
    <n v="173"/>
    <x v="0"/>
    <x v="0"/>
    <x v="0"/>
  </r>
  <r>
    <s v="O0002"/>
    <s v="2025-07-06"/>
    <x v="1"/>
    <x v="1"/>
    <x v="1"/>
    <n v="4"/>
    <n v="135"/>
    <x v="0"/>
    <x v="1"/>
    <x v="1"/>
  </r>
  <r>
    <s v="O0003"/>
    <s v="2025-07-08"/>
    <x v="2"/>
    <x v="2"/>
    <x v="2"/>
    <n v="1"/>
    <n v="142"/>
    <x v="1"/>
    <x v="2"/>
    <x v="2"/>
  </r>
  <r>
    <s v="O0004"/>
    <s v="2025-06-29"/>
    <x v="3"/>
    <x v="3"/>
    <x v="3"/>
    <n v="4"/>
    <n v="188"/>
    <x v="1"/>
    <x v="3"/>
    <x v="3"/>
  </r>
  <r>
    <s v="O0005"/>
    <s v="2025-04-07"/>
    <x v="4"/>
    <x v="4"/>
    <x v="4"/>
    <n v="4"/>
    <n v="161"/>
    <x v="1"/>
    <x v="4"/>
    <x v="4"/>
  </r>
  <r>
    <s v="O0006"/>
    <s v="2025-09-01"/>
    <x v="5"/>
    <x v="5"/>
    <x v="5"/>
    <n v="2"/>
    <n v="158"/>
    <x v="0"/>
    <x v="5"/>
    <x v="1"/>
  </r>
  <r>
    <s v="O0007"/>
    <s v="2025-03-17"/>
    <x v="6"/>
    <x v="6"/>
    <x v="6"/>
    <n v="5"/>
    <n v="160"/>
    <x v="1"/>
    <x v="6"/>
    <x v="5"/>
  </r>
  <r>
    <s v="O0008"/>
    <s v="2025-02-11"/>
    <x v="7"/>
    <x v="7"/>
    <x v="7"/>
    <n v="4"/>
    <n v="179"/>
    <x v="1"/>
    <x v="7"/>
    <x v="6"/>
  </r>
  <r>
    <s v="O0009"/>
    <s v="2025-03-07"/>
    <x v="8"/>
    <x v="8"/>
    <x v="8"/>
    <n v="4"/>
    <n v="139"/>
    <x v="0"/>
    <x v="8"/>
    <x v="7"/>
  </r>
  <r>
    <s v="O0010"/>
    <s v="2025-10-21"/>
    <x v="9"/>
    <x v="9"/>
    <x v="9"/>
    <n v="5"/>
    <n v="248"/>
    <x v="0"/>
    <x v="9"/>
    <x v="8"/>
  </r>
  <r>
    <s v="O0011"/>
    <s v="2025-09-27"/>
    <x v="10"/>
    <x v="9"/>
    <x v="10"/>
    <n v="3"/>
    <n v="178"/>
    <x v="0"/>
    <x v="10"/>
    <x v="9"/>
  </r>
  <r>
    <s v="O0012"/>
    <s v="2025-09-27"/>
    <x v="11"/>
    <x v="10"/>
    <x v="11"/>
    <n v="2"/>
    <n v="240"/>
    <x v="1"/>
    <x v="11"/>
    <x v="10"/>
  </r>
  <r>
    <s v="O0013"/>
    <s v="2025-05-12"/>
    <x v="12"/>
    <x v="11"/>
    <x v="12"/>
    <n v="1"/>
    <n v="121"/>
    <x v="1"/>
    <x v="12"/>
    <x v="11"/>
  </r>
  <r>
    <s v="O0014"/>
    <s v="2025-08-03"/>
    <x v="13"/>
    <x v="12"/>
    <x v="13"/>
    <n v="2"/>
    <n v="233"/>
    <x v="1"/>
    <x v="13"/>
    <x v="12"/>
  </r>
  <r>
    <s v="O0015"/>
    <s v="2025-05-20"/>
    <x v="14"/>
    <x v="5"/>
    <x v="12"/>
    <n v="2"/>
    <n v="228"/>
    <x v="1"/>
    <x v="14"/>
    <x v="13"/>
  </r>
  <r>
    <s v="O0016"/>
    <s v="2025-09-19"/>
    <x v="15"/>
    <x v="13"/>
    <x v="14"/>
    <n v="3"/>
    <n v="202"/>
    <x v="1"/>
    <x v="15"/>
    <x v="14"/>
  </r>
  <r>
    <s v="O0017"/>
    <s v="2025-01-10"/>
    <x v="16"/>
    <x v="5"/>
    <x v="15"/>
    <n v="4"/>
    <n v="132"/>
    <x v="1"/>
    <x v="16"/>
    <x v="15"/>
  </r>
  <r>
    <s v="O0018"/>
    <s v="2025-06-24"/>
    <x v="2"/>
    <x v="14"/>
    <x v="3"/>
    <n v="5"/>
    <n v="226"/>
    <x v="1"/>
    <x v="17"/>
    <x v="16"/>
  </r>
  <r>
    <s v="O0019"/>
    <s v="2025-07-24"/>
    <x v="17"/>
    <x v="15"/>
    <x v="4"/>
    <n v="1"/>
    <n v="225"/>
    <x v="1"/>
    <x v="18"/>
    <x v="17"/>
  </r>
  <r>
    <s v="O0020"/>
    <s v="2025-08-20"/>
    <x v="18"/>
    <x v="16"/>
    <x v="16"/>
    <n v="2"/>
    <n v="221"/>
    <x v="0"/>
    <x v="19"/>
    <x v="18"/>
  </r>
  <r>
    <s v="O0021"/>
    <s v="2025-12-15"/>
    <x v="19"/>
    <x v="17"/>
    <x v="17"/>
    <n v="2"/>
    <n v="147"/>
    <x v="0"/>
    <x v="20"/>
    <x v="19"/>
  </r>
  <r>
    <s v="O0022"/>
    <s v="2025-04-09"/>
    <x v="20"/>
    <x v="5"/>
    <x v="18"/>
    <n v="2"/>
    <n v="213"/>
    <x v="0"/>
    <x v="21"/>
    <x v="20"/>
  </r>
  <r>
    <s v="O0023"/>
    <s v="2025-09-13"/>
    <x v="21"/>
    <x v="18"/>
    <x v="13"/>
    <n v="3"/>
    <n v="115"/>
    <x v="1"/>
    <x v="22"/>
    <x v="21"/>
  </r>
  <r>
    <s v="O0024"/>
    <s v="2026-01-20"/>
    <x v="22"/>
    <x v="13"/>
    <x v="19"/>
    <n v="4"/>
    <n v="241"/>
    <x v="1"/>
    <x v="23"/>
    <x v="22"/>
  </r>
  <r>
    <s v="O0025"/>
    <s v="2025-11-23"/>
    <x v="23"/>
    <x v="19"/>
    <x v="20"/>
    <n v="2"/>
    <n v="104"/>
    <x v="0"/>
    <x v="24"/>
    <x v="23"/>
  </r>
  <r>
    <s v="O0026"/>
    <s v="2025-11-05"/>
    <x v="0"/>
    <x v="20"/>
    <x v="2"/>
    <n v="5"/>
    <n v="206"/>
    <x v="0"/>
    <x v="25"/>
    <x v="24"/>
  </r>
  <r>
    <s v="O0027"/>
    <s v="2025-05-11"/>
    <x v="24"/>
    <x v="21"/>
    <x v="21"/>
    <n v="5"/>
    <n v="176"/>
    <x v="0"/>
    <x v="26"/>
    <x v="25"/>
  </r>
  <r>
    <s v="O0028"/>
    <s v="2025-01-09"/>
    <x v="25"/>
    <x v="22"/>
    <x v="19"/>
    <n v="2"/>
    <n v="201"/>
    <x v="0"/>
    <x v="27"/>
    <x v="26"/>
  </r>
  <r>
    <s v="O0029"/>
    <s v="2025-01-18"/>
    <x v="26"/>
    <x v="23"/>
    <x v="10"/>
    <n v="1"/>
    <n v="222"/>
    <x v="1"/>
    <x v="28"/>
    <x v="27"/>
  </r>
  <r>
    <s v="O0030"/>
    <s v="2025-03-11"/>
    <x v="27"/>
    <x v="23"/>
    <x v="1"/>
    <n v="4"/>
    <n v="156"/>
    <x v="1"/>
    <x v="29"/>
    <x v="28"/>
  </r>
  <r>
    <s v="O0031"/>
    <s v="2025-08-11"/>
    <x v="28"/>
    <x v="24"/>
    <x v="22"/>
    <n v="5"/>
    <n v="175"/>
    <x v="1"/>
    <x v="30"/>
    <x v="29"/>
  </r>
  <r>
    <s v="O0032"/>
    <s v="2025-06-14"/>
    <x v="10"/>
    <x v="25"/>
    <x v="23"/>
    <n v="2"/>
    <n v="154"/>
    <x v="0"/>
    <x v="31"/>
    <x v="30"/>
  </r>
  <r>
    <s v="O0033"/>
    <s v="2026-01-31"/>
    <x v="0"/>
    <x v="26"/>
    <x v="2"/>
    <n v="2"/>
    <n v="183"/>
    <x v="0"/>
    <x v="32"/>
    <x v="31"/>
  </r>
  <r>
    <s v="O0034"/>
    <s v="2025-09-01"/>
    <x v="29"/>
    <x v="27"/>
    <x v="22"/>
    <n v="3"/>
    <n v="222"/>
    <x v="1"/>
    <x v="28"/>
    <x v="32"/>
  </r>
  <r>
    <s v="O0035"/>
    <s v="2025-12-30"/>
    <x v="19"/>
    <x v="28"/>
    <x v="16"/>
    <n v="1"/>
    <n v="217"/>
    <x v="0"/>
    <x v="33"/>
    <x v="33"/>
  </r>
  <r>
    <s v="O0036"/>
    <s v="2025-02-11"/>
    <x v="20"/>
    <x v="24"/>
    <x v="13"/>
    <n v="5"/>
    <n v="126"/>
    <x v="0"/>
    <x v="34"/>
    <x v="34"/>
  </r>
  <r>
    <s v="O0037"/>
    <s v="2025-06-11"/>
    <x v="26"/>
    <x v="29"/>
    <x v="3"/>
    <n v="5"/>
    <n v="139"/>
    <x v="1"/>
    <x v="35"/>
    <x v="35"/>
  </r>
  <r>
    <s v="O0038"/>
    <s v="2025-04-16"/>
    <x v="27"/>
    <x v="30"/>
    <x v="9"/>
    <n v="1"/>
    <n v="203"/>
    <x v="1"/>
    <x v="36"/>
    <x v="36"/>
  </r>
  <r>
    <s v="O0039"/>
    <s v="2025-04-01"/>
    <x v="30"/>
    <x v="31"/>
    <x v="11"/>
    <n v="2"/>
    <n v="174"/>
    <x v="0"/>
    <x v="37"/>
    <x v="37"/>
  </r>
  <r>
    <s v="O0040"/>
    <s v="2025-12-23"/>
    <x v="31"/>
    <x v="32"/>
    <x v="24"/>
    <n v="1"/>
    <n v="219"/>
    <x v="1"/>
    <x v="38"/>
    <x v="17"/>
  </r>
  <r>
    <s v="O0041"/>
    <s v="2025-05-05"/>
    <x v="11"/>
    <x v="33"/>
    <x v="24"/>
    <n v="3"/>
    <n v="243"/>
    <x v="1"/>
    <x v="39"/>
    <x v="38"/>
  </r>
  <r>
    <s v="O0042"/>
    <s v="2025-08-25"/>
    <x v="32"/>
    <x v="33"/>
    <x v="25"/>
    <n v="3"/>
    <n v="234"/>
    <x v="1"/>
    <x v="40"/>
    <x v="39"/>
  </r>
  <r>
    <s v="O0043"/>
    <s v="2025-03-07"/>
    <x v="28"/>
    <x v="34"/>
    <x v="26"/>
    <n v="5"/>
    <n v="115"/>
    <x v="1"/>
    <x v="22"/>
    <x v="40"/>
  </r>
  <r>
    <s v="O0044"/>
    <s v="2025-02-27"/>
    <x v="33"/>
    <x v="20"/>
    <x v="27"/>
    <n v="1"/>
    <n v="124"/>
    <x v="0"/>
    <x v="41"/>
    <x v="41"/>
  </r>
  <r>
    <s v="O0045"/>
    <s v="2025-02-06"/>
    <x v="5"/>
    <x v="35"/>
    <x v="13"/>
    <n v="5"/>
    <n v="211"/>
    <x v="0"/>
    <x v="42"/>
    <x v="42"/>
  </r>
  <r>
    <s v="O0046"/>
    <s v="2025-01-18"/>
    <x v="34"/>
    <x v="28"/>
    <x v="1"/>
    <n v="5"/>
    <n v="161"/>
    <x v="0"/>
    <x v="43"/>
    <x v="43"/>
  </r>
  <r>
    <s v="O0047"/>
    <s v="2025-11-22"/>
    <x v="35"/>
    <x v="36"/>
    <x v="15"/>
    <n v="5"/>
    <n v="143"/>
    <x v="0"/>
    <x v="44"/>
    <x v="44"/>
  </r>
  <r>
    <s v="O0048"/>
    <s v="2025-07-26"/>
    <x v="36"/>
    <x v="23"/>
    <x v="28"/>
    <n v="5"/>
    <n v="165"/>
    <x v="1"/>
    <x v="45"/>
    <x v="45"/>
  </r>
  <r>
    <s v="O0049"/>
    <s v="2025-12-07"/>
    <x v="37"/>
    <x v="37"/>
    <x v="29"/>
    <n v="4"/>
    <n v="108"/>
    <x v="1"/>
    <x v="46"/>
    <x v="17"/>
  </r>
  <r>
    <s v="O0050"/>
    <s v="2025-01-13"/>
    <x v="38"/>
    <x v="38"/>
    <x v="30"/>
    <n v="4"/>
    <n v="150"/>
    <x v="0"/>
    <x v="47"/>
    <x v="46"/>
  </r>
  <r>
    <s v="O0051"/>
    <s v="2025-07-27"/>
    <x v="39"/>
    <x v="39"/>
    <x v="14"/>
    <n v="3"/>
    <n v="121"/>
    <x v="1"/>
    <x v="12"/>
    <x v="15"/>
  </r>
  <r>
    <s v="O0052"/>
    <s v="2025-04-27"/>
    <x v="3"/>
    <x v="40"/>
    <x v="10"/>
    <n v="4"/>
    <n v="210"/>
    <x v="1"/>
    <x v="48"/>
    <x v="47"/>
  </r>
  <r>
    <s v="O0053"/>
    <s v="2025-05-17"/>
    <x v="40"/>
    <x v="41"/>
    <x v="26"/>
    <n v="4"/>
    <n v="232"/>
    <x v="1"/>
    <x v="49"/>
    <x v="48"/>
  </r>
  <r>
    <s v="O0054"/>
    <s v="2025-12-12"/>
    <x v="41"/>
    <x v="2"/>
    <x v="31"/>
    <n v="5"/>
    <n v="116"/>
    <x v="0"/>
    <x v="50"/>
    <x v="49"/>
  </r>
  <r>
    <s v="O0055"/>
    <s v="2025-05-18"/>
    <x v="42"/>
    <x v="42"/>
    <x v="0"/>
    <n v="3"/>
    <n v="214"/>
    <x v="1"/>
    <x v="51"/>
    <x v="50"/>
  </r>
  <r>
    <s v="O0056"/>
    <s v="2025-09-18"/>
    <x v="43"/>
    <x v="13"/>
    <x v="29"/>
    <n v="2"/>
    <n v="246"/>
    <x v="0"/>
    <x v="52"/>
    <x v="51"/>
  </r>
  <r>
    <s v="O0057"/>
    <s v="2025-12-18"/>
    <x v="44"/>
    <x v="43"/>
    <x v="26"/>
    <n v="1"/>
    <n v="137"/>
    <x v="0"/>
    <x v="53"/>
    <x v="52"/>
  </r>
  <r>
    <s v="O0058"/>
    <s v="2025-03-13"/>
    <x v="35"/>
    <x v="4"/>
    <x v="31"/>
    <n v="4"/>
    <n v="206"/>
    <x v="0"/>
    <x v="25"/>
    <x v="53"/>
  </r>
  <r>
    <s v="O0059"/>
    <s v="2025-07-04"/>
    <x v="45"/>
    <x v="42"/>
    <x v="17"/>
    <n v="4"/>
    <n v="201"/>
    <x v="1"/>
    <x v="54"/>
    <x v="54"/>
  </r>
  <r>
    <s v="O0060"/>
    <s v="2025-11-01"/>
    <x v="46"/>
    <x v="2"/>
    <x v="27"/>
    <n v="4"/>
    <n v="243"/>
    <x v="1"/>
    <x v="39"/>
    <x v="55"/>
  </r>
  <r>
    <s v="O0061"/>
    <s v="2025-06-26"/>
    <x v="47"/>
    <x v="11"/>
    <x v="32"/>
    <n v="1"/>
    <n v="137"/>
    <x v="0"/>
    <x v="53"/>
    <x v="56"/>
  </r>
  <r>
    <s v="O0062"/>
    <s v="2025-04-03"/>
    <x v="48"/>
    <x v="44"/>
    <x v="3"/>
    <n v="2"/>
    <n v="122"/>
    <x v="1"/>
    <x v="55"/>
    <x v="57"/>
  </r>
  <r>
    <s v="O0063"/>
    <s v="2025-04-28"/>
    <x v="29"/>
    <x v="9"/>
    <x v="24"/>
    <n v="1"/>
    <n v="212"/>
    <x v="1"/>
    <x v="56"/>
    <x v="58"/>
  </r>
  <r>
    <s v="O0064"/>
    <s v="2025-12-24"/>
    <x v="3"/>
    <x v="34"/>
    <x v="33"/>
    <n v="2"/>
    <n v="248"/>
    <x v="1"/>
    <x v="57"/>
    <x v="59"/>
  </r>
  <r>
    <s v="O0065"/>
    <s v="2025-03-08"/>
    <x v="49"/>
    <x v="28"/>
    <x v="10"/>
    <n v="3"/>
    <n v="125"/>
    <x v="1"/>
    <x v="58"/>
    <x v="60"/>
  </r>
  <r>
    <s v="O0066"/>
    <s v="2025-03-02"/>
    <x v="50"/>
    <x v="14"/>
    <x v="9"/>
    <n v="2"/>
    <n v="113"/>
    <x v="0"/>
    <x v="59"/>
    <x v="61"/>
  </r>
  <r>
    <s v="O0067"/>
    <s v="2025-03-21"/>
    <x v="51"/>
    <x v="39"/>
    <x v="32"/>
    <n v="3"/>
    <n v="230"/>
    <x v="0"/>
    <x v="22"/>
    <x v="53"/>
  </r>
  <r>
    <s v="O0068"/>
    <s v="2025-01-03"/>
    <x v="52"/>
    <x v="30"/>
    <x v="13"/>
    <n v="2"/>
    <n v="130"/>
    <x v="0"/>
    <x v="60"/>
    <x v="62"/>
  </r>
  <r>
    <s v="O0069"/>
    <s v="2025-09-11"/>
    <x v="32"/>
    <x v="20"/>
    <x v="32"/>
    <n v="2"/>
    <n v="235"/>
    <x v="1"/>
    <x v="61"/>
    <x v="63"/>
  </r>
  <r>
    <s v="O0070"/>
    <s v="2025-06-10"/>
    <x v="13"/>
    <x v="45"/>
    <x v="34"/>
    <n v="1"/>
    <n v="169"/>
    <x v="1"/>
    <x v="62"/>
    <x v="64"/>
  </r>
  <r>
    <s v="O0071"/>
    <s v="2025-05-21"/>
    <x v="53"/>
    <x v="46"/>
    <x v="35"/>
    <n v="2"/>
    <n v="195"/>
    <x v="1"/>
    <x v="63"/>
    <x v="65"/>
  </r>
  <r>
    <s v="O0072"/>
    <s v="2025-07-16"/>
    <x v="54"/>
    <x v="17"/>
    <x v="36"/>
    <n v="2"/>
    <n v="200"/>
    <x v="1"/>
    <x v="64"/>
    <x v="66"/>
  </r>
  <r>
    <s v="O0073"/>
    <s v="2025-05-09"/>
    <x v="55"/>
    <x v="17"/>
    <x v="22"/>
    <n v="3"/>
    <n v="240"/>
    <x v="0"/>
    <x v="65"/>
    <x v="67"/>
  </r>
  <r>
    <s v="O0074"/>
    <s v="2026-01-26"/>
    <x v="56"/>
    <x v="15"/>
    <x v="7"/>
    <n v="1"/>
    <n v="156"/>
    <x v="1"/>
    <x v="29"/>
    <x v="68"/>
  </r>
  <r>
    <s v="O0075"/>
    <s v="2026-01-16"/>
    <x v="57"/>
    <x v="47"/>
    <x v="9"/>
    <n v="1"/>
    <n v="191"/>
    <x v="1"/>
    <x v="66"/>
    <x v="58"/>
  </r>
  <r>
    <s v="O0076"/>
    <s v="2026-02-03"/>
    <x v="58"/>
    <x v="48"/>
    <x v="37"/>
    <n v="3"/>
    <n v="140"/>
    <x v="1"/>
    <x v="67"/>
    <x v="69"/>
  </r>
  <r>
    <s v="O0077"/>
    <s v="2025-12-03"/>
    <x v="59"/>
    <x v="29"/>
    <x v="14"/>
    <n v="5"/>
    <n v="201"/>
    <x v="0"/>
    <x v="27"/>
    <x v="70"/>
  </r>
  <r>
    <s v="O0078"/>
    <s v="2025-04-29"/>
    <x v="60"/>
    <x v="49"/>
    <x v="38"/>
    <n v="2"/>
    <n v="235"/>
    <x v="1"/>
    <x v="61"/>
    <x v="71"/>
  </r>
  <r>
    <s v="O0079"/>
    <s v="2025-01-02"/>
    <x v="33"/>
    <x v="3"/>
    <x v="22"/>
    <n v="2"/>
    <n v="173"/>
    <x v="0"/>
    <x v="0"/>
    <x v="72"/>
  </r>
  <r>
    <s v="O0080"/>
    <s v="2025-08-17"/>
    <x v="13"/>
    <x v="14"/>
    <x v="33"/>
    <n v="3"/>
    <n v="193"/>
    <x v="1"/>
    <x v="68"/>
    <x v="73"/>
  </r>
  <r>
    <s v="O0081"/>
    <s v="2025-04-21"/>
    <x v="60"/>
    <x v="50"/>
    <x v="30"/>
    <n v="2"/>
    <n v="213"/>
    <x v="1"/>
    <x v="69"/>
    <x v="74"/>
  </r>
  <r>
    <s v="O0082"/>
    <s v="2025-01-14"/>
    <x v="61"/>
    <x v="51"/>
    <x v="32"/>
    <n v="1"/>
    <n v="145"/>
    <x v="1"/>
    <x v="70"/>
    <x v="75"/>
  </r>
  <r>
    <s v="O0083"/>
    <s v="2025-02-09"/>
    <x v="3"/>
    <x v="52"/>
    <x v="25"/>
    <n v="1"/>
    <n v="108"/>
    <x v="1"/>
    <x v="46"/>
    <x v="76"/>
  </r>
  <r>
    <s v="O0084"/>
    <s v="2025-03-14"/>
    <x v="19"/>
    <x v="53"/>
    <x v="7"/>
    <n v="2"/>
    <n v="211"/>
    <x v="0"/>
    <x v="42"/>
    <x v="58"/>
  </r>
  <r>
    <s v="O0085"/>
    <s v="2025-10-22"/>
    <x v="55"/>
    <x v="54"/>
    <x v="10"/>
    <n v="2"/>
    <n v="157"/>
    <x v="0"/>
    <x v="71"/>
    <x v="77"/>
  </r>
  <r>
    <s v="O0086"/>
    <s v="2025-02-19"/>
    <x v="62"/>
    <x v="42"/>
    <x v="13"/>
    <n v="2"/>
    <n v="114"/>
    <x v="1"/>
    <x v="72"/>
    <x v="37"/>
  </r>
  <r>
    <s v="O0087"/>
    <s v="2026-01-06"/>
    <x v="9"/>
    <x v="55"/>
    <x v="39"/>
    <n v="3"/>
    <n v="180"/>
    <x v="0"/>
    <x v="73"/>
    <x v="78"/>
  </r>
  <r>
    <s v="O0088"/>
    <s v="2025-06-10"/>
    <x v="60"/>
    <x v="56"/>
    <x v="11"/>
    <n v="1"/>
    <n v="181"/>
    <x v="1"/>
    <x v="74"/>
    <x v="79"/>
  </r>
  <r>
    <s v="O0089"/>
    <s v="2025-02-22"/>
    <x v="63"/>
    <x v="57"/>
    <x v="39"/>
    <n v="3"/>
    <n v="185"/>
    <x v="0"/>
    <x v="75"/>
    <x v="80"/>
  </r>
  <r>
    <s v="O0090"/>
    <s v="2025-08-02"/>
    <x v="29"/>
    <x v="58"/>
    <x v="5"/>
    <n v="4"/>
    <n v="236"/>
    <x v="1"/>
    <x v="76"/>
    <x v="81"/>
  </r>
  <r>
    <s v="O0091"/>
    <s v="2025-01-04"/>
    <x v="64"/>
    <x v="59"/>
    <x v="4"/>
    <n v="2"/>
    <n v="202"/>
    <x v="0"/>
    <x v="77"/>
    <x v="82"/>
  </r>
  <r>
    <s v="O0092"/>
    <s v="2025-07-17"/>
    <x v="27"/>
    <x v="34"/>
    <x v="22"/>
    <n v="1"/>
    <n v="241"/>
    <x v="1"/>
    <x v="23"/>
    <x v="83"/>
  </r>
  <r>
    <s v="O0093"/>
    <s v="2025-01-20"/>
    <x v="20"/>
    <x v="31"/>
    <x v="40"/>
    <n v="2"/>
    <n v="183"/>
    <x v="0"/>
    <x v="32"/>
    <x v="84"/>
  </r>
  <r>
    <s v="O0094"/>
    <s v="2025-01-26"/>
    <x v="58"/>
    <x v="19"/>
    <x v="39"/>
    <n v="2"/>
    <n v="196"/>
    <x v="1"/>
    <x v="78"/>
    <x v="60"/>
  </r>
  <r>
    <s v="O0095"/>
    <s v="2025-08-30"/>
    <x v="63"/>
    <x v="60"/>
    <x v="41"/>
    <n v="1"/>
    <n v="126"/>
    <x v="0"/>
    <x v="34"/>
    <x v="85"/>
  </r>
  <r>
    <s v="O0096"/>
    <s v="2025-12-28"/>
    <x v="65"/>
    <x v="51"/>
    <x v="34"/>
    <n v="4"/>
    <n v="206"/>
    <x v="1"/>
    <x v="79"/>
    <x v="86"/>
  </r>
  <r>
    <s v="O0097"/>
    <s v="2025-03-30"/>
    <x v="54"/>
    <x v="61"/>
    <x v="42"/>
    <n v="1"/>
    <n v="198"/>
    <x v="1"/>
    <x v="80"/>
    <x v="87"/>
  </r>
  <r>
    <s v="O0098"/>
    <s v="2025-08-06"/>
    <x v="30"/>
    <x v="28"/>
    <x v="6"/>
    <n v="2"/>
    <n v="218"/>
    <x v="0"/>
    <x v="81"/>
    <x v="88"/>
  </r>
  <r>
    <s v="O0099"/>
    <s v="2025-12-29"/>
    <x v="20"/>
    <x v="62"/>
    <x v="0"/>
    <n v="4"/>
    <n v="193"/>
    <x v="0"/>
    <x v="82"/>
    <x v="89"/>
  </r>
  <r>
    <s v="O0100"/>
    <s v="2026-01-02"/>
    <x v="46"/>
    <x v="32"/>
    <x v="43"/>
    <n v="3"/>
    <n v="240"/>
    <x v="1"/>
    <x v="11"/>
    <x v="32"/>
  </r>
  <r>
    <s v="O0101"/>
    <s v="2025-03-10"/>
    <x v="9"/>
    <x v="40"/>
    <x v="44"/>
    <n v="5"/>
    <n v="107"/>
    <x v="0"/>
    <x v="83"/>
    <x v="44"/>
  </r>
  <r>
    <s v="O0102"/>
    <s v="2025-10-20"/>
    <x v="54"/>
    <x v="13"/>
    <x v="45"/>
    <n v="3"/>
    <n v="158"/>
    <x v="1"/>
    <x v="84"/>
    <x v="90"/>
  </r>
  <r>
    <s v="O0103"/>
    <s v="2025-12-22"/>
    <x v="48"/>
    <x v="8"/>
    <x v="43"/>
    <n v="5"/>
    <n v="111"/>
    <x v="1"/>
    <x v="85"/>
    <x v="91"/>
  </r>
  <r>
    <s v="O0104"/>
    <s v="2025-04-13"/>
    <x v="66"/>
    <x v="63"/>
    <x v="17"/>
    <n v="4"/>
    <n v="124"/>
    <x v="0"/>
    <x v="41"/>
    <x v="92"/>
  </r>
  <r>
    <s v="O0105"/>
    <s v="2025-07-23"/>
    <x v="48"/>
    <x v="39"/>
    <x v="41"/>
    <n v="3"/>
    <n v="181"/>
    <x v="1"/>
    <x v="74"/>
    <x v="93"/>
  </r>
  <r>
    <s v="O0106"/>
    <s v="2026-01-22"/>
    <x v="22"/>
    <x v="57"/>
    <x v="20"/>
    <n v="5"/>
    <n v="182"/>
    <x v="1"/>
    <x v="86"/>
    <x v="94"/>
  </r>
  <r>
    <s v="O0107"/>
    <s v="2025-01-01"/>
    <x v="5"/>
    <x v="64"/>
    <x v="9"/>
    <n v="3"/>
    <n v="124"/>
    <x v="0"/>
    <x v="41"/>
    <x v="95"/>
  </r>
  <r>
    <s v="O0108"/>
    <s v="2025-09-08"/>
    <x v="33"/>
    <x v="7"/>
    <x v="18"/>
    <n v="4"/>
    <n v="177"/>
    <x v="0"/>
    <x v="87"/>
    <x v="96"/>
  </r>
  <r>
    <s v="O0109"/>
    <s v="2025-04-09"/>
    <x v="40"/>
    <x v="65"/>
    <x v="12"/>
    <n v="3"/>
    <n v="112"/>
    <x v="1"/>
    <x v="88"/>
    <x v="97"/>
  </r>
  <r>
    <s v="O0110"/>
    <s v="2026-01-24"/>
    <x v="67"/>
    <x v="66"/>
    <x v="27"/>
    <n v="4"/>
    <n v="233"/>
    <x v="0"/>
    <x v="89"/>
    <x v="98"/>
  </r>
  <r>
    <s v="O0111"/>
    <s v="2025-03-04"/>
    <x v="60"/>
    <x v="67"/>
    <x v="6"/>
    <n v="3"/>
    <n v="182"/>
    <x v="1"/>
    <x v="86"/>
    <x v="99"/>
  </r>
  <r>
    <s v="O0112"/>
    <s v="2025-04-27"/>
    <x v="68"/>
    <x v="68"/>
    <x v="13"/>
    <n v="3"/>
    <n v="171"/>
    <x v="0"/>
    <x v="90"/>
    <x v="100"/>
  </r>
  <r>
    <s v="O0113"/>
    <s v="2025-07-29"/>
    <x v="69"/>
    <x v="23"/>
    <x v="9"/>
    <n v="2"/>
    <n v="154"/>
    <x v="0"/>
    <x v="31"/>
    <x v="7"/>
  </r>
  <r>
    <s v="O0114"/>
    <s v="2025-06-03"/>
    <x v="15"/>
    <x v="69"/>
    <x v="26"/>
    <n v="5"/>
    <n v="228"/>
    <x v="1"/>
    <x v="14"/>
    <x v="101"/>
  </r>
  <r>
    <s v="O0115"/>
    <s v="2025-04-01"/>
    <x v="70"/>
    <x v="63"/>
    <x v="20"/>
    <n v="2"/>
    <n v="131"/>
    <x v="0"/>
    <x v="91"/>
    <x v="102"/>
  </r>
  <r>
    <s v="O0116"/>
    <s v="2025-05-31"/>
    <x v="9"/>
    <x v="70"/>
    <x v="46"/>
    <n v="5"/>
    <n v="235"/>
    <x v="0"/>
    <x v="92"/>
    <x v="70"/>
  </r>
  <r>
    <s v="O0117"/>
    <s v="2025-02-15"/>
    <x v="58"/>
    <x v="64"/>
    <x v="45"/>
    <n v="2"/>
    <n v="250"/>
    <x v="1"/>
    <x v="93"/>
    <x v="103"/>
  </r>
  <r>
    <s v="O0118"/>
    <s v="2025-06-26"/>
    <x v="22"/>
    <x v="29"/>
    <x v="43"/>
    <n v="1"/>
    <n v="242"/>
    <x v="1"/>
    <x v="94"/>
    <x v="104"/>
  </r>
  <r>
    <s v="O0119"/>
    <s v="2025-10-26"/>
    <x v="21"/>
    <x v="14"/>
    <x v="45"/>
    <n v="5"/>
    <n v="148"/>
    <x v="1"/>
    <x v="95"/>
    <x v="32"/>
  </r>
  <r>
    <s v="O0120"/>
    <s v="2025-03-04"/>
    <x v="71"/>
    <x v="71"/>
    <x v="38"/>
    <n v="4"/>
    <n v="240"/>
    <x v="0"/>
    <x v="65"/>
    <x v="105"/>
  </r>
  <r>
    <s v="O0121"/>
    <s v="2025-01-03"/>
    <x v="59"/>
    <x v="72"/>
    <x v="0"/>
    <n v="4"/>
    <n v="109"/>
    <x v="0"/>
    <x v="96"/>
    <x v="106"/>
  </r>
  <r>
    <s v="O0122"/>
    <s v="2025-04-25"/>
    <x v="1"/>
    <x v="45"/>
    <x v="47"/>
    <n v="5"/>
    <n v="218"/>
    <x v="0"/>
    <x v="81"/>
    <x v="107"/>
  </r>
  <r>
    <s v="O0123"/>
    <s v="2025-11-23"/>
    <x v="53"/>
    <x v="22"/>
    <x v="6"/>
    <n v="1"/>
    <n v="198"/>
    <x v="1"/>
    <x v="80"/>
    <x v="108"/>
  </r>
  <r>
    <s v="O0124"/>
    <s v="2025-06-20"/>
    <x v="69"/>
    <x v="38"/>
    <x v="40"/>
    <n v="5"/>
    <n v="117"/>
    <x v="0"/>
    <x v="97"/>
    <x v="109"/>
  </r>
  <r>
    <s v="O0125"/>
    <s v="2025-07-03"/>
    <x v="50"/>
    <x v="26"/>
    <x v="48"/>
    <n v="1"/>
    <n v="131"/>
    <x v="0"/>
    <x v="91"/>
    <x v="110"/>
  </r>
  <r>
    <s v="O0126"/>
    <s v="2025-11-01"/>
    <x v="72"/>
    <x v="21"/>
    <x v="13"/>
    <n v="5"/>
    <n v="230"/>
    <x v="0"/>
    <x v="22"/>
    <x v="111"/>
  </r>
  <r>
    <s v="O0127"/>
    <s v="2025-05-08"/>
    <x v="70"/>
    <x v="73"/>
    <x v="49"/>
    <n v="3"/>
    <n v="114"/>
    <x v="0"/>
    <x v="98"/>
    <x v="112"/>
  </r>
  <r>
    <s v="O0128"/>
    <s v="2025-04-29"/>
    <x v="61"/>
    <x v="74"/>
    <x v="42"/>
    <n v="2"/>
    <n v="180"/>
    <x v="1"/>
    <x v="99"/>
    <x v="113"/>
  </r>
  <r>
    <s v="O0129"/>
    <s v="2025-10-15"/>
    <x v="73"/>
    <x v="35"/>
    <x v="40"/>
    <n v="2"/>
    <n v="142"/>
    <x v="1"/>
    <x v="2"/>
    <x v="114"/>
  </r>
  <r>
    <s v="O0130"/>
    <s v="2025-11-12"/>
    <x v="64"/>
    <x v="25"/>
    <x v="48"/>
    <n v="1"/>
    <n v="193"/>
    <x v="0"/>
    <x v="82"/>
    <x v="100"/>
  </r>
  <r>
    <s v="O0131"/>
    <s v="2025-07-22"/>
    <x v="24"/>
    <x v="75"/>
    <x v="15"/>
    <n v="4"/>
    <n v="194"/>
    <x v="0"/>
    <x v="100"/>
    <x v="37"/>
  </r>
  <r>
    <s v="O0132"/>
    <s v="2025-08-13"/>
    <x v="60"/>
    <x v="66"/>
    <x v="11"/>
    <n v="2"/>
    <n v="235"/>
    <x v="1"/>
    <x v="61"/>
    <x v="115"/>
  </r>
  <r>
    <s v="O0133"/>
    <s v="2025-07-19"/>
    <x v="26"/>
    <x v="53"/>
    <x v="16"/>
    <n v="5"/>
    <n v="180"/>
    <x v="1"/>
    <x v="99"/>
    <x v="38"/>
  </r>
  <r>
    <s v="O0134"/>
    <s v="2025-11-22"/>
    <x v="64"/>
    <x v="75"/>
    <x v="14"/>
    <n v="4"/>
    <n v="184"/>
    <x v="0"/>
    <x v="101"/>
    <x v="116"/>
  </r>
  <r>
    <s v="O0135"/>
    <s v="2025-10-16"/>
    <x v="30"/>
    <x v="76"/>
    <x v="28"/>
    <n v="2"/>
    <n v="155"/>
    <x v="0"/>
    <x v="102"/>
    <x v="85"/>
  </r>
  <r>
    <s v="O0136"/>
    <s v="2025-08-28"/>
    <x v="74"/>
    <x v="2"/>
    <x v="46"/>
    <n v="5"/>
    <n v="146"/>
    <x v="1"/>
    <x v="103"/>
    <x v="117"/>
  </r>
  <r>
    <s v="O0137"/>
    <s v="2025-12-08"/>
    <x v="75"/>
    <x v="7"/>
    <x v="37"/>
    <n v="5"/>
    <n v="250"/>
    <x v="0"/>
    <x v="58"/>
    <x v="118"/>
  </r>
  <r>
    <s v="O0138"/>
    <s v="2025-05-11"/>
    <x v="11"/>
    <x v="77"/>
    <x v="2"/>
    <n v="1"/>
    <n v="248"/>
    <x v="1"/>
    <x v="57"/>
    <x v="119"/>
  </r>
  <r>
    <s v="O0139"/>
    <s v="2025-07-17"/>
    <x v="56"/>
    <x v="59"/>
    <x v="48"/>
    <n v="1"/>
    <n v="132"/>
    <x v="1"/>
    <x v="16"/>
    <x v="75"/>
  </r>
  <r>
    <s v="O0140"/>
    <s v="2025-04-23"/>
    <x v="76"/>
    <x v="38"/>
    <x v="44"/>
    <n v="5"/>
    <n v="108"/>
    <x v="1"/>
    <x v="46"/>
    <x v="69"/>
  </r>
  <r>
    <s v="O0141"/>
    <s v="2025-08-19"/>
    <x v="77"/>
    <x v="78"/>
    <x v="20"/>
    <n v="1"/>
    <n v="209"/>
    <x v="0"/>
    <x v="104"/>
    <x v="120"/>
  </r>
  <r>
    <s v="O0142"/>
    <s v="2025-12-10"/>
    <x v="2"/>
    <x v="52"/>
    <x v="15"/>
    <n v="1"/>
    <n v="236"/>
    <x v="1"/>
    <x v="76"/>
    <x v="121"/>
  </r>
  <r>
    <s v="O0143"/>
    <s v="2025-09-16"/>
    <x v="40"/>
    <x v="33"/>
    <x v="33"/>
    <n v="5"/>
    <n v="112"/>
    <x v="1"/>
    <x v="88"/>
    <x v="118"/>
  </r>
  <r>
    <s v="O0144"/>
    <s v="2025-12-03"/>
    <x v="22"/>
    <x v="3"/>
    <x v="23"/>
    <n v="5"/>
    <n v="162"/>
    <x v="1"/>
    <x v="105"/>
    <x v="122"/>
  </r>
  <r>
    <s v="O0145"/>
    <s v="2025-01-16"/>
    <x v="4"/>
    <x v="79"/>
    <x v="24"/>
    <n v="1"/>
    <n v="100"/>
    <x v="1"/>
    <x v="106"/>
    <x v="123"/>
  </r>
  <r>
    <s v="O0146"/>
    <s v="2026-02-04"/>
    <x v="16"/>
    <x v="37"/>
    <x v="27"/>
    <n v="4"/>
    <n v="232"/>
    <x v="1"/>
    <x v="49"/>
    <x v="124"/>
  </r>
  <r>
    <s v="O0147"/>
    <s v="2025-02-23"/>
    <x v="55"/>
    <x v="80"/>
    <x v="1"/>
    <n v="2"/>
    <n v="117"/>
    <x v="0"/>
    <x v="97"/>
    <x v="61"/>
  </r>
  <r>
    <s v="O0148"/>
    <s v="2025-12-11"/>
    <x v="69"/>
    <x v="80"/>
    <x v="46"/>
    <n v="2"/>
    <n v="138"/>
    <x v="0"/>
    <x v="107"/>
    <x v="1"/>
  </r>
  <r>
    <s v="O0149"/>
    <s v="2025-12-18"/>
    <x v="26"/>
    <x v="31"/>
    <x v="2"/>
    <n v="2"/>
    <n v="178"/>
    <x v="1"/>
    <x v="108"/>
    <x v="125"/>
  </r>
  <r>
    <s v="O0150"/>
    <s v="2025-05-07"/>
    <x v="78"/>
    <x v="46"/>
    <x v="31"/>
    <n v="1"/>
    <n v="188"/>
    <x v="0"/>
    <x v="109"/>
    <x v="7"/>
  </r>
  <r>
    <s v="O0151"/>
    <s v="2025-08-28"/>
    <x v="15"/>
    <x v="13"/>
    <x v="39"/>
    <n v="1"/>
    <n v="150"/>
    <x v="1"/>
    <x v="110"/>
    <x v="126"/>
  </r>
  <r>
    <s v="O0152"/>
    <s v="2025-12-18"/>
    <x v="79"/>
    <x v="81"/>
    <x v="16"/>
    <n v="3"/>
    <n v="121"/>
    <x v="0"/>
    <x v="111"/>
    <x v="127"/>
  </r>
  <r>
    <s v="O0153"/>
    <s v="2025-02-14"/>
    <x v="71"/>
    <x v="82"/>
    <x v="26"/>
    <n v="3"/>
    <n v="162"/>
    <x v="0"/>
    <x v="112"/>
    <x v="77"/>
  </r>
  <r>
    <s v="O0154"/>
    <s v="2026-01-21"/>
    <x v="9"/>
    <x v="28"/>
    <x v="35"/>
    <n v="5"/>
    <n v="169"/>
    <x v="0"/>
    <x v="113"/>
    <x v="128"/>
  </r>
  <r>
    <s v="O0155"/>
    <s v="2025-07-08"/>
    <x v="80"/>
    <x v="22"/>
    <x v="18"/>
    <n v="5"/>
    <n v="219"/>
    <x v="1"/>
    <x v="38"/>
    <x v="129"/>
  </r>
  <r>
    <s v="O0156"/>
    <s v="2025-10-07"/>
    <x v="63"/>
    <x v="72"/>
    <x v="11"/>
    <n v="5"/>
    <n v="133"/>
    <x v="0"/>
    <x v="114"/>
    <x v="130"/>
  </r>
  <r>
    <s v="O0157"/>
    <s v="2025-06-23"/>
    <x v="59"/>
    <x v="83"/>
    <x v="4"/>
    <n v="4"/>
    <n v="240"/>
    <x v="0"/>
    <x v="65"/>
    <x v="131"/>
  </r>
  <r>
    <s v="O0158"/>
    <s v="2025-11-22"/>
    <x v="71"/>
    <x v="84"/>
    <x v="12"/>
    <n v="2"/>
    <n v="203"/>
    <x v="0"/>
    <x v="115"/>
    <x v="132"/>
  </r>
  <r>
    <s v="O0159"/>
    <s v="2025-12-24"/>
    <x v="68"/>
    <x v="85"/>
    <x v="28"/>
    <n v="5"/>
    <n v="236"/>
    <x v="0"/>
    <x v="116"/>
    <x v="133"/>
  </r>
  <r>
    <s v="O0160"/>
    <s v="2025-12-14"/>
    <x v="28"/>
    <x v="38"/>
    <x v="4"/>
    <n v="3"/>
    <n v="154"/>
    <x v="1"/>
    <x v="117"/>
    <x v="134"/>
  </r>
  <r>
    <s v="O0161"/>
    <s v="2025-06-25"/>
    <x v="18"/>
    <x v="24"/>
    <x v="27"/>
    <n v="2"/>
    <n v="213"/>
    <x v="0"/>
    <x v="21"/>
    <x v="135"/>
  </r>
  <r>
    <s v="O0162"/>
    <s v="2025-11-26"/>
    <x v="35"/>
    <x v="81"/>
    <x v="18"/>
    <n v="3"/>
    <n v="136"/>
    <x v="0"/>
    <x v="118"/>
    <x v="136"/>
  </r>
  <r>
    <s v="O0163"/>
    <s v="2025-04-18"/>
    <x v="79"/>
    <x v="83"/>
    <x v="34"/>
    <n v="2"/>
    <n v="174"/>
    <x v="0"/>
    <x v="37"/>
    <x v="37"/>
  </r>
  <r>
    <s v="O0164"/>
    <s v="2025-11-01"/>
    <x v="9"/>
    <x v="65"/>
    <x v="36"/>
    <n v="1"/>
    <n v="227"/>
    <x v="0"/>
    <x v="119"/>
    <x v="137"/>
  </r>
  <r>
    <s v="O0165"/>
    <s v="2025-05-21"/>
    <x v="81"/>
    <x v="66"/>
    <x v="2"/>
    <n v="1"/>
    <n v="216"/>
    <x v="1"/>
    <x v="120"/>
    <x v="138"/>
  </r>
  <r>
    <s v="O0166"/>
    <s v="2025-03-19"/>
    <x v="21"/>
    <x v="27"/>
    <x v="23"/>
    <n v="2"/>
    <n v="245"/>
    <x v="1"/>
    <x v="121"/>
    <x v="139"/>
  </r>
  <r>
    <s v="O0167"/>
    <s v="2025-08-13"/>
    <x v="20"/>
    <x v="86"/>
    <x v="22"/>
    <n v="2"/>
    <n v="236"/>
    <x v="0"/>
    <x v="116"/>
    <x v="140"/>
  </r>
  <r>
    <s v="O0168"/>
    <s v="2025-03-08"/>
    <x v="82"/>
    <x v="40"/>
    <x v="35"/>
    <n v="5"/>
    <n v="123"/>
    <x v="1"/>
    <x v="52"/>
    <x v="134"/>
  </r>
  <r>
    <s v="O0169"/>
    <s v="2025-09-30"/>
    <x v="60"/>
    <x v="31"/>
    <x v="48"/>
    <n v="4"/>
    <n v="105"/>
    <x v="1"/>
    <x v="122"/>
    <x v="141"/>
  </r>
  <r>
    <s v="O0170"/>
    <s v="2025-06-24"/>
    <x v="43"/>
    <x v="37"/>
    <x v="15"/>
    <n v="2"/>
    <n v="235"/>
    <x v="0"/>
    <x v="92"/>
    <x v="142"/>
  </r>
  <r>
    <s v="O0171"/>
    <s v="2025-07-29"/>
    <x v="51"/>
    <x v="62"/>
    <x v="32"/>
    <n v="3"/>
    <n v="212"/>
    <x v="0"/>
    <x v="123"/>
    <x v="58"/>
  </r>
  <r>
    <s v="O0172"/>
    <s v="2025-10-05"/>
    <x v="8"/>
    <x v="73"/>
    <x v="36"/>
    <n v="2"/>
    <n v="140"/>
    <x v="0"/>
    <x v="124"/>
    <x v="143"/>
  </r>
  <r>
    <s v="O0173"/>
    <s v="2025-09-25"/>
    <x v="21"/>
    <x v="35"/>
    <x v="1"/>
    <n v="1"/>
    <n v="186"/>
    <x v="1"/>
    <x v="125"/>
    <x v="114"/>
  </r>
  <r>
    <s v="O0174"/>
    <s v="2025-11-13"/>
    <x v="5"/>
    <x v="29"/>
    <x v="35"/>
    <n v="1"/>
    <n v="109"/>
    <x v="0"/>
    <x v="96"/>
    <x v="144"/>
  </r>
  <r>
    <s v="O0175"/>
    <s v="2025-05-26"/>
    <x v="58"/>
    <x v="34"/>
    <x v="10"/>
    <n v="2"/>
    <n v="197"/>
    <x v="1"/>
    <x v="126"/>
    <x v="145"/>
  </r>
  <r>
    <s v="O0176"/>
    <s v="2025-12-28"/>
    <x v="77"/>
    <x v="3"/>
    <x v="43"/>
    <n v="5"/>
    <n v="193"/>
    <x v="0"/>
    <x v="82"/>
    <x v="146"/>
  </r>
  <r>
    <s v="O0177"/>
    <s v="2025-12-03"/>
    <x v="19"/>
    <x v="41"/>
    <x v="49"/>
    <n v="4"/>
    <n v="164"/>
    <x v="0"/>
    <x v="127"/>
    <x v="11"/>
  </r>
  <r>
    <s v="O0178"/>
    <s v="2025-07-12"/>
    <x v="38"/>
    <x v="73"/>
    <x v="22"/>
    <n v="2"/>
    <n v="129"/>
    <x v="0"/>
    <x v="128"/>
    <x v="85"/>
  </r>
  <r>
    <s v="O0179"/>
    <s v="2025-09-03"/>
    <x v="53"/>
    <x v="42"/>
    <x v="45"/>
    <n v="5"/>
    <n v="208"/>
    <x v="1"/>
    <x v="129"/>
    <x v="147"/>
  </r>
  <r>
    <s v="O0180"/>
    <s v="2025-03-29"/>
    <x v="32"/>
    <x v="80"/>
    <x v="42"/>
    <n v="3"/>
    <n v="138"/>
    <x v="1"/>
    <x v="130"/>
    <x v="148"/>
  </r>
  <r>
    <s v="O0181"/>
    <s v="2025-11-28"/>
    <x v="24"/>
    <x v="34"/>
    <x v="13"/>
    <n v="1"/>
    <n v="240"/>
    <x v="0"/>
    <x v="65"/>
    <x v="88"/>
  </r>
  <r>
    <s v="O0182"/>
    <s v="2025-11-22"/>
    <x v="38"/>
    <x v="9"/>
    <x v="49"/>
    <n v="5"/>
    <n v="209"/>
    <x v="0"/>
    <x v="104"/>
    <x v="149"/>
  </r>
  <r>
    <s v="O0183"/>
    <s v="2025-07-18"/>
    <x v="5"/>
    <x v="86"/>
    <x v="48"/>
    <n v="5"/>
    <n v="122"/>
    <x v="0"/>
    <x v="131"/>
    <x v="150"/>
  </r>
  <r>
    <s v="O0184"/>
    <s v="2025-06-07"/>
    <x v="75"/>
    <x v="87"/>
    <x v="0"/>
    <n v="2"/>
    <n v="106"/>
    <x v="0"/>
    <x v="132"/>
    <x v="151"/>
  </r>
  <r>
    <s v="O0185"/>
    <s v="2025-02-03"/>
    <x v="78"/>
    <x v="57"/>
    <x v="43"/>
    <n v="5"/>
    <n v="219"/>
    <x v="0"/>
    <x v="133"/>
    <x v="152"/>
  </r>
  <r>
    <s v="O0186"/>
    <s v="2025-12-23"/>
    <x v="83"/>
    <x v="15"/>
    <x v="49"/>
    <n v="3"/>
    <n v="130"/>
    <x v="1"/>
    <x v="134"/>
    <x v="153"/>
  </r>
  <r>
    <s v="O0187"/>
    <s v="2025-02-24"/>
    <x v="70"/>
    <x v="30"/>
    <x v="1"/>
    <n v="4"/>
    <n v="171"/>
    <x v="0"/>
    <x v="90"/>
    <x v="154"/>
  </r>
  <r>
    <s v="O0188"/>
    <s v="2025-06-26"/>
    <x v="73"/>
    <x v="88"/>
    <x v="15"/>
    <n v="5"/>
    <n v="233"/>
    <x v="1"/>
    <x v="13"/>
    <x v="155"/>
  </r>
  <r>
    <s v="O0189"/>
    <s v="2025-12-06"/>
    <x v="84"/>
    <x v="68"/>
    <x v="3"/>
    <n v="3"/>
    <n v="171"/>
    <x v="1"/>
    <x v="135"/>
    <x v="156"/>
  </r>
  <r>
    <s v="O0190"/>
    <s v="2025-12-11"/>
    <x v="7"/>
    <x v="84"/>
    <x v="36"/>
    <n v="3"/>
    <n v="137"/>
    <x v="1"/>
    <x v="136"/>
    <x v="157"/>
  </r>
  <r>
    <s v="O0191"/>
    <s v="2025-08-07"/>
    <x v="19"/>
    <x v="80"/>
    <x v="48"/>
    <n v="1"/>
    <n v="227"/>
    <x v="0"/>
    <x v="119"/>
    <x v="158"/>
  </r>
  <r>
    <s v="O0192"/>
    <s v="2025-08-21"/>
    <x v="62"/>
    <x v="29"/>
    <x v="18"/>
    <n v="2"/>
    <n v="146"/>
    <x v="1"/>
    <x v="103"/>
    <x v="79"/>
  </r>
  <r>
    <s v="O0193"/>
    <s v="2026-02-05"/>
    <x v="45"/>
    <x v="64"/>
    <x v="48"/>
    <n v="2"/>
    <n v="189"/>
    <x v="1"/>
    <x v="137"/>
    <x v="159"/>
  </r>
  <r>
    <s v="O0194"/>
    <s v="2025-10-24"/>
    <x v="3"/>
    <x v="55"/>
    <x v="27"/>
    <n v="3"/>
    <n v="240"/>
    <x v="1"/>
    <x v="11"/>
    <x v="160"/>
  </r>
  <r>
    <s v="O0195"/>
    <s v="2025-05-16"/>
    <x v="57"/>
    <x v="20"/>
    <x v="36"/>
    <n v="5"/>
    <n v="127"/>
    <x v="1"/>
    <x v="138"/>
    <x v="161"/>
  </r>
  <r>
    <s v="O0196"/>
    <s v="2025-05-22"/>
    <x v="0"/>
    <x v="33"/>
    <x v="4"/>
    <n v="5"/>
    <n v="215"/>
    <x v="0"/>
    <x v="139"/>
    <x v="162"/>
  </r>
  <r>
    <s v="O0197"/>
    <s v="2025-02-22"/>
    <x v="85"/>
    <x v="41"/>
    <x v="27"/>
    <n v="3"/>
    <n v="224"/>
    <x v="1"/>
    <x v="140"/>
    <x v="163"/>
  </r>
  <r>
    <s v="O0198"/>
    <s v="2025-02-05"/>
    <x v="86"/>
    <x v="11"/>
    <x v="17"/>
    <n v="5"/>
    <n v="135"/>
    <x v="0"/>
    <x v="1"/>
    <x v="44"/>
  </r>
  <r>
    <s v="O0199"/>
    <s v="2025-04-07"/>
    <x v="87"/>
    <x v="18"/>
    <x v="13"/>
    <n v="3"/>
    <n v="180"/>
    <x v="1"/>
    <x v="99"/>
    <x v="164"/>
  </r>
  <r>
    <s v="O0200"/>
    <s v="2025-10-16"/>
    <x v="75"/>
    <x v="70"/>
    <x v="41"/>
    <n v="5"/>
    <n v="211"/>
    <x v="0"/>
    <x v="42"/>
    <x v="165"/>
  </r>
  <r>
    <s v="O0201"/>
    <s v="2025-11-15"/>
    <x v="71"/>
    <x v="76"/>
    <x v="17"/>
    <n v="4"/>
    <n v="153"/>
    <x v="0"/>
    <x v="141"/>
    <x v="166"/>
  </r>
  <r>
    <s v="O0202"/>
    <s v="2025-09-08"/>
    <x v="17"/>
    <x v="84"/>
    <x v="19"/>
    <n v="1"/>
    <n v="250"/>
    <x v="1"/>
    <x v="93"/>
    <x v="116"/>
  </r>
  <r>
    <s v="O0203"/>
    <s v="2025-11-04"/>
    <x v="15"/>
    <x v="31"/>
    <x v="21"/>
    <n v="1"/>
    <n v="112"/>
    <x v="1"/>
    <x v="88"/>
    <x v="167"/>
  </r>
  <r>
    <s v="O0204"/>
    <s v="2025-04-22"/>
    <x v="55"/>
    <x v="65"/>
    <x v="27"/>
    <n v="2"/>
    <n v="138"/>
    <x v="0"/>
    <x v="107"/>
    <x v="168"/>
  </r>
  <r>
    <s v="O0205"/>
    <s v="2025-02-07"/>
    <x v="21"/>
    <x v="67"/>
    <x v="17"/>
    <n v="3"/>
    <n v="128"/>
    <x v="1"/>
    <x v="142"/>
    <x v="153"/>
  </r>
  <r>
    <s v="O0206"/>
    <s v="2025-04-05"/>
    <x v="77"/>
    <x v="79"/>
    <x v="1"/>
    <n v="3"/>
    <n v="147"/>
    <x v="0"/>
    <x v="20"/>
    <x v="169"/>
  </r>
  <r>
    <s v="O0207"/>
    <s v="2025-10-18"/>
    <x v="88"/>
    <x v="51"/>
    <x v="18"/>
    <n v="2"/>
    <n v="188"/>
    <x v="0"/>
    <x v="109"/>
    <x v="30"/>
  </r>
  <r>
    <s v="O0208"/>
    <s v="2025-05-25"/>
    <x v="8"/>
    <x v="75"/>
    <x v="11"/>
    <n v="3"/>
    <n v="223"/>
    <x v="0"/>
    <x v="143"/>
    <x v="170"/>
  </r>
  <r>
    <s v="O0209"/>
    <s v="2025-06-18"/>
    <x v="75"/>
    <x v="2"/>
    <x v="19"/>
    <n v="3"/>
    <n v="145"/>
    <x v="0"/>
    <x v="144"/>
    <x v="171"/>
  </r>
  <r>
    <s v="O0210"/>
    <s v="2025-03-11"/>
    <x v="15"/>
    <x v="77"/>
    <x v="11"/>
    <n v="1"/>
    <n v="128"/>
    <x v="1"/>
    <x v="142"/>
    <x v="142"/>
  </r>
  <r>
    <s v="O0211"/>
    <s v="2025-09-19"/>
    <x v="87"/>
    <x v="59"/>
    <x v="22"/>
    <n v="3"/>
    <n v="108"/>
    <x v="1"/>
    <x v="46"/>
    <x v="172"/>
  </r>
  <r>
    <s v="O0212"/>
    <s v="2025-03-26"/>
    <x v="37"/>
    <x v="41"/>
    <x v="28"/>
    <n v="3"/>
    <n v="143"/>
    <x v="1"/>
    <x v="145"/>
    <x v="173"/>
  </r>
  <r>
    <s v="O0213"/>
    <s v="2025-09-20"/>
    <x v="89"/>
    <x v="85"/>
    <x v="2"/>
    <n v="1"/>
    <n v="231"/>
    <x v="1"/>
    <x v="146"/>
    <x v="174"/>
  </r>
  <r>
    <s v="O0214"/>
    <s v="2025-03-25"/>
    <x v="67"/>
    <x v="56"/>
    <x v="30"/>
    <n v="2"/>
    <n v="232"/>
    <x v="0"/>
    <x v="147"/>
    <x v="79"/>
  </r>
  <r>
    <s v="O0215"/>
    <s v="2025-09-27"/>
    <x v="55"/>
    <x v="82"/>
    <x v="36"/>
    <n v="4"/>
    <n v="228"/>
    <x v="0"/>
    <x v="72"/>
    <x v="175"/>
  </r>
  <r>
    <s v="O0216"/>
    <s v="2025-11-26"/>
    <x v="33"/>
    <x v="51"/>
    <x v="17"/>
    <n v="4"/>
    <n v="202"/>
    <x v="0"/>
    <x v="77"/>
    <x v="24"/>
  </r>
  <r>
    <s v="O0217"/>
    <s v="2025-05-08"/>
    <x v="78"/>
    <x v="1"/>
    <x v="26"/>
    <n v="2"/>
    <n v="228"/>
    <x v="0"/>
    <x v="72"/>
    <x v="176"/>
  </r>
  <r>
    <s v="O0218"/>
    <s v="2025-08-08"/>
    <x v="85"/>
    <x v="38"/>
    <x v="41"/>
    <n v="3"/>
    <n v="175"/>
    <x v="1"/>
    <x v="30"/>
    <x v="177"/>
  </r>
  <r>
    <s v="O0219"/>
    <s v="2025-02-22"/>
    <x v="14"/>
    <x v="76"/>
    <x v="15"/>
    <n v="4"/>
    <n v="138"/>
    <x v="1"/>
    <x v="130"/>
    <x v="60"/>
  </r>
  <r>
    <s v="O0220"/>
    <s v="2025-09-02"/>
    <x v="47"/>
    <x v="7"/>
    <x v="20"/>
    <n v="3"/>
    <n v="210"/>
    <x v="0"/>
    <x v="122"/>
    <x v="178"/>
  </r>
  <r>
    <s v="O0221"/>
    <s v="2025-03-30"/>
    <x v="60"/>
    <x v="49"/>
    <x v="12"/>
    <n v="5"/>
    <n v="170"/>
    <x v="1"/>
    <x v="148"/>
    <x v="45"/>
  </r>
  <r>
    <s v="O0222"/>
    <s v="2025-05-03"/>
    <x v="69"/>
    <x v="18"/>
    <x v="10"/>
    <n v="5"/>
    <n v="140"/>
    <x v="0"/>
    <x v="124"/>
    <x v="179"/>
  </r>
  <r>
    <s v="O0223"/>
    <s v="2026-01-13"/>
    <x v="3"/>
    <x v="61"/>
    <x v="33"/>
    <n v="1"/>
    <n v="184"/>
    <x v="1"/>
    <x v="149"/>
    <x v="180"/>
  </r>
  <r>
    <s v="O0224"/>
    <s v="2025-10-30"/>
    <x v="4"/>
    <x v="54"/>
    <x v="46"/>
    <n v="4"/>
    <n v="164"/>
    <x v="1"/>
    <x v="150"/>
    <x v="181"/>
  </r>
  <r>
    <s v="O0225"/>
    <s v="2025-08-10"/>
    <x v="12"/>
    <x v="53"/>
    <x v="38"/>
    <n v="2"/>
    <n v="141"/>
    <x v="1"/>
    <x v="151"/>
    <x v="182"/>
  </r>
  <r>
    <s v="O0226"/>
    <s v="2025-11-15"/>
    <x v="17"/>
    <x v="61"/>
    <x v="35"/>
    <n v="3"/>
    <n v="144"/>
    <x v="1"/>
    <x v="152"/>
    <x v="105"/>
  </r>
  <r>
    <s v="O0227"/>
    <s v="2025-10-22"/>
    <x v="35"/>
    <x v="84"/>
    <x v="0"/>
    <n v="2"/>
    <n v="175"/>
    <x v="0"/>
    <x v="153"/>
    <x v="183"/>
  </r>
  <r>
    <s v="O0228"/>
    <s v="2025-10-25"/>
    <x v="17"/>
    <x v="86"/>
    <x v="37"/>
    <n v="2"/>
    <n v="186"/>
    <x v="1"/>
    <x v="125"/>
    <x v="184"/>
  </r>
  <r>
    <s v="O0229"/>
    <s v="2025-12-01"/>
    <x v="82"/>
    <x v="40"/>
    <x v="45"/>
    <n v="1"/>
    <n v="166"/>
    <x v="1"/>
    <x v="154"/>
    <x v="185"/>
  </r>
  <r>
    <s v="O0230"/>
    <s v="2025-04-21"/>
    <x v="8"/>
    <x v="72"/>
    <x v="22"/>
    <n v="5"/>
    <n v="167"/>
    <x v="0"/>
    <x v="155"/>
    <x v="43"/>
  </r>
  <r>
    <s v="O0231"/>
    <s v="2025-10-27"/>
    <x v="21"/>
    <x v="41"/>
    <x v="49"/>
    <n v="2"/>
    <n v="216"/>
    <x v="1"/>
    <x v="120"/>
    <x v="13"/>
  </r>
  <r>
    <s v="O0232"/>
    <s v="2025-01-29"/>
    <x v="19"/>
    <x v="50"/>
    <x v="7"/>
    <n v="3"/>
    <n v="160"/>
    <x v="0"/>
    <x v="156"/>
    <x v="186"/>
  </r>
  <r>
    <s v="O0233"/>
    <s v="2025-09-04"/>
    <x v="38"/>
    <x v="20"/>
    <x v="36"/>
    <n v="4"/>
    <n v="110"/>
    <x v="0"/>
    <x v="157"/>
    <x v="23"/>
  </r>
  <r>
    <s v="O0234"/>
    <s v="2025-06-24"/>
    <x v="63"/>
    <x v="2"/>
    <x v="32"/>
    <n v="3"/>
    <n v="103"/>
    <x v="0"/>
    <x v="158"/>
    <x v="187"/>
  </r>
  <r>
    <s v="O0235"/>
    <s v="2026-01-13"/>
    <x v="12"/>
    <x v="29"/>
    <x v="39"/>
    <n v="1"/>
    <n v="207"/>
    <x v="1"/>
    <x v="159"/>
    <x v="138"/>
  </r>
  <r>
    <s v="O0236"/>
    <s v="2025-10-30"/>
    <x v="46"/>
    <x v="86"/>
    <x v="23"/>
    <n v="5"/>
    <n v="145"/>
    <x v="1"/>
    <x v="70"/>
    <x v="45"/>
  </r>
  <r>
    <s v="O0237"/>
    <s v="2025-10-03"/>
    <x v="15"/>
    <x v="89"/>
    <x v="44"/>
    <n v="1"/>
    <n v="179"/>
    <x v="1"/>
    <x v="7"/>
    <x v="114"/>
  </r>
  <r>
    <s v="O0238"/>
    <s v="2025-06-29"/>
    <x v="42"/>
    <x v="61"/>
    <x v="35"/>
    <n v="4"/>
    <n v="243"/>
    <x v="1"/>
    <x v="39"/>
    <x v="188"/>
  </r>
  <r>
    <s v="O0239"/>
    <s v="2025-06-23"/>
    <x v="72"/>
    <x v="81"/>
    <x v="10"/>
    <n v="3"/>
    <n v="242"/>
    <x v="0"/>
    <x v="12"/>
    <x v="175"/>
  </r>
  <r>
    <s v="O0240"/>
    <s v="2025-08-05"/>
    <x v="18"/>
    <x v="80"/>
    <x v="27"/>
    <n v="3"/>
    <n v="238"/>
    <x v="0"/>
    <x v="160"/>
    <x v="189"/>
  </r>
  <r>
    <s v="O0241"/>
    <s v="2025-09-21"/>
    <x v="62"/>
    <x v="90"/>
    <x v="44"/>
    <n v="4"/>
    <n v="196"/>
    <x v="1"/>
    <x v="78"/>
    <x v="190"/>
  </r>
  <r>
    <s v="O0242"/>
    <s v="2025-07-25"/>
    <x v="15"/>
    <x v="11"/>
    <x v="17"/>
    <n v="3"/>
    <n v="204"/>
    <x v="1"/>
    <x v="161"/>
    <x v="191"/>
  </r>
  <r>
    <s v="O0243"/>
    <s v="2025-05-11"/>
    <x v="18"/>
    <x v="73"/>
    <x v="12"/>
    <n v="1"/>
    <n v="224"/>
    <x v="0"/>
    <x v="88"/>
    <x v="192"/>
  </r>
  <r>
    <s v="O0244"/>
    <s v="2025-10-10"/>
    <x v="28"/>
    <x v="87"/>
    <x v="42"/>
    <n v="5"/>
    <n v="232"/>
    <x v="1"/>
    <x v="49"/>
    <x v="193"/>
  </r>
  <r>
    <s v="O0245"/>
    <s v="2025-05-17"/>
    <x v="12"/>
    <x v="34"/>
    <x v="33"/>
    <n v="5"/>
    <n v="141"/>
    <x v="1"/>
    <x v="151"/>
    <x v="194"/>
  </r>
  <r>
    <s v="O0246"/>
    <s v="2025-09-11"/>
    <x v="4"/>
    <x v="55"/>
    <x v="39"/>
    <n v="2"/>
    <n v="179"/>
    <x v="1"/>
    <x v="7"/>
    <x v="195"/>
  </r>
  <r>
    <s v="O0247"/>
    <s v="2025-11-22"/>
    <x v="35"/>
    <x v="68"/>
    <x v="24"/>
    <n v="2"/>
    <n v="156"/>
    <x v="0"/>
    <x v="162"/>
    <x v="62"/>
  </r>
  <r>
    <s v="O0248"/>
    <s v="2025-05-28"/>
    <x v="82"/>
    <x v="25"/>
    <x v="25"/>
    <n v="3"/>
    <n v="219"/>
    <x v="1"/>
    <x v="38"/>
    <x v="73"/>
  </r>
  <r>
    <s v="O0249"/>
    <s v="2025-12-06"/>
    <x v="16"/>
    <x v="90"/>
    <x v="40"/>
    <n v="4"/>
    <n v="109"/>
    <x v="1"/>
    <x v="81"/>
    <x v="46"/>
  </r>
  <r>
    <s v="O0250"/>
    <s v="2025-10-06"/>
    <x v="76"/>
    <x v="60"/>
    <x v="21"/>
    <n v="3"/>
    <n v="103"/>
    <x v="1"/>
    <x v="25"/>
    <x v="140"/>
  </r>
  <r>
    <s v="O0251"/>
    <s v="2025-05-29"/>
    <x v="16"/>
    <x v="46"/>
    <x v="23"/>
    <n v="1"/>
    <n v="223"/>
    <x v="1"/>
    <x v="163"/>
    <x v="196"/>
  </r>
  <r>
    <s v="O0252"/>
    <s v="2025-04-20"/>
    <x v="40"/>
    <x v="44"/>
    <x v="11"/>
    <n v="2"/>
    <n v="101"/>
    <x v="1"/>
    <x v="77"/>
    <x v="176"/>
  </r>
  <r>
    <s v="O0253"/>
    <s v="2025-12-19"/>
    <x v="32"/>
    <x v="16"/>
    <x v="38"/>
    <n v="1"/>
    <n v="160"/>
    <x v="1"/>
    <x v="6"/>
    <x v="142"/>
  </r>
  <r>
    <s v="O0254"/>
    <s v="2025-08-07"/>
    <x v="90"/>
    <x v="34"/>
    <x v="14"/>
    <n v="4"/>
    <n v="110"/>
    <x v="0"/>
    <x v="157"/>
    <x v="76"/>
  </r>
  <r>
    <s v="O0255"/>
    <s v="2026-01-30"/>
    <x v="86"/>
    <x v="90"/>
    <x v="46"/>
    <n v="5"/>
    <n v="155"/>
    <x v="0"/>
    <x v="102"/>
    <x v="197"/>
  </r>
  <r>
    <s v="O0256"/>
    <s v="2025-11-25"/>
    <x v="21"/>
    <x v="47"/>
    <x v="28"/>
    <n v="3"/>
    <n v="236"/>
    <x v="1"/>
    <x v="76"/>
    <x v="198"/>
  </r>
  <r>
    <s v="O0257"/>
    <s v="2025-08-29"/>
    <x v="71"/>
    <x v="29"/>
    <x v="43"/>
    <n v="1"/>
    <n v="186"/>
    <x v="0"/>
    <x v="164"/>
    <x v="168"/>
  </r>
  <r>
    <s v="O0258"/>
    <s v="2025-09-18"/>
    <x v="72"/>
    <x v="1"/>
    <x v="26"/>
    <n v="4"/>
    <n v="153"/>
    <x v="0"/>
    <x v="141"/>
    <x v="75"/>
  </r>
  <r>
    <s v="O0259"/>
    <s v="2025-02-18"/>
    <x v="72"/>
    <x v="51"/>
    <x v="49"/>
    <n v="2"/>
    <n v="185"/>
    <x v="0"/>
    <x v="75"/>
    <x v="72"/>
  </r>
  <r>
    <s v="O0260"/>
    <s v="2025-11-28"/>
    <x v="77"/>
    <x v="82"/>
    <x v="33"/>
    <n v="5"/>
    <n v="110"/>
    <x v="0"/>
    <x v="157"/>
    <x v="199"/>
  </r>
  <r>
    <s v="O0261"/>
    <s v="2025-09-17"/>
    <x v="79"/>
    <x v="91"/>
    <x v="16"/>
    <n v="5"/>
    <n v="164"/>
    <x v="0"/>
    <x v="127"/>
    <x v="62"/>
  </r>
  <r>
    <s v="O0262"/>
    <s v="2025-12-11"/>
    <x v="79"/>
    <x v="37"/>
    <x v="38"/>
    <n v="5"/>
    <n v="232"/>
    <x v="0"/>
    <x v="147"/>
    <x v="200"/>
  </r>
  <r>
    <s v="O0263"/>
    <s v="2025-11-25"/>
    <x v="73"/>
    <x v="0"/>
    <x v="18"/>
    <n v="3"/>
    <n v="227"/>
    <x v="1"/>
    <x v="165"/>
    <x v="201"/>
  </r>
  <r>
    <s v="O0264"/>
    <s v="2025-03-09"/>
    <x v="4"/>
    <x v="92"/>
    <x v="10"/>
    <n v="3"/>
    <n v="248"/>
    <x v="1"/>
    <x v="57"/>
    <x v="202"/>
  </r>
  <r>
    <s v="O0265"/>
    <s v="2025-05-08"/>
    <x v="5"/>
    <x v="16"/>
    <x v="26"/>
    <n v="2"/>
    <n v="136"/>
    <x v="0"/>
    <x v="118"/>
    <x v="82"/>
  </r>
  <r>
    <s v="O0266"/>
    <s v="2025-01-13"/>
    <x v="61"/>
    <x v="70"/>
    <x v="10"/>
    <n v="5"/>
    <n v="181"/>
    <x v="1"/>
    <x v="74"/>
    <x v="203"/>
  </r>
  <r>
    <s v="O0267"/>
    <s v="2025-09-25"/>
    <x v="43"/>
    <x v="34"/>
    <x v="30"/>
    <n v="4"/>
    <n v="128"/>
    <x v="0"/>
    <x v="166"/>
    <x v="204"/>
  </r>
  <r>
    <s v="O0268"/>
    <s v="2025-03-12"/>
    <x v="91"/>
    <x v="93"/>
    <x v="4"/>
    <n v="5"/>
    <n v="145"/>
    <x v="1"/>
    <x v="70"/>
    <x v="205"/>
  </r>
  <r>
    <s v="O0269"/>
    <s v="2025-11-05"/>
    <x v="36"/>
    <x v="15"/>
    <x v="14"/>
    <n v="5"/>
    <n v="196"/>
    <x v="1"/>
    <x v="78"/>
    <x v="206"/>
  </r>
  <r>
    <s v="O0270"/>
    <s v="2025-09-02"/>
    <x v="3"/>
    <x v="46"/>
    <x v="41"/>
    <n v="4"/>
    <n v="182"/>
    <x v="1"/>
    <x v="86"/>
    <x v="207"/>
  </r>
  <r>
    <s v="O0271"/>
    <s v="2025-04-06"/>
    <x v="25"/>
    <x v="22"/>
    <x v="24"/>
    <n v="3"/>
    <n v="187"/>
    <x v="0"/>
    <x v="167"/>
    <x v="171"/>
  </r>
  <r>
    <s v="O0272"/>
    <s v="2025-09-29"/>
    <x v="82"/>
    <x v="44"/>
    <x v="33"/>
    <n v="5"/>
    <n v="185"/>
    <x v="1"/>
    <x v="168"/>
    <x v="208"/>
  </r>
  <r>
    <s v="O0273"/>
    <s v="2025-09-10"/>
    <x v="75"/>
    <x v="90"/>
    <x v="36"/>
    <n v="4"/>
    <n v="185"/>
    <x v="0"/>
    <x v="75"/>
    <x v="209"/>
  </r>
  <r>
    <s v="O0274"/>
    <s v="2025-04-06"/>
    <x v="10"/>
    <x v="69"/>
    <x v="37"/>
    <n v="5"/>
    <n v="218"/>
    <x v="0"/>
    <x v="81"/>
    <x v="113"/>
  </r>
  <r>
    <s v="O0275"/>
    <s v="2025-02-11"/>
    <x v="91"/>
    <x v="4"/>
    <x v="31"/>
    <n v="5"/>
    <n v="195"/>
    <x v="1"/>
    <x v="63"/>
    <x v="210"/>
  </r>
  <r>
    <s v="O0276"/>
    <s v="2025-07-15"/>
    <x v="62"/>
    <x v="92"/>
    <x v="47"/>
    <n v="1"/>
    <n v="244"/>
    <x v="1"/>
    <x v="169"/>
    <x v="211"/>
  </r>
  <r>
    <s v="O0277"/>
    <s v="2025-07-07"/>
    <x v="91"/>
    <x v="65"/>
    <x v="45"/>
    <n v="3"/>
    <n v="247"/>
    <x v="1"/>
    <x v="170"/>
    <x v="212"/>
  </r>
  <r>
    <s v="O0278"/>
    <s v="2025-10-16"/>
    <x v="64"/>
    <x v="23"/>
    <x v="48"/>
    <n v="2"/>
    <n v="115"/>
    <x v="0"/>
    <x v="171"/>
    <x v="213"/>
  </r>
  <r>
    <s v="O0279"/>
    <s v="2025-07-20"/>
    <x v="68"/>
    <x v="22"/>
    <x v="30"/>
    <n v="1"/>
    <n v="240"/>
    <x v="0"/>
    <x v="65"/>
    <x v="214"/>
  </r>
  <r>
    <s v="O0280"/>
    <s v="2025-02-23"/>
    <x v="92"/>
    <x v="29"/>
    <x v="31"/>
    <n v="5"/>
    <n v="215"/>
    <x v="0"/>
    <x v="139"/>
    <x v="215"/>
  </r>
  <r>
    <s v="O0281"/>
    <s v="2026-01-28"/>
    <x v="93"/>
    <x v="5"/>
    <x v="38"/>
    <n v="4"/>
    <n v="220"/>
    <x v="0"/>
    <x v="172"/>
    <x v="216"/>
  </r>
  <r>
    <s v="O0282"/>
    <s v="2025-10-21"/>
    <x v="8"/>
    <x v="42"/>
    <x v="42"/>
    <n v="5"/>
    <n v="168"/>
    <x v="0"/>
    <x v="173"/>
    <x v="134"/>
  </r>
  <r>
    <s v="O0283"/>
    <s v="2025-11-20"/>
    <x v="55"/>
    <x v="47"/>
    <x v="37"/>
    <n v="2"/>
    <n v="115"/>
    <x v="0"/>
    <x v="171"/>
    <x v="19"/>
  </r>
  <r>
    <s v="O0284"/>
    <s v="2026-01-22"/>
    <x v="46"/>
    <x v="54"/>
    <x v="6"/>
    <n v="4"/>
    <n v="127"/>
    <x v="1"/>
    <x v="138"/>
    <x v="217"/>
  </r>
  <r>
    <s v="O0285"/>
    <s v="2025-03-04"/>
    <x v="68"/>
    <x v="61"/>
    <x v="13"/>
    <n v="5"/>
    <n v="192"/>
    <x v="0"/>
    <x v="174"/>
    <x v="91"/>
  </r>
  <r>
    <s v="O0286"/>
    <s v="2025-11-03"/>
    <x v="52"/>
    <x v="17"/>
    <x v="48"/>
    <n v="2"/>
    <n v="244"/>
    <x v="0"/>
    <x v="55"/>
    <x v="9"/>
  </r>
  <r>
    <s v="O0287"/>
    <s v="2025-09-01"/>
    <x v="38"/>
    <x v="6"/>
    <x v="21"/>
    <n v="2"/>
    <n v="207"/>
    <x v="0"/>
    <x v="175"/>
    <x v="218"/>
  </r>
  <r>
    <s v="O0288"/>
    <s v="2025-12-14"/>
    <x v="11"/>
    <x v="37"/>
    <x v="32"/>
    <n v="1"/>
    <n v="176"/>
    <x v="1"/>
    <x v="176"/>
    <x v="219"/>
  </r>
  <r>
    <s v="O0289"/>
    <s v="2026-01-11"/>
    <x v="52"/>
    <x v="55"/>
    <x v="22"/>
    <n v="2"/>
    <n v="172"/>
    <x v="0"/>
    <x v="177"/>
    <x v="220"/>
  </r>
  <r>
    <s v="O0290"/>
    <s v="2026-01-16"/>
    <x v="14"/>
    <x v="32"/>
    <x v="32"/>
    <n v="3"/>
    <n v="125"/>
    <x v="1"/>
    <x v="58"/>
    <x v="221"/>
  </r>
  <r>
    <s v="O0291"/>
    <s v="2025-01-22"/>
    <x v="14"/>
    <x v="7"/>
    <x v="14"/>
    <n v="2"/>
    <n v="169"/>
    <x v="1"/>
    <x v="62"/>
    <x v="222"/>
  </r>
  <r>
    <s v="O0292"/>
    <s v="2025-06-07"/>
    <x v="0"/>
    <x v="45"/>
    <x v="29"/>
    <n v="1"/>
    <n v="157"/>
    <x v="0"/>
    <x v="71"/>
    <x v="223"/>
  </r>
  <r>
    <s v="O0293"/>
    <s v="2025-08-07"/>
    <x v="37"/>
    <x v="19"/>
    <x v="38"/>
    <n v="1"/>
    <n v="145"/>
    <x v="1"/>
    <x v="70"/>
    <x v="224"/>
  </r>
  <r>
    <s v="O0294"/>
    <s v="2025-10-14"/>
    <x v="8"/>
    <x v="56"/>
    <x v="44"/>
    <n v="1"/>
    <n v="221"/>
    <x v="0"/>
    <x v="19"/>
    <x v="225"/>
  </r>
  <r>
    <s v="O0295"/>
    <s v="2025-11-04"/>
    <x v="94"/>
    <x v="15"/>
    <x v="1"/>
    <n v="4"/>
    <n v="228"/>
    <x v="0"/>
    <x v="72"/>
    <x v="226"/>
  </r>
  <r>
    <s v="O0296"/>
    <s v="2025-11-05"/>
    <x v="93"/>
    <x v="94"/>
    <x v="14"/>
    <n v="2"/>
    <n v="206"/>
    <x v="0"/>
    <x v="25"/>
    <x v="176"/>
  </r>
  <r>
    <s v="O0297"/>
    <s v="2025-09-07"/>
    <x v="37"/>
    <x v="71"/>
    <x v="14"/>
    <n v="2"/>
    <n v="221"/>
    <x v="1"/>
    <x v="178"/>
    <x v="227"/>
  </r>
  <r>
    <s v="O0298"/>
    <s v="2025-02-26"/>
    <x v="51"/>
    <x v="83"/>
    <x v="12"/>
    <n v="2"/>
    <n v="149"/>
    <x v="0"/>
    <x v="179"/>
    <x v="228"/>
  </r>
  <r>
    <s v="O0299"/>
    <s v="2025-12-04"/>
    <x v="41"/>
    <x v="23"/>
    <x v="3"/>
    <n v="3"/>
    <n v="110"/>
    <x v="0"/>
    <x v="157"/>
    <x v="229"/>
  </r>
  <r>
    <s v="O0300"/>
    <s v="2025-11-30"/>
    <x v="23"/>
    <x v="23"/>
    <x v="3"/>
    <n v="2"/>
    <n v="224"/>
    <x v="0"/>
    <x v="88"/>
    <x v="96"/>
  </r>
  <r>
    <s v="O0301"/>
    <s v="2025-04-10"/>
    <x v="86"/>
    <x v="41"/>
    <x v="17"/>
    <n v="5"/>
    <n v="189"/>
    <x v="0"/>
    <x v="180"/>
    <x v="130"/>
  </r>
  <r>
    <s v="O0302"/>
    <s v="2025-06-13"/>
    <x v="72"/>
    <x v="67"/>
    <x v="20"/>
    <n v="2"/>
    <n v="237"/>
    <x v="0"/>
    <x v="181"/>
    <x v="138"/>
  </r>
  <r>
    <s v="O0303"/>
    <s v="2025-11-04"/>
    <x v="95"/>
    <x v="22"/>
    <x v="23"/>
    <n v="4"/>
    <n v="180"/>
    <x v="1"/>
    <x v="99"/>
    <x v="38"/>
  </r>
  <r>
    <s v="O0304"/>
    <s v="2025-06-12"/>
    <x v="54"/>
    <x v="61"/>
    <x v="2"/>
    <n v="3"/>
    <n v="162"/>
    <x v="1"/>
    <x v="105"/>
    <x v="157"/>
  </r>
  <r>
    <s v="O0305"/>
    <s v="2026-01-25"/>
    <x v="37"/>
    <x v="41"/>
    <x v="0"/>
    <n v="4"/>
    <n v="138"/>
    <x v="1"/>
    <x v="130"/>
    <x v="230"/>
  </r>
  <r>
    <s v="O0306"/>
    <s v="2025-05-24"/>
    <x v="47"/>
    <x v="67"/>
    <x v="3"/>
    <n v="3"/>
    <n v="174"/>
    <x v="0"/>
    <x v="37"/>
    <x v="231"/>
  </r>
  <r>
    <s v="O0307"/>
    <s v="2025-05-01"/>
    <x v="58"/>
    <x v="1"/>
    <x v="12"/>
    <n v="3"/>
    <n v="119"/>
    <x v="1"/>
    <x v="160"/>
    <x v="140"/>
  </r>
  <r>
    <s v="O0308"/>
    <s v="2025-06-27"/>
    <x v="16"/>
    <x v="82"/>
    <x v="34"/>
    <n v="5"/>
    <n v="111"/>
    <x v="1"/>
    <x v="85"/>
    <x v="107"/>
  </r>
  <r>
    <s v="O0309"/>
    <s v="2025-05-15"/>
    <x v="86"/>
    <x v="79"/>
    <x v="31"/>
    <n v="2"/>
    <n v="147"/>
    <x v="0"/>
    <x v="20"/>
    <x v="232"/>
  </r>
  <r>
    <s v="O0310"/>
    <s v="2025-05-21"/>
    <x v="73"/>
    <x v="72"/>
    <x v="33"/>
    <n v="4"/>
    <n v="156"/>
    <x v="1"/>
    <x v="29"/>
    <x v="207"/>
  </r>
  <r>
    <s v="O0311"/>
    <s v="2025-05-06"/>
    <x v="95"/>
    <x v="0"/>
    <x v="1"/>
    <n v="1"/>
    <n v="225"/>
    <x v="1"/>
    <x v="18"/>
    <x v="121"/>
  </r>
  <r>
    <s v="O0312"/>
    <s v="2025-02-23"/>
    <x v="33"/>
    <x v="63"/>
    <x v="28"/>
    <n v="2"/>
    <n v="213"/>
    <x v="0"/>
    <x v="21"/>
    <x v="18"/>
  </r>
  <r>
    <s v="O0313"/>
    <s v="2025-12-31"/>
    <x v="42"/>
    <x v="61"/>
    <x v="22"/>
    <n v="1"/>
    <n v="247"/>
    <x v="1"/>
    <x v="170"/>
    <x v="105"/>
  </r>
  <r>
    <s v="O0314"/>
    <s v="2025-06-02"/>
    <x v="91"/>
    <x v="1"/>
    <x v="37"/>
    <n v="2"/>
    <n v="245"/>
    <x v="1"/>
    <x v="121"/>
    <x v="5"/>
  </r>
  <r>
    <s v="O0315"/>
    <s v="2025-12-18"/>
    <x v="93"/>
    <x v="75"/>
    <x v="37"/>
    <n v="2"/>
    <n v="130"/>
    <x v="0"/>
    <x v="60"/>
    <x v="233"/>
  </r>
  <r>
    <s v="O0316"/>
    <s v="2025-07-18"/>
    <x v="78"/>
    <x v="70"/>
    <x v="38"/>
    <n v="1"/>
    <n v="200"/>
    <x v="0"/>
    <x v="106"/>
    <x v="31"/>
  </r>
  <r>
    <s v="O0317"/>
    <s v="2025-12-05"/>
    <x v="30"/>
    <x v="41"/>
    <x v="38"/>
    <n v="3"/>
    <n v="244"/>
    <x v="0"/>
    <x v="55"/>
    <x v="36"/>
  </r>
  <r>
    <s v="O0318"/>
    <s v="2025-06-08"/>
    <x v="93"/>
    <x v="81"/>
    <x v="3"/>
    <n v="5"/>
    <n v="246"/>
    <x v="0"/>
    <x v="52"/>
    <x v="234"/>
  </r>
  <r>
    <s v="O0319"/>
    <s v="2025-02-03"/>
    <x v="87"/>
    <x v="10"/>
    <x v="14"/>
    <n v="4"/>
    <n v="119"/>
    <x v="1"/>
    <x v="160"/>
    <x v="235"/>
  </r>
  <r>
    <s v="O0320"/>
    <s v="2025-05-20"/>
    <x v="28"/>
    <x v="20"/>
    <x v="13"/>
    <n v="4"/>
    <n v="121"/>
    <x v="1"/>
    <x v="12"/>
    <x v="236"/>
  </r>
  <r>
    <s v="O0321"/>
    <s v="2025-10-15"/>
    <x v="2"/>
    <x v="31"/>
    <x v="13"/>
    <n v="3"/>
    <n v="155"/>
    <x v="1"/>
    <x v="182"/>
    <x v="69"/>
  </r>
  <r>
    <s v="O0322"/>
    <s v="2026-02-02"/>
    <x v="67"/>
    <x v="70"/>
    <x v="24"/>
    <n v="2"/>
    <n v="250"/>
    <x v="0"/>
    <x v="58"/>
    <x v="237"/>
  </r>
  <r>
    <s v="O0323"/>
    <s v="2025-03-02"/>
    <x v="91"/>
    <x v="71"/>
    <x v="48"/>
    <n v="5"/>
    <n v="224"/>
    <x v="1"/>
    <x v="140"/>
    <x v="238"/>
  </r>
  <r>
    <s v="O0324"/>
    <s v="2025-04-24"/>
    <x v="89"/>
    <x v="88"/>
    <x v="37"/>
    <n v="2"/>
    <n v="203"/>
    <x v="1"/>
    <x v="36"/>
    <x v="235"/>
  </r>
  <r>
    <s v="O0325"/>
    <s v="2025-06-10"/>
    <x v="72"/>
    <x v="74"/>
    <x v="17"/>
    <n v="3"/>
    <n v="159"/>
    <x v="0"/>
    <x v="183"/>
    <x v="239"/>
  </r>
  <r>
    <s v="O0326"/>
    <s v="2025-05-25"/>
    <x v="8"/>
    <x v="25"/>
    <x v="0"/>
    <n v="5"/>
    <n v="139"/>
    <x v="0"/>
    <x v="8"/>
    <x v="240"/>
  </r>
  <r>
    <s v="O0327"/>
    <s v="2025-08-02"/>
    <x v="32"/>
    <x v="57"/>
    <x v="39"/>
    <n v="4"/>
    <n v="177"/>
    <x v="1"/>
    <x v="184"/>
    <x v="241"/>
  </r>
  <r>
    <s v="O0328"/>
    <s v="2025-05-31"/>
    <x v="53"/>
    <x v="72"/>
    <x v="17"/>
    <n v="4"/>
    <n v="224"/>
    <x v="1"/>
    <x v="140"/>
    <x v="242"/>
  </r>
  <r>
    <s v="O0329"/>
    <s v="2025-10-08"/>
    <x v="28"/>
    <x v="70"/>
    <x v="24"/>
    <n v="5"/>
    <n v="138"/>
    <x v="1"/>
    <x v="130"/>
    <x v="243"/>
  </r>
  <r>
    <s v="O0330"/>
    <s v="2025-07-11"/>
    <x v="30"/>
    <x v="45"/>
    <x v="11"/>
    <n v="2"/>
    <n v="229"/>
    <x v="0"/>
    <x v="185"/>
    <x v="244"/>
  </r>
  <r>
    <s v="O0331"/>
    <s v="2025-06-27"/>
    <x v="72"/>
    <x v="18"/>
    <x v="45"/>
    <n v="4"/>
    <n v="102"/>
    <x v="0"/>
    <x v="186"/>
    <x v="245"/>
  </r>
  <r>
    <s v="O0332"/>
    <s v="2025-01-11"/>
    <x v="78"/>
    <x v="27"/>
    <x v="29"/>
    <n v="5"/>
    <n v="222"/>
    <x v="0"/>
    <x v="85"/>
    <x v="246"/>
  </r>
  <r>
    <s v="O0333"/>
    <s v="2025-06-01"/>
    <x v="54"/>
    <x v="43"/>
    <x v="20"/>
    <n v="3"/>
    <n v="229"/>
    <x v="1"/>
    <x v="187"/>
    <x v="247"/>
  </r>
  <r>
    <s v="O0334"/>
    <s v="2025-04-23"/>
    <x v="84"/>
    <x v="65"/>
    <x v="36"/>
    <n v="2"/>
    <n v="246"/>
    <x v="1"/>
    <x v="188"/>
    <x v="115"/>
  </r>
  <r>
    <s v="O0335"/>
    <s v="2025-06-14"/>
    <x v="61"/>
    <x v="40"/>
    <x v="41"/>
    <n v="5"/>
    <n v="145"/>
    <x v="1"/>
    <x v="70"/>
    <x v="248"/>
  </r>
  <r>
    <s v="O0336"/>
    <s v="2026-01-07"/>
    <x v="65"/>
    <x v="89"/>
    <x v="48"/>
    <n v="5"/>
    <n v="222"/>
    <x v="1"/>
    <x v="28"/>
    <x v="101"/>
  </r>
  <r>
    <s v="O0337"/>
    <s v="2026-01-17"/>
    <x v="96"/>
    <x v="92"/>
    <x v="35"/>
    <n v="4"/>
    <n v="149"/>
    <x v="0"/>
    <x v="179"/>
    <x v="249"/>
  </r>
  <r>
    <s v="O0338"/>
    <s v="2025-10-14"/>
    <x v="45"/>
    <x v="91"/>
    <x v="16"/>
    <n v="5"/>
    <n v="175"/>
    <x v="1"/>
    <x v="30"/>
    <x v="250"/>
  </r>
  <r>
    <s v="O0339"/>
    <s v="2025-02-12"/>
    <x v="43"/>
    <x v="18"/>
    <x v="17"/>
    <n v="2"/>
    <n v="116"/>
    <x v="0"/>
    <x v="50"/>
    <x v="251"/>
  </r>
  <r>
    <s v="O0340"/>
    <s v="2025-05-16"/>
    <x v="75"/>
    <x v="92"/>
    <x v="32"/>
    <n v="1"/>
    <n v="138"/>
    <x v="0"/>
    <x v="107"/>
    <x v="252"/>
  </r>
  <r>
    <s v="O0341"/>
    <s v="2025-07-27"/>
    <x v="27"/>
    <x v="82"/>
    <x v="28"/>
    <n v="3"/>
    <n v="186"/>
    <x v="1"/>
    <x v="125"/>
    <x v="253"/>
  </r>
  <r>
    <s v="O0342"/>
    <s v="2025-08-16"/>
    <x v="28"/>
    <x v="67"/>
    <x v="41"/>
    <n v="1"/>
    <n v="143"/>
    <x v="1"/>
    <x v="145"/>
    <x v="77"/>
  </r>
  <r>
    <s v="O0343"/>
    <s v="2025-07-02"/>
    <x v="89"/>
    <x v="66"/>
    <x v="0"/>
    <n v="3"/>
    <n v="130"/>
    <x v="1"/>
    <x v="134"/>
    <x v="105"/>
  </r>
  <r>
    <s v="O0344"/>
    <s v="2025-09-19"/>
    <x v="33"/>
    <x v="4"/>
    <x v="24"/>
    <n v="5"/>
    <n v="207"/>
    <x v="0"/>
    <x v="175"/>
    <x v="254"/>
  </r>
  <r>
    <s v="O0345"/>
    <s v="2025-08-12"/>
    <x v="39"/>
    <x v="30"/>
    <x v="2"/>
    <n v="3"/>
    <n v="120"/>
    <x v="1"/>
    <x v="65"/>
    <x v="172"/>
  </r>
  <r>
    <s v="O0346"/>
    <s v="2025-02-07"/>
    <x v="36"/>
    <x v="75"/>
    <x v="49"/>
    <n v="4"/>
    <n v="237"/>
    <x v="1"/>
    <x v="189"/>
    <x v="81"/>
  </r>
  <r>
    <s v="O0347"/>
    <s v="2025-11-01"/>
    <x v="37"/>
    <x v="94"/>
    <x v="35"/>
    <n v="2"/>
    <n v="189"/>
    <x v="1"/>
    <x v="137"/>
    <x v="255"/>
  </r>
  <r>
    <s v="O0348"/>
    <s v="2025-11-06"/>
    <x v="3"/>
    <x v="46"/>
    <x v="22"/>
    <n v="3"/>
    <n v="204"/>
    <x v="1"/>
    <x v="161"/>
    <x v="256"/>
  </r>
  <r>
    <s v="O0349"/>
    <s v="2025-02-18"/>
    <x v="58"/>
    <x v="9"/>
    <x v="9"/>
    <n v="1"/>
    <n v="157"/>
    <x v="1"/>
    <x v="190"/>
    <x v="25"/>
  </r>
  <r>
    <s v="O0350"/>
    <s v="2025-10-28"/>
    <x v="86"/>
    <x v="42"/>
    <x v="44"/>
    <n v="5"/>
    <n v="107"/>
    <x v="0"/>
    <x v="83"/>
    <x v="44"/>
  </r>
  <r>
    <s v="O0351"/>
    <s v="2025-10-06"/>
    <x v="42"/>
    <x v="77"/>
    <x v="27"/>
    <n v="3"/>
    <n v="108"/>
    <x v="1"/>
    <x v="46"/>
    <x v="58"/>
  </r>
  <r>
    <s v="O0352"/>
    <s v="2026-01-21"/>
    <x v="90"/>
    <x v="3"/>
    <x v="6"/>
    <n v="1"/>
    <n v="185"/>
    <x v="0"/>
    <x v="75"/>
    <x v="257"/>
  </r>
  <r>
    <s v="O0353"/>
    <s v="2025-11-08"/>
    <x v="53"/>
    <x v="95"/>
    <x v="4"/>
    <n v="1"/>
    <n v="106"/>
    <x v="1"/>
    <x v="123"/>
    <x v="123"/>
  </r>
  <r>
    <s v="O0354"/>
    <s v="2025-10-18"/>
    <x v="46"/>
    <x v="10"/>
    <x v="48"/>
    <n v="1"/>
    <n v="178"/>
    <x v="1"/>
    <x v="108"/>
    <x v="258"/>
  </r>
  <r>
    <s v="O0355"/>
    <s v="2025-04-08"/>
    <x v="34"/>
    <x v="76"/>
    <x v="37"/>
    <n v="3"/>
    <n v="145"/>
    <x v="0"/>
    <x v="144"/>
    <x v="259"/>
  </r>
  <r>
    <s v="O0356"/>
    <s v="2026-01-09"/>
    <x v="38"/>
    <x v="67"/>
    <x v="19"/>
    <n v="3"/>
    <n v="238"/>
    <x v="0"/>
    <x v="160"/>
    <x v="153"/>
  </r>
  <r>
    <s v="O0357"/>
    <s v="2025-03-16"/>
    <x v="72"/>
    <x v="16"/>
    <x v="43"/>
    <n v="1"/>
    <n v="169"/>
    <x v="0"/>
    <x v="113"/>
    <x v="260"/>
  </r>
  <r>
    <s v="O0358"/>
    <s v="2025-09-02"/>
    <x v="64"/>
    <x v="43"/>
    <x v="10"/>
    <n v="1"/>
    <n v="180"/>
    <x v="0"/>
    <x v="73"/>
    <x v="261"/>
  </r>
  <r>
    <s v="O0359"/>
    <s v="2025-04-29"/>
    <x v="7"/>
    <x v="16"/>
    <x v="44"/>
    <n v="4"/>
    <n v="164"/>
    <x v="1"/>
    <x v="150"/>
    <x v="241"/>
  </r>
  <r>
    <s v="O0360"/>
    <s v="2025-11-26"/>
    <x v="8"/>
    <x v="74"/>
    <x v="14"/>
    <n v="1"/>
    <n v="177"/>
    <x v="0"/>
    <x v="87"/>
    <x v="262"/>
  </r>
  <r>
    <s v="O0361"/>
    <s v="2025-10-21"/>
    <x v="15"/>
    <x v="96"/>
    <x v="34"/>
    <n v="4"/>
    <n v="153"/>
    <x v="1"/>
    <x v="191"/>
    <x v="263"/>
  </r>
  <r>
    <s v="O0362"/>
    <s v="2025-09-10"/>
    <x v="12"/>
    <x v="74"/>
    <x v="33"/>
    <n v="1"/>
    <n v="183"/>
    <x v="1"/>
    <x v="192"/>
    <x v="36"/>
  </r>
  <r>
    <s v="O0363"/>
    <s v="2025-01-23"/>
    <x v="63"/>
    <x v="0"/>
    <x v="24"/>
    <n v="1"/>
    <n v="153"/>
    <x v="0"/>
    <x v="141"/>
    <x v="264"/>
  </r>
  <r>
    <s v="O0364"/>
    <s v="2025-06-08"/>
    <x v="12"/>
    <x v="55"/>
    <x v="15"/>
    <n v="2"/>
    <n v="159"/>
    <x v="1"/>
    <x v="193"/>
    <x v="265"/>
  </r>
  <r>
    <s v="O0365"/>
    <s v="2025-11-15"/>
    <x v="84"/>
    <x v="11"/>
    <x v="23"/>
    <n v="1"/>
    <n v="222"/>
    <x v="1"/>
    <x v="28"/>
    <x v="189"/>
  </r>
  <r>
    <s v="O0366"/>
    <s v="2025-02-08"/>
    <x v="91"/>
    <x v="74"/>
    <x v="37"/>
    <n v="4"/>
    <n v="119"/>
    <x v="1"/>
    <x v="160"/>
    <x v="266"/>
  </r>
  <r>
    <s v="O0367"/>
    <s v="2026-01-31"/>
    <x v="73"/>
    <x v="49"/>
    <x v="36"/>
    <n v="5"/>
    <n v="216"/>
    <x v="1"/>
    <x v="120"/>
    <x v="267"/>
  </r>
  <r>
    <s v="O0368"/>
    <s v="2025-10-17"/>
    <x v="69"/>
    <x v="93"/>
    <x v="25"/>
    <n v="2"/>
    <n v="103"/>
    <x v="0"/>
    <x v="158"/>
    <x v="268"/>
  </r>
  <r>
    <s v="O0369"/>
    <s v="2025-05-10"/>
    <x v="50"/>
    <x v="28"/>
    <x v="24"/>
    <n v="4"/>
    <n v="248"/>
    <x v="0"/>
    <x v="9"/>
    <x v="269"/>
  </r>
  <r>
    <s v="O0370"/>
    <s v="2025-06-13"/>
    <x v="92"/>
    <x v="3"/>
    <x v="5"/>
    <n v="2"/>
    <n v="248"/>
    <x v="0"/>
    <x v="9"/>
    <x v="270"/>
  </r>
  <r>
    <s v="O0371"/>
    <s v="2025-11-16"/>
    <x v="69"/>
    <x v="12"/>
    <x v="28"/>
    <n v="3"/>
    <n v="215"/>
    <x v="0"/>
    <x v="139"/>
    <x v="43"/>
  </r>
  <r>
    <s v="O0372"/>
    <s v="2025-01-17"/>
    <x v="57"/>
    <x v="44"/>
    <x v="34"/>
    <n v="4"/>
    <n v="185"/>
    <x v="1"/>
    <x v="168"/>
    <x v="271"/>
  </r>
  <r>
    <s v="O0373"/>
    <s v="2025-05-16"/>
    <x v="63"/>
    <x v="41"/>
    <x v="8"/>
    <n v="3"/>
    <n v="122"/>
    <x v="0"/>
    <x v="131"/>
    <x v="41"/>
  </r>
  <r>
    <s v="O0374"/>
    <s v="2025-04-08"/>
    <x v="17"/>
    <x v="69"/>
    <x v="9"/>
    <n v="5"/>
    <n v="239"/>
    <x v="1"/>
    <x v="194"/>
    <x v="272"/>
  </r>
  <r>
    <s v="O0375"/>
    <s v="2025-12-10"/>
    <x v="18"/>
    <x v="8"/>
    <x v="47"/>
    <n v="4"/>
    <n v="149"/>
    <x v="0"/>
    <x v="179"/>
    <x v="273"/>
  </r>
  <r>
    <s v="O0376"/>
    <s v="2025-03-13"/>
    <x v="97"/>
    <x v="41"/>
    <x v="8"/>
    <n v="2"/>
    <n v="194"/>
    <x v="1"/>
    <x v="195"/>
    <x v="274"/>
  </r>
  <r>
    <s v="O0377"/>
    <s v="2025-09-23"/>
    <x v="97"/>
    <x v="11"/>
    <x v="41"/>
    <n v="5"/>
    <n v="133"/>
    <x v="1"/>
    <x v="196"/>
    <x v="275"/>
  </r>
  <r>
    <s v="O0378"/>
    <s v="2025-03-21"/>
    <x v="17"/>
    <x v="59"/>
    <x v="8"/>
    <n v="3"/>
    <n v="164"/>
    <x v="1"/>
    <x v="150"/>
    <x v="276"/>
  </r>
  <r>
    <s v="O0379"/>
    <s v="2025-02-12"/>
    <x v="54"/>
    <x v="16"/>
    <x v="11"/>
    <n v="4"/>
    <n v="139"/>
    <x v="1"/>
    <x v="35"/>
    <x v="115"/>
  </r>
  <r>
    <s v="O0380"/>
    <s v="2025-10-22"/>
    <x v="36"/>
    <x v="46"/>
    <x v="45"/>
    <n v="4"/>
    <n v="226"/>
    <x v="1"/>
    <x v="17"/>
    <x v="277"/>
  </r>
  <r>
    <s v="O0381"/>
    <s v="2025-01-28"/>
    <x v="31"/>
    <x v="56"/>
    <x v="1"/>
    <n v="1"/>
    <n v="120"/>
    <x v="1"/>
    <x v="65"/>
    <x v="278"/>
  </r>
  <r>
    <s v="O0382"/>
    <s v="2025-11-05"/>
    <x v="98"/>
    <x v="55"/>
    <x v="41"/>
    <n v="2"/>
    <n v="116"/>
    <x v="0"/>
    <x v="50"/>
    <x v="279"/>
  </r>
  <r>
    <s v="O0383"/>
    <s v="2025-09-06"/>
    <x v="33"/>
    <x v="90"/>
    <x v="8"/>
    <n v="3"/>
    <n v="121"/>
    <x v="0"/>
    <x v="111"/>
    <x v="280"/>
  </r>
  <r>
    <s v="O0384"/>
    <s v="2025-09-23"/>
    <x v="23"/>
    <x v="0"/>
    <x v="38"/>
    <n v="3"/>
    <n v="221"/>
    <x v="0"/>
    <x v="19"/>
    <x v="281"/>
  </r>
  <r>
    <s v="O0385"/>
    <s v="2026-01-07"/>
    <x v="68"/>
    <x v="10"/>
    <x v="37"/>
    <n v="3"/>
    <n v="230"/>
    <x v="0"/>
    <x v="22"/>
    <x v="105"/>
  </r>
  <r>
    <s v="O0386"/>
    <s v="2025-03-01"/>
    <x v="19"/>
    <x v="87"/>
    <x v="22"/>
    <n v="1"/>
    <n v="249"/>
    <x v="0"/>
    <x v="197"/>
    <x v="146"/>
  </r>
  <r>
    <s v="O0387"/>
    <s v="2025-09-13"/>
    <x v="90"/>
    <x v="43"/>
    <x v="42"/>
    <n v="1"/>
    <n v="195"/>
    <x v="0"/>
    <x v="198"/>
    <x v="259"/>
  </r>
  <r>
    <s v="O0388"/>
    <s v="2025-09-29"/>
    <x v="41"/>
    <x v="76"/>
    <x v="21"/>
    <n v="4"/>
    <n v="156"/>
    <x v="0"/>
    <x v="162"/>
    <x v="11"/>
  </r>
  <r>
    <s v="O0389"/>
    <s v="2025-08-12"/>
    <x v="22"/>
    <x v="97"/>
    <x v="36"/>
    <n v="3"/>
    <n v="208"/>
    <x v="1"/>
    <x v="129"/>
    <x v="282"/>
  </r>
  <r>
    <s v="O0390"/>
    <s v="2025-03-12"/>
    <x v="87"/>
    <x v="19"/>
    <x v="8"/>
    <n v="4"/>
    <n v="139"/>
    <x v="1"/>
    <x v="35"/>
    <x v="283"/>
  </r>
  <r>
    <s v="O0391"/>
    <s v="2025-12-08"/>
    <x v="80"/>
    <x v="12"/>
    <x v="35"/>
    <n v="2"/>
    <n v="169"/>
    <x v="1"/>
    <x v="62"/>
    <x v="234"/>
  </r>
  <r>
    <s v="O0392"/>
    <s v="2025-10-17"/>
    <x v="50"/>
    <x v="72"/>
    <x v="24"/>
    <n v="4"/>
    <n v="190"/>
    <x v="0"/>
    <x v="199"/>
    <x v="284"/>
  </r>
  <r>
    <s v="O0393"/>
    <s v="2025-11-13"/>
    <x v="87"/>
    <x v="27"/>
    <x v="36"/>
    <n v="3"/>
    <n v="201"/>
    <x v="1"/>
    <x v="54"/>
    <x v="285"/>
  </r>
  <r>
    <s v="O0394"/>
    <s v="2025-03-27"/>
    <x v="72"/>
    <x v="27"/>
    <x v="42"/>
    <n v="5"/>
    <n v="114"/>
    <x v="0"/>
    <x v="98"/>
    <x v="78"/>
  </r>
  <r>
    <s v="O0395"/>
    <s v="2025-05-28"/>
    <x v="23"/>
    <x v="50"/>
    <x v="35"/>
    <n v="1"/>
    <n v="111"/>
    <x v="0"/>
    <x v="200"/>
    <x v="286"/>
  </r>
  <r>
    <s v="O0396"/>
    <s v="2025-06-21"/>
    <x v="25"/>
    <x v="66"/>
    <x v="37"/>
    <n v="3"/>
    <n v="123"/>
    <x v="0"/>
    <x v="201"/>
    <x v="287"/>
  </r>
  <r>
    <s v="O0397"/>
    <s v="2025-06-01"/>
    <x v="15"/>
    <x v="36"/>
    <x v="21"/>
    <n v="3"/>
    <n v="113"/>
    <x v="1"/>
    <x v="202"/>
    <x v="182"/>
  </r>
  <r>
    <s v="O0398"/>
    <s v="2026-01-27"/>
    <x v="56"/>
    <x v="80"/>
    <x v="30"/>
    <n v="4"/>
    <n v="218"/>
    <x v="1"/>
    <x v="203"/>
    <x v="277"/>
  </r>
  <r>
    <s v="O0399"/>
    <s v="2025-08-06"/>
    <x v="27"/>
    <x v="1"/>
    <x v="44"/>
    <n v="1"/>
    <n v="197"/>
    <x v="1"/>
    <x v="126"/>
    <x v="216"/>
  </r>
  <r>
    <s v="O0400"/>
    <s v="2025-06-24"/>
    <x v="99"/>
    <x v="86"/>
    <x v="28"/>
    <n v="2"/>
    <n v="163"/>
    <x v="0"/>
    <x v="204"/>
    <x v="288"/>
  </r>
  <r>
    <s v="O0401"/>
    <s v="2025-07-13"/>
    <x v="17"/>
    <x v="98"/>
    <x v="33"/>
    <n v="5"/>
    <n v="203"/>
    <x v="1"/>
    <x v="36"/>
    <x v="289"/>
  </r>
  <r>
    <s v="O0402"/>
    <s v="2025-09-16"/>
    <x v="24"/>
    <x v="85"/>
    <x v="25"/>
    <n v="3"/>
    <n v="131"/>
    <x v="0"/>
    <x v="91"/>
    <x v="290"/>
  </r>
  <r>
    <s v="O0403"/>
    <s v="2025-01-08"/>
    <x v="32"/>
    <x v="51"/>
    <x v="3"/>
    <n v="2"/>
    <n v="150"/>
    <x v="1"/>
    <x v="110"/>
    <x v="114"/>
  </r>
  <r>
    <s v="O0404"/>
    <s v="2025-02-16"/>
    <x v="62"/>
    <x v="6"/>
    <x v="13"/>
    <n v="5"/>
    <n v="121"/>
    <x v="1"/>
    <x v="12"/>
    <x v="69"/>
  </r>
  <r>
    <s v="O0405"/>
    <s v="2026-01-26"/>
    <x v="6"/>
    <x v="91"/>
    <x v="21"/>
    <n v="4"/>
    <n v="160"/>
    <x v="1"/>
    <x v="6"/>
    <x v="291"/>
  </r>
  <r>
    <s v="O0406"/>
    <s v="2025-07-07"/>
    <x v="68"/>
    <x v="30"/>
    <x v="38"/>
    <n v="2"/>
    <n v="142"/>
    <x v="0"/>
    <x v="205"/>
    <x v="292"/>
  </r>
  <r>
    <s v="O0407"/>
    <s v="2026-01-02"/>
    <x v="65"/>
    <x v="60"/>
    <x v="40"/>
    <n v="4"/>
    <n v="181"/>
    <x v="1"/>
    <x v="74"/>
    <x v="293"/>
  </r>
  <r>
    <s v="O0408"/>
    <s v="2025-01-16"/>
    <x v="3"/>
    <x v="69"/>
    <x v="2"/>
    <n v="1"/>
    <n v="141"/>
    <x v="1"/>
    <x v="151"/>
    <x v="294"/>
  </r>
  <r>
    <s v="O0409"/>
    <s v="2025-05-15"/>
    <x v="31"/>
    <x v="21"/>
    <x v="17"/>
    <n v="4"/>
    <n v="246"/>
    <x v="1"/>
    <x v="188"/>
    <x v="203"/>
  </r>
  <r>
    <s v="O0410"/>
    <s v="2025-05-22"/>
    <x v="43"/>
    <x v="1"/>
    <x v="37"/>
    <n v="3"/>
    <n v="202"/>
    <x v="0"/>
    <x v="77"/>
    <x v="79"/>
  </r>
  <r>
    <s v="O0411"/>
    <s v="2025-06-05"/>
    <x v="42"/>
    <x v="61"/>
    <x v="33"/>
    <n v="3"/>
    <n v="100"/>
    <x v="1"/>
    <x v="106"/>
    <x v="83"/>
  </r>
  <r>
    <s v="O0412"/>
    <s v="2025-12-26"/>
    <x v="50"/>
    <x v="27"/>
    <x v="2"/>
    <n v="3"/>
    <n v="141"/>
    <x v="0"/>
    <x v="206"/>
    <x v="295"/>
  </r>
  <r>
    <s v="O0413"/>
    <s v="2025-02-08"/>
    <x v="89"/>
    <x v="97"/>
    <x v="46"/>
    <n v="4"/>
    <n v="105"/>
    <x v="1"/>
    <x v="122"/>
    <x v="217"/>
  </r>
  <r>
    <s v="O0414"/>
    <s v="2025-09-05"/>
    <x v="94"/>
    <x v="83"/>
    <x v="9"/>
    <n v="5"/>
    <n v="235"/>
    <x v="0"/>
    <x v="92"/>
    <x v="70"/>
  </r>
  <r>
    <s v="O0415"/>
    <s v="2025-02-07"/>
    <x v="52"/>
    <x v="91"/>
    <x v="24"/>
    <n v="5"/>
    <n v="113"/>
    <x v="0"/>
    <x v="59"/>
    <x v="296"/>
  </r>
  <r>
    <s v="O0416"/>
    <s v="2025-08-22"/>
    <x v="83"/>
    <x v="85"/>
    <x v="12"/>
    <n v="5"/>
    <n v="176"/>
    <x v="1"/>
    <x v="176"/>
    <x v="250"/>
  </r>
  <r>
    <s v="O0417"/>
    <s v="2025-06-12"/>
    <x v="26"/>
    <x v="61"/>
    <x v="31"/>
    <n v="3"/>
    <n v="225"/>
    <x v="1"/>
    <x v="18"/>
    <x v="297"/>
  </r>
  <r>
    <s v="O0418"/>
    <s v="2025-02-20"/>
    <x v="26"/>
    <x v="56"/>
    <x v="4"/>
    <n v="1"/>
    <n v="183"/>
    <x v="1"/>
    <x v="192"/>
    <x v="298"/>
  </r>
  <r>
    <s v="O0419"/>
    <s v="2025-11-29"/>
    <x v="81"/>
    <x v="4"/>
    <x v="35"/>
    <n v="1"/>
    <n v="217"/>
    <x v="1"/>
    <x v="207"/>
    <x v="299"/>
  </r>
  <r>
    <s v="O0420"/>
    <s v="2025-06-11"/>
    <x v="52"/>
    <x v="52"/>
    <x v="18"/>
    <n v="4"/>
    <n v="233"/>
    <x v="0"/>
    <x v="89"/>
    <x v="300"/>
  </r>
  <r>
    <s v="O0421"/>
    <s v="2025-11-20"/>
    <x v="21"/>
    <x v="54"/>
    <x v="11"/>
    <n v="1"/>
    <n v="134"/>
    <x v="1"/>
    <x v="208"/>
    <x v="301"/>
  </r>
  <r>
    <s v="O0422"/>
    <s v="2025-11-24"/>
    <x v="25"/>
    <x v="11"/>
    <x v="41"/>
    <n v="1"/>
    <n v="220"/>
    <x v="0"/>
    <x v="172"/>
    <x v="302"/>
  </r>
  <r>
    <s v="O0423"/>
    <s v="2025-09-22"/>
    <x v="51"/>
    <x v="55"/>
    <x v="24"/>
    <n v="1"/>
    <n v="102"/>
    <x v="0"/>
    <x v="186"/>
    <x v="303"/>
  </r>
  <r>
    <s v="O0424"/>
    <s v="2025-08-01"/>
    <x v="82"/>
    <x v="9"/>
    <x v="10"/>
    <n v="1"/>
    <n v="236"/>
    <x v="1"/>
    <x v="76"/>
    <x v="134"/>
  </r>
  <r>
    <s v="O0425"/>
    <s v="2025-12-23"/>
    <x v="44"/>
    <x v="15"/>
    <x v="36"/>
    <n v="4"/>
    <n v="220"/>
    <x v="0"/>
    <x v="172"/>
    <x v="304"/>
  </r>
  <r>
    <s v="O0426"/>
    <s v="2025-05-23"/>
    <x v="92"/>
    <x v="65"/>
    <x v="2"/>
    <n v="4"/>
    <n v="159"/>
    <x v="0"/>
    <x v="183"/>
    <x v="305"/>
  </r>
  <r>
    <s v="O0427"/>
    <s v="2025-08-12"/>
    <x v="5"/>
    <x v="26"/>
    <x v="24"/>
    <n v="5"/>
    <n v="111"/>
    <x v="0"/>
    <x v="200"/>
    <x v="306"/>
  </r>
  <r>
    <s v="O0428"/>
    <s v="2025-02-01"/>
    <x v="37"/>
    <x v="56"/>
    <x v="8"/>
    <n v="1"/>
    <n v="137"/>
    <x v="1"/>
    <x v="136"/>
    <x v="77"/>
  </r>
  <r>
    <s v="O0429"/>
    <s v="2026-01-15"/>
    <x v="75"/>
    <x v="60"/>
    <x v="37"/>
    <n v="1"/>
    <n v="241"/>
    <x v="0"/>
    <x v="209"/>
    <x v="307"/>
  </r>
  <r>
    <s v="O0430"/>
    <s v="2025-07-31"/>
    <x v="50"/>
    <x v="55"/>
    <x v="27"/>
    <n v="2"/>
    <n v="151"/>
    <x v="0"/>
    <x v="210"/>
    <x v="84"/>
  </r>
  <r>
    <s v="O0431"/>
    <s v="2025-05-29"/>
    <x v="10"/>
    <x v="39"/>
    <x v="17"/>
    <n v="4"/>
    <n v="140"/>
    <x v="0"/>
    <x v="124"/>
    <x v="308"/>
  </r>
  <r>
    <s v="O0432"/>
    <s v="2025-12-19"/>
    <x v="28"/>
    <x v="43"/>
    <x v="8"/>
    <n v="1"/>
    <n v="130"/>
    <x v="1"/>
    <x v="134"/>
    <x v="204"/>
  </r>
  <r>
    <s v="O0433"/>
    <s v="2025-10-18"/>
    <x v="80"/>
    <x v="8"/>
    <x v="14"/>
    <n v="2"/>
    <n v="160"/>
    <x v="1"/>
    <x v="6"/>
    <x v="309"/>
  </r>
  <r>
    <s v="O0434"/>
    <s v="2025-05-13"/>
    <x v="79"/>
    <x v="68"/>
    <x v="27"/>
    <n v="2"/>
    <n v="234"/>
    <x v="0"/>
    <x v="211"/>
    <x v="270"/>
  </r>
  <r>
    <s v="O0435"/>
    <s v="2025-06-19"/>
    <x v="15"/>
    <x v="37"/>
    <x v="48"/>
    <n v="3"/>
    <n v="225"/>
    <x v="1"/>
    <x v="18"/>
    <x v="160"/>
  </r>
  <r>
    <s v="O0436"/>
    <s v="2025-01-03"/>
    <x v="94"/>
    <x v="31"/>
    <x v="30"/>
    <n v="2"/>
    <n v="155"/>
    <x v="0"/>
    <x v="102"/>
    <x v="310"/>
  </r>
  <r>
    <s v="O0437"/>
    <s v="2025-12-18"/>
    <x v="82"/>
    <x v="85"/>
    <x v="42"/>
    <n v="2"/>
    <n v="211"/>
    <x v="1"/>
    <x v="212"/>
    <x v="74"/>
  </r>
  <r>
    <s v="O0438"/>
    <s v="2025-11-22"/>
    <x v="85"/>
    <x v="54"/>
    <x v="36"/>
    <n v="5"/>
    <n v="153"/>
    <x v="1"/>
    <x v="191"/>
    <x v="194"/>
  </r>
  <r>
    <s v="O0439"/>
    <s v="2025-03-17"/>
    <x v="83"/>
    <x v="59"/>
    <x v="2"/>
    <n v="2"/>
    <n v="234"/>
    <x v="1"/>
    <x v="40"/>
    <x v="8"/>
  </r>
  <r>
    <s v="O0440"/>
    <s v="2025-08-18"/>
    <x v="7"/>
    <x v="88"/>
    <x v="35"/>
    <n v="3"/>
    <n v="147"/>
    <x v="1"/>
    <x v="213"/>
    <x v="173"/>
  </r>
  <r>
    <s v="O0441"/>
    <s v="2026-01-09"/>
    <x v="97"/>
    <x v="96"/>
    <x v="40"/>
    <n v="3"/>
    <n v="226"/>
    <x v="1"/>
    <x v="17"/>
    <x v="311"/>
  </r>
  <r>
    <s v="O0442"/>
    <s v="2025-02-20"/>
    <x v="66"/>
    <x v="18"/>
    <x v="14"/>
    <n v="4"/>
    <n v="167"/>
    <x v="0"/>
    <x v="155"/>
    <x v="209"/>
  </r>
  <r>
    <s v="O0443"/>
    <s v="2025-04-11"/>
    <x v="52"/>
    <x v="52"/>
    <x v="49"/>
    <n v="2"/>
    <n v="168"/>
    <x v="0"/>
    <x v="173"/>
    <x v="166"/>
  </r>
  <r>
    <s v="O0444"/>
    <s v="2025-12-02"/>
    <x v="53"/>
    <x v="85"/>
    <x v="17"/>
    <n v="1"/>
    <n v="129"/>
    <x v="1"/>
    <x v="214"/>
    <x v="312"/>
  </r>
  <r>
    <s v="O0445"/>
    <s v="2025-01-08"/>
    <x v="39"/>
    <x v="20"/>
    <x v="7"/>
    <n v="4"/>
    <n v="167"/>
    <x v="1"/>
    <x v="215"/>
    <x v="313"/>
  </r>
  <r>
    <s v="O0446"/>
    <s v="2025-02-14"/>
    <x v="90"/>
    <x v="14"/>
    <x v="17"/>
    <n v="2"/>
    <n v="161"/>
    <x v="0"/>
    <x v="43"/>
    <x v="232"/>
  </r>
  <r>
    <s v="O0447"/>
    <s v="2026-01-01"/>
    <x v="23"/>
    <x v="59"/>
    <x v="13"/>
    <n v="4"/>
    <n v="188"/>
    <x v="0"/>
    <x v="109"/>
    <x v="314"/>
  </r>
  <r>
    <s v="O0448"/>
    <s v="2025-03-12"/>
    <x v="70"/>
    <x v="98"/>
    <x v="49"/>
    <n v="5"/>
    <n v="231"/>
    <x v="0"/>
    <x v="216"/>
    <x v="315"/>
  </r>
  <r>
    <s v="O0449"/>
    <s v="2025-05-31"/>
    <x v="80"/>
    <x v="41"/>
    <x v="23"/>
    <n v="5"/>
    <n v="101"/>
    <x v="1"/>
    <x v="77"/>
    <x v="200"/>
  </r>
  <r>
    <s v="O0450"/>
    <s v="2025-07-24"/>
    <x v="23"/>
    <x v="84"/>
    <x v="7"/>
    <n v="3"/>
    <n v="184"/>
    <x v="0"/>
    <x v="101"/>
    <x v="87"/>
  </r>
  <r>
    <s v="O0451"/>
    <s v="2025-09-30"/>
    <x v="58"/>
    <x v="89"/>
    <x v="36"/>
    <n v="1"/>
    <n v="195"/>
    <x v="1"/>
    <x v="63"/>
    <x v="36"/>
  </r>
  <r>
    <s v="O0452"/>
    <s v="2025-11-07"/>
    <x v="93"/>
    <x v="66"/>
    <x v="10"/>
    <n v="4"/>
    <n v="142"/>
    <x v="0"/>
    <x v="205"/>
    <x v="24"/>
  </r>
  <r>
    <s v="O0453"/>
    <s v="2025-02-19"/>
    <x v="68"/>
    <x v="67"/>
    <x v="33"/>
    <n v="2"/>
    <n v="249"/>
    <x v="0"/>
    <x v="197"/>
    <x v="178"/>
  </r>
  <r>
    <s v="O0454"/>
    <s v="2025-02-09"/>
    <x v="95"/>
    <x v="19"/>
    <x v="3"/>
    <n v="3"/>
    <n v="173"/>
    <x v="1"/>
    <x v="217"/>
    <x v="60"/>
  </r>
  <r>
    <s v="O0455"/>
    <s v="2025-01-04"/>
    <x v="32"/>
    <x v="42"/>
    <x v="21"/>
    <n v="4"/>
    <n v="188"/>
    <x v="1"/>
    <x v="3"/>
    <x v="316"/>
  </r>
  <r>
    <s v="O0456"/>
    <s v="2025-08-06"/>
    <x v="63"/>
    <x v="60"/>
    <x v="23"/>
    <n v="4"/>
    <n v="116"/>
    <x v="0"/>
    <x v="50"/>
    <x v="292"/>
  </r>
  <r>
    <s v="O0457"/>
    <s v="2025-01-09"/>
    <x v="14"/>
    <x v="58"/>
    <x v="14"/>
    <n v="5"/>
    <n v="124"/>
    <x v="1"/>
    <x v="9"/>
    <x v="317"/>
  </r>
  <r>
    <s v="O0458"/>
    <s v="2025-05-05"/>
    <x v="29"/>
    <x v="66"/>
    <x v="1"/>
    <n v="4"/>
    <n v="242"/>
    <x v="1"/>
    <x v="94"/>
    <x v="55"/>
  </r>
  <r>
    <s v="O0459"/>
    <s v="2025-11-06"/>
    <x v="45"/>
    <x v="92"/>
    <x v="12"/>
    <n v="3"/>
    <n v="136"/>
    <x v="1"/>
    <x v="218"/>
    <x v="87"/>
  </r>
  <r>
    <s v="O0460"/>
    <s v="2025-01-29"/>
    <x v="64"/>
    <x v="92"/>
    <x v="30"/>
    <n v="3"/>
    <n v="246"/>
    <x v="0"/>
    <x v="52"/>
    <x v="15"/>
  </r>
  <r>
    <s v="O0461"/>
    <s v="2025-07-14"/>
    <x v="22"/>
    <x v="68"/>
    <x v="27"/>
    <n v="5"/>
    <n v="108"/>
    <x v="1"/>
    <x v="46"/>
    <x v="318"/>
  </r>
  <r>
    <s v="O0462"/>
    <s v="2025-02-21"/>
    <x v="84"/>
    <x v="27"/>
    <x v="28"/>
    <n v="3"/>
    <n v="168"/>
    <x v="1"/>
    <x v="219"/>
    <x v="274"/>
  </r>
  <r>
    <s v="O0463"/>
    <s v="2025-10-26"/>
    <x v="76"/>
    <x v="66"/>
    <x v="15"/>
    <n v="5"/>
    <n v="249"/>
    <x v="1"/>
    <x v="220"/>
    <x v="238"/>
  </r>
  <r>
    <s v="O0464"/>
    <s v="2025-05-05"/>
    <x v="91"/>
    <x v="72"/>
    <x v="6"/>
    <n v="4"/>
    <n v="221"/>
    <x v="1"/>
    <x v="178"/>
    <x v="319"/>
  </r>
  <r>
    <s v="O0465"/>
    <s v="2025-02-28"/>
    <x v="19"/>
    <x v="94"/>
    <x v="39"/>
    <n v="3"/>
    <n v="199"/>
    <x v="0"/>
    <x v="221"/>
    <x v="320"/>
  </r>
  <r>
    <s v="O0466"/>
    <s v="2025-04-07"/>
    <x v="80"/>
    <x v="87"/>
    <x v="17"/>
    <n v="4"/>
    <n v="135"/>
    <x v="1"/>
    <x v="222"/>
    <x v="266"/>
  </r>
  <r>
    <s v="O0467"/>
    <s v="2025-05-23"/>
    <x v="71"/>
    <x v="98"/>
    <x v="48"/>
    <n v="3"/>
    <n v="190"/>
    <x v="0"/>
    <x v="199"/>
    <x v="21"/>
  </r>
  <r>
    <s v="O0468"/>
    <s v="2025-01-04"/>
    <x v="40"/>
    <x v="30"/>
    <x v="10"/>
    <n v="2"/>
    <n v="172"/>
    <x v="1"/>
    <x v="223"/>
    <x v="184"/>
  </r>
  <r>
    <s v="O0469"/>
    <s v="2025-06-25"/>
    <x v="64"/>
    <x v="81"/>
    <x v="44"/>
    <n v="2"/>
    <n v="239"/>
    <x v="0"/>
    <x v="224"/>
    <x v="321"/>
  </r>
  <r>
    <s v="O0470"/>
    <s v="2025-05-11"/>
    <x v="67"/>
    <x v="82"/>
    <x v="6"/>
    <n v="1"/>
    <n v="221"/>
    <x v="0"/>
    <x v="19"/>
    <x v="322"/>
  </r>
  <r>
    <s v="O0471"/>
    <s v="2025-09-02"/>
    <x v="16"/>
    <x v="47"/>
    <x v="16"/>
    <n v="1"/>
    <n v="207"/>
    <x v="1"/>
    <x v="159"/>
    <x v="172"/>
  </r>
  <r>
    <s v="O0472"/>
    <s v="2026-01-11"/>
    <x v="54"/>
    <x v="74"/>
    <x v="18"/>
    <n v="5"/>
    <n v="137"/>
    <x v="1"/>
    <x v="136"/>
    <x v="323"/>
  </r>
  <r>
    <s v="O0473"/>
    <s v="2025-10-12"/>
    <x v="95"/>
    <x v="55"/>
    <x v="10"/>
    <n v="2"/>
    <n v="185"/>
    <x v="1"/>
    <x v="168"/>
    <x v="4"/>
  </r>
  <r>
    <s v="O0474"/>
    <s v="2026-01-19"/>
    <x v="98"/>
    <x v="32"/>
    <x v="18"/>
    <n v="3"/>
    <n v="146"/>
    <x v="0"/>
    <x v="225"/>
    <x v="324"/>
  </r>
  <r>
    <s v="O0475"/>
    <s v="2026-01-29"/>
    <x v="54"/>
    <x v="9"/>
    <x v="49"/>
    <n v="1"/>
    <n v="192"/>
    <x v="1"/>
    <x v="226"/>
    <x v="325"/>
  </r>
  <r>
    <s v="O0476"/>
    <s v="2025-04-29"/>
    <x v="0"/>
    <x v="57"/>
    <x v="15"/>
    <n v="3"/>
    <n v="193"/>
    <x v="0"/>
    <x v="82"/>
    <x v="326"/>
  </r>
  <r>
    <s v="O0477"/>
    <s v="2025-10-05"/>
    <x v="67"/>
    <x v="71"/>
    <x v="14"/>
    <n v="3"/>
    <n v="188"/>
    <x v="0"/>
    <x v="109"/>
    <x v="327"/>
  </r>
  <r>
    <s v="O0478"/>
    <s v="2025-09-17"/>
    <x v="39"/>
    <x v="4"/>
    <x v="49"/>
    <n v="3"/>
    <n v="227"/>
    <x v="1"/>
    <x v="165"/>
    <x v="282"/>
  </r>
  <r>
    <s v="O0479"/>
    <s v="2025-05-25"/>
    <x v="78"/>
    <x v="83"/>
    <x v="44"/>
    <n v="3"/>
    <n v="110"/>
    <x v="0"/>
    <x v="157"/>
    <x v="231"/>
  </r>
  <r>
    <s v="O0480"/>
    <s v="2025-06-18"/>
    <x v="44"/>
    <x v="39"/>
    <x v="34"/>
    <n v="4"/>
    <n v="101"/>
    <x v="0"/>
    <x v="227"/>
    <x v="7"/>
  </r>
  <r>
    <s v="O0481"/>
    <s v="2025-10-16"/>
    <x v="65"/>
    <x v="18"/>
    <x v="20"/>
    <n v="4"/>
    <n v="162"/>
    <x v="1"/>
    <x v="105"/>
    <x v="328"/>
  </r>
  <r>
    <s v="O0482"/>
    <s v="2025-12-28"/>
    <x v="50"/>
    <x v="43"/>
    <x v="29"/>
    <n v="2"/>
    <n v="168"/>
    <x v="0"/>
    <x v="173"/>
    <x v="233"/>
  </r>
  <r>
    <s v="O0483"/>
    <s v="2025-11-04"/>
    <x v="34"/>
    <x v="37"/>
    <x v="42"/>
    <n v="4"/>
    <n v="123"/>
    <x v="0"/>
    <x v="201"/>
    <x v="57"/>
  </r>
  <r>
    <s v="O0484"/>
    <s v="2025-05-07"/>
    <x v="48"/>
    <x v="82"/>
    <x v="0"/>
    <n v="5"/>
    <n v="232"/>
    <x v="1"/>
    <x v="49"/>
    <x v="267"/>
  </r>
  <r>
    <s v="O0485"/>
    <s v="2025-10-26"/>
    <x v="17"/>
    <x v="63"/>
    <x v="40"/>
    <n v="2"/>
    <n v="199"/>
    <x v="1"/>
    <x v="228"/>
    <x v="329"/>
  </r>
  <r>
    <s v="O0486"/>
    <s v="2025-09-14"/>
    <x v="24"/>
    <x v="28"/>
    <x v="7"/>
    <n v="1"/>
    <n v="172"/>
    <x v="0"/>
    <x v="177"/>
    <x v="330"/>
  </r>
  <r>
    <s v="O0487"/>
    <s v="2025-04-09"/>
    <x v="0"/>
    <x v="51"/>
    <x v="25"/>
    <n v="3"/>
    <n v="191"/>
    <x v="0"/>
    <x v="229"/>
    <x v="43"/>
  </r>
  <r>
    <s v="O0488"/>
    <s v="2025-02-24"/>
    <x v="16"/>
    <x v="68"/>
    <x v="18"/>
    <n v="1"/>
    <n v="102"/>
    <x v="1"/>
    <x v="230"/>
    <x v="31"/>
  </r>
  <r>
    <s v="O0489"/>
    <s v="2025-01-13"/>
    <x v="55"/>
    <x v="1"/>
    <x v="24"/>
    <n v="4"/>
    <n v="152"/>
    <x v="0"/>
    <x v="231"/>
    <x v="331"/>
  </r>
  <r>
    <s v="O0490"/>
    <s v="2025-11-14"/>
    <x v="86"/>
    <x v="14"/>
    <x v="5"/>
    <n v="1"/>
    <n v="145"/>
    <x v="0"/>
    <x v="144"/>
    <x v="332"/>
  </r>
  <r>
    <s v="O0491"/>
    <s v="2025-05-14"/>
    <x v="11"/>
    <x v="8"/>
    <x v="26"/>
    <n v="5"/>
    <n v="135"/>
    <x v="1"/>
    <x v="222"/>
    <x v="317"/>
  </r>
  <r>
    <s v="O0492"/>
    <s v="2026-01-03"/>
    <x v="1"/>
    <x v="21"/>
    <x v="2"/>
    <n v="1"/>
    <n v="135"/>
    <x v="0"/>
    <x v="1"/>
    <x v="333"/>
  </r>
  <r>
    <s v="O0493"/>
    <s v="2025-04-21"/>
    <x v="9"/>
    <x v="6"/>
    <x v="25"/>
    <n v="3"/>
    <n v="158"/>
    <x v="0"/>
    <x v="5"/>
    <x v="132"/>
  </r>
  <r>
    <s v="O0494"/>
    <s v="2025-08-19"/>
    <x v="6"/>
    <x v="27"/>
    <x v="7"/>
    <n v="3"/>
    <n v="104"/>
    <x v="1"/>
    <x v="232"/>
    <x v="173"/>
  </r>
  <r>
    <s v="O0495"/>
    <s v="2025-04-26"/>
    <x v="73"/>
    <x v="42"/>
    <x v="10"/>
    <n v="1"/>
    <n v="130"/>
    <x v="1"/>
    <x v="134"/>
    <x v="334"/>
  </r>
  <r>
    <s v="O0496"/>
    <s v="2025-03-06"/>
    <x v="59"/>
    <x v="21"/>
    <x v="8"/>
    <n v="3"/>
    <n v="155"/>
    <x v="0"/>
    <x v="102"/>
    <x v="100"/>
  </r>
  <r>
    <s v="O0497"/>
    <s v="2025-05-07"/>
    <x v="68"/>
    <x v="8"/>
    <x v="12"/>
    <n v="4"/>
    <n v="114"/>
    <x v="0"/>
    <x v="98"/>
    <x v="335"/>
  </r>
  <r>
    <s v="O0498"/>
    <s v="2025-02-26"/>
    <x v="24"/>
    <x v="36"/>
    <x v="31"/>
    <n v="3"/>
    <n v="122"/>
    <x v="0"/>
    <x v="131"/>
    <x v="336"/>
  </r>
  <r>
    <s v="O0499"/>
    <s v="2025-12-13"/>
    <x v="63"/>
    <x v="29"/>
    <x v="30"/>
    <n v="2"/>
    <n v="236"/>
    <x v="0"/>
    <x v="116"/>
    <x v="180"/>
  </r>
  <r>
    <s v="O0500"/>
    <s v="2025-11-10"/>
    <x v="30"/>
    <x v="91"/>
    <x v="16"/>
    <n v="2"/>
    <n v="159"/>
    <x v="0"/>
    <x v="183"/>
    <x v="33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0001"/>
    <x v="0"/>
    <x v="0"/>
    <s v="C016"/>
    <s v="R003"/>
    <s v="D044"/>
    <n v="3"/>
    <n v="173"/>
    <s v="YES"/>
    <n v="86.5"/>
    <n v="49.5"/>
  </r>
  <r>
    <s v="O0002"/>
    <x v="1"/>
    <x v="1"/>
    <s v="C069"/>
    <s v="R097"/>
    <s v="D001"/>
    <n v="4"/>
    <n v="135"/>
    <s v="YES"/>
    <n v="67.5"/>
    <n v="14"/>
  </r>
  <r>
    <s v="O0003"/>
    <x v="2"/>
    <x v="2"/>
    <s v="C079"/>
    <s v="R060"/>
    <s v="D015"/>
    <n v="1"/>
    <n v="142"/>
    <s v="NO"/>
    <n v="142"/>
    <n v="63"/>
  </r>
  <r>
    <s v="O0004"/>
    <x v="3"/>
    <x v="3"/>
    <s v="C097"/>
    <s v="R074"/>
    <s v="D042"/>
    <n v="4"/>
    <n v="188"/>
    <s v="NO"/>
    <n v="188"/>
    <n v="396"/>
  </r>
  <r>
    <s v="O0005"/>
    <x v="4"/>
    <x v="4"/>
    <s v="C021"/>
    <s v="R023"/>
    <s v="D031"/>
    <n v="4"/>
    <n v="161"/>
    <s v="NO"/>
    <n v="161"/>
    <n v="288"/>
  </r>
  <r>
    <s v="O0006"/>
    <x v="5"/>
    <x v="5"/>
    <s v="C062"/>
    <s v="R020"/>
    <s v="D034"/>
    <n v="2"/>
    <n v="158"/>
    <s v="YES"/>
    <n v="79"/>
    <n v="14"/>
  </r>
  <r>
    <s v="O0007"/>
    <x v="6"/>
    <x v="6"/>
    <s v="C074"/>
    <s v="R072"/>
    <s v="D009"/>
    <n v="5"/>
    <n v="160"/>
    <s v="NO"/>
    <n v="160"/>
    <n v="380"/>
  </r>
  <r>
    <s v="O0008"/>
    <x v="7"/>
    <x v="7"/>
    <s v="C044"/>
    <s v="R095"/>
    <s v="D023"/>
    <n v="4"/>
    <n v="179"/>
    <s v="NO"/>
    <n v="179"/>
    <n v="552"/>
  </r>
  <r>
    <s v="O0009"/>
    <x v="8"/>
    <x v="8"/>
    <s v="C100"/>
    <s v="R054"/>
    <s v="D010"/>
    <n v="4"/>
    <n v="139"/>
    <s v="YES"/>
    <n v="69.5"/>
    <n v="30"/>
  </r>
  <r>
    <s v="O0010"/>
    <x v="9"/>
    <x v="9"/>
    <s v="C013"/>
    <s v="R049"/>
    <s v="D030"/>
    <n v="5"/>
    <n v="248"/>
    <s v="YES"/>
    <n v="124"/>
    <n v="310"/>
  </r>
  <r>
    <s v="O0011"/>
    <x v="10"/>
    <x v="10"/>
    <s v="C051"/>
    <s v="R049"/>
    <s v="D049"/>
    <n v="3"/>
    <n v="178"/>
    <s v="YES"/>
    <n v="89"/>
    <n v="144"/>
  </r>
  <r>
    <s v="O0012"/>
    <x v="10"/>
    <x v="10"/>
    <s v="C034"/>
    <s v="R073"/>
    <s v="D004"/>
    <n v="2"/>
    <n v="240"/>
    <s v="NO"/>
    <n v="240"/>
    <n v="394"/>
  </r>
  <r>
    <s v="O0013"/>
    <x v="11"/>
    <x v="11"/>
    <s v="C092"/>
    <s v="R008"/>
    <s v="D047"/>
    <n v="1"/>
    <n v="121"/>
    <s v="NO"/>
    <n v="121"/>
    <n v="36"/>
  </r>
  <r>
    <s v="O0014"/>
    <x v="12"/>
    <x v="12"/>
    <s v="C001"/>
    <s v="R077"/>
    <s v="D029"/>
    <n v="2"/>
    <n v="233"/>
    <s v="NO"/>
    <n v="233"/>
    <n v="326"/>
  </r>
  <r>
    <s v="O0015"/>
    <x v="13"/>
    <x v="13"/>
    <s v="C063"/>
    <s v="R020"/>
    <s v="D047"/>
    <n v="2"/>
    <n v="228"/>
    <s v="NO"/>
    <n v="228"/>
    <n v="286"/>
  </r>
  <r>
    <s v="O0016"/>
    <x v="14"/>
    <x v="14"/>
    <s v="C061"/>
    <s v="R029"/>
    <s v="D039"/>
    <n v="3"/>
    <n v="202"/>
    <s v="NO"/>
    <n v="202"/>
    <n v="471"/>
  </r>
  <r>
    <s v="O0017"/>
    <x v="15"/>
    <x v="15"/>
    <s v="C094"/>
    <s v="R020"/>
    <s v="D018"/>
    <n v="4"/>
    <n v="132"/>
    <s v="NO"/>
    <n v="132"/>
    <n v="228"/>
  </r>
  <r>
    <s v="O0018"/>
    <x v="16"/>
    <x v="16"/>
    <s v="C079"/>
    <s v="R030"/>
    <s v="D042"/>
    <n v="5"/>
    <n v="226"/>
    <s v="NO"/>
    <n v="226"/>
    <n v="685"/>
  </r>
  <r>
    <s v="O0019"/>
    <x v="17"/>
    <x v="17"/>
    <s v="C017"/>
    <s v="R014"/>
    <s v="D031"/>
    <n v="1"/>
    <n v="225"/>
    <s v="NO"/>
    <n v="225"/>
    <n v="136"/>
  </r>
  <r>
    <s v="O0020"/>
    <x v="18"/>
    <x v="18"/>
    <s v="C042"/>
    <s v="R062"/>
    <s v="D003"/>
    <n v="2"/>
    <n v="221"/>
    <s v="YES"/>
    <n v="110.5"/>
    <n v="53"/>
  </r>
  <r>
    <s v="O0021"/>
    <x v="19"/>
    <x v="19"/>
    <s v="C059"/>
    <s v="R087"/>
    <s v="D035"/>
    <n v="2"/>
    <n v="147"/>
    <s v="YES"/>
    <n v="73.5"/>
    <n v="5"/>
  </r>
  <r>
    <s v="O0022"/>
    <x v="20"/>
    <x v="20"/>
    <s v="C064"/>
    <s v="R020"/>
    <s v="D025"/>
    <n v="2"/>
    <n v="213"/>
    <s v="YES"/>
    <n v="106.5"/>
    <n v="59"/>
  </r>
  <r>
    <s v="O0023"/>
    <x v="21"/>
    <x v="21"/>
    <s v="C096"/>
    <s v="R015"/>
    <s v="D029"/>
    <n v="3"/>
    <n v="115"/>
    <s v="NO"/>
    <n v="115"/>
    <n v="135"/>
  </r>
  <r>
    <s v="O0024"/>
    <x v="22"/>
    <x v="22"/>
    <s v="C055"/>
    <s v="R029"/>
    <s v="D036"/>
    <n v="4"/>
    <n v="241"/>
    <s v="NO"/>
    <n v="241"/>
    <n v="716"/>
  </r>
  <r>
    <s v="O0025"/>
    <x v="23"/>
    <x v="23"/>
    <s v="C076"/>
    <s v="R005"/>
    <s v="D027"/>
    <n v="2"/>
    <n v="104"/>
    <s v="YES"/>
    <n v="52"/>
    <n v="4"/>
  </r>
  <r>
    <s v="O0026"/>
    <x v="24"/>
    <x v="24"/>
    <s v="C016"/>
    <s v="R075"/>
    <s v="D015"/>
    <n v="5"/>
    <n v="206"/>
    <s v="YES"/>
    <n v="103"/>
    <n v="120"/>
  </r>
  <r>
    <s v="O0027"/>
    <x v="25"/>
    <x v="25"/>
    <s v="C083"/>
    <s v="R098"/>
    <s v="D016"/>
    <n v="5"/>
    <n v="176"/>
    <s v="YES"/>
    <n v="88"/>
    <n v="95"/>
  </r>
  <r>
    <s v="O0028"/>
    <x v="26"/>
    <x v="26"/>
    <s v="C066"/>
    <s v="R042"/>
    <s v="D036"/>
    <n v="2"/>
    <n v="201"/>
    <s v="YES"/>
    <n v="100.5"/>
    <n v="77"/>
  </r>
  <r>
    <s v="O0029"/>
    <x v="27"/>
    <x v="27"/>
    <s v="C031"/>
    <s v="R032"/>
    <s v="D049"/>
    <n v="1"/>
    <n v="222"/>
    <s v="NO"/>
    <n v="222"/>
    <n v="181"/>
  </r>
  <r>
    <s v="O0030"/>
    <x v="28"/>
    <x v="28"/>
    <s v="C023"/>
    <s v="R032"/>
    <s v="D001"/>
    <n v="4"/>
    <n v="156"/>
    <s v="NO"/>
    <n v="156"/>
    <n v="368"/>
  </r>
  <r>
    <s v="O0031"/>
    <x v="29"/>
    <x v="29"/>
    <s v="C030"/>
    <s v="R076"/>
    <s v="D007"/>
    <n v="5"/>
    <n v="175"/>
    <s v="NO"/>
    <n v="175"/>
    <n v="540"/>
  </r>
  <r>
    <s v="O0032"/>
    <x v="30"/>
    <x v="30"/>
    <s v="C051"/>
    <s v="R053"/>
    <s v="D017"/>
    <n v="2"/>
    <n v="154"/>
    <s v="YES"/>
    <n v="77"/>
    <n v="34"/>
  </r>
  <r>
    <s v="O0033"/>
    <x v="31"/>
    <x v="31"/>
    <s v="C016"/>
    <s v="R028"/>
    <s v="D015"/>
    <n v="2"/>
    <n v="183"/>
    <s v="YES"/>
    <n v="91.5"/>
    <n v="25"/>
  </r>
  <r>
    <s v="O0034"/>
    <x v="5"/>
    <x v="5"/>
    <s v="C005"/>
    <s v="R093"/>
    <s v="D007"/>
    <n v="3"/>
    <n v="222"/>
    <s v="NO"/>
    <n v="222"/>
    <n v="465"/>
  </r>
  <r>
    <s v="O0035"/>
    <x v="32"/>
    <x v="32"/>
    <s v="C059"/>
    <s v="R085"/>
    <s v="D003"/>
    <n v="1"/>
    <n v="217"/>
    <s v="YES"/>
    <n v="108.5"/>
    <n v="24.5"/>
  </r>
  <r>
    <s v="O0036"/>
    <x v="7"/>
    <x v="7"/>
    <s v="C064"/>
    <s v="R076"/>
    <s v="D029"/>
    <n v="5"/>
    <n v="126"/>
    <s v="YES"/>
    <n v="63"/>
    <n v="-35"/>
  </r>
  <r>
    <s v="O0037"/>
    <x v="33"/>
    <x v="33"/>
    <s v="C031"/>
    <s v="R052"/>
    <s v="D042"/>
    <n v="5"/>
    <n v="139"/>
    <s v="NO"/>
    <n v="139"/>
    <n v="250"/>
  </r>
  <r>
    <s v="O0038"/>
    <x v="34"/>
    <x v="34"/>
    <s v="C023"/>
    <s v="R046"/>
    <s v="D030"/>
    <n v="1"/>
    <n v="203"/>
    <s v="NO"/>
    <n v="203"/>
    <n v="141"/>
  </r>
  <r>
    <s v="O0039"/>
    <x v="35"/>
    <x v="35"/>
    <s v="C035"/>
    <s v="R033"/>
    <s v="D004"/>
    <n v="2"/>
    <n v="174"/>
    <s v="YES"/>
    <n v="87"/>
    <n v="88"/>
  </r>
  <r>
    <s v="O0040"/>
    <x v="36"/>
    <x v="36"/>
    <s v="C033"/>
    <s v="R034"/>
    <s v="D032"/>
    <n v="1"/>
    <n v="219"/>
    <s v="NO"/>
    <n v="219"/>
    <n v="136"/>
  </r>
  <r>
    <s v="O0041"/>
    <x v="37"/>
    <x v="37"/>
    <s v="C034"/>
    <s v="R090"/>
    <s v="D032"/>
    <n v="3"/>
    <n v="243"/>
    <s v="NO"/>
    <n v="243"/>
    <n v="480"/>
  </r>
  <r>
    <s v="O0042"/>
    <x v="38"/>
    <x v="38"/>
    <s v="C026"/>
    <s v="R090"/>
    <s v="D002"/>
    <n v="3"/>
    <n v="234"/>
    <s v="NO"/>
    <n v="234"/>
    <n v="498"/>
  </r>
  <r>
    <s v="O0043"/>
    <x v="8"/>
    <x v="8"/>
    <s v="C030"/>
    <s v="R047"/>
    <s v="D024"/>
    <n v="5"/>
    <n v="115"/>
    <s v="NO"/>
    <n v="115"/>
    <n v="295"/>
  </r>
  <r>
    <s v="O0044"/>
    <x v="39"/>
    <x v="39"/>
    <s v="C071"/>
    <s v="R075"/>
    <s v="D022"/>
    <n v="1"/>
    <n v="124"/>
    <s v="YES"/>
    <n v="62"/>
    <n v="-3"/>
  </r>
  <r>
    <s v="O0045"/>
    <x v="40"/>
    <x v="40"/>
    <s v="C062"/>
    <s v="R025"/>
    <s v="D029"/>
    <n v="5"/>
    <n v="211"/>
    <s v="YES"/>
    <n v="105.5"/>
    <n v="177.5"/>
  </r>
  <r>
    <s v="O0046"/>
    <x v="27"/>
    <x v="27"/>
    <s v="C053"/>
    <s v="R085"/>
    <s v="D001"/>
    <n v="5"/>
    <n v="161"/>
    <s v="YES"/>
    <n v="80.5"/>
    <n v="82.5"/>
  </r>
  <r>
    <s v="O0047"/>
    <x v="41"/>
    <x v="41"/>
    <s v="C058"/>
    <s v="R094"/>
    <s v="D018"/>
    <n v="5"/>
    <n v="143"/>
    <s v="YES"/>
    <n v="71.5"/>
    <n v="-17.5"/>
  </r>
  <r>
    <s v="O0048"/>
    <x v="42"/>
    <x v="42"/>
    <s v="C077"/>
    <s v="R032"/>
    <s v="D040"/>
    <n v="5"/>
    <n v="165"/>
    <s v="NO"/>
    <n v="165"/>
    <n v="425"/>
  </r>
  <r>
    <s v="O0049"/>
    <x v="43"/>
    <x v="43"/>
    <s v="C010"/>
    <s v="R016"/>
    <s v="D008"/>
    <n v="4"/>
    <n v="108"/>
    <s v="NO"/>
    <n v="108"/>
    <n v="136"/>
  </r>
  <r>
    <s v="O0050"/>
    <x v="44"/>
    <x v="44"/>
    <s v="C043"/>
    <s v="R099"/>
    <s v="D033"/>
    <n v="4"/>
    <n v="150"/>
    <s v="YES"/>
    <n v="75"/>
    <n v="112"/>
  </r>
  <r>
    <s v="O0051"/>
    <x v="45"/>
    <x v="45"/>
    <s v="C054"/>
    <s v="R088"/>
    <s v="D039"/>
    <n v="3"/>
    <n v="121"/>
    <s v="NO"/>
    <n v="121"/>
    <n v="228"/>
  </r>
  <r>
    <s v="O0052"/>
    <x v="46"/>
    <x v="46"/>
    <s v="C097"/>
    <s v="R092"/>
    <s v="D049"/>
    <n v="4"/>
    <n v="210"/>
    <s v="NO"/>
    <n v="210"/>
    <n v="676"/>
  </r>
  <r>
    <s v="O0053"/>
    <x v="47"/>
    <x v="47"/>
    <s v="C041"/>
    <s v="R068"/>
    <s v="D024"/>
    <n v="4"/>
    <n v="232"/>
    <s v="NO"/>
    <n v="232"/>
    <n v="704"/>
  </r>
  <r>
    <s v="O0054"/>
    <x v="48"/>
    <x v="48"/>
    <s v="C073"/>
    <s v="R060"/>
    <s v="D045"/>
    <n v="5"/>
    <n v="116"/>
    <s v="YES"/>
    <n v="58"/>
    <n v="-30"/>
  </r>
  <r>
    <s v="O0055"/>
    <x v="49"/>
    <x v="49"/>
    <s v="C090"/>
    <s v="R057"/>
    <s v="D044"/>
    <n v="3"/>
    <n v="214"/>
    <s v="NO"/>
    <n v="214"/>
    <n v="432"/>
  </r>
  <r>
    <s v="O0056"/>
    <x v="50"/>
    <x v="50"/>
    <s v="C098"/>
    <s v="R029"/>
    <s v="D008"/>
    <n v="2"/>
    <n v="246"/>
    <s v="YES"/>
    <n v="123"/>
    <n v="98"/>
  </r>
  <r>
    <s v="O0057"/>
    <x v="51"/>
    <x v="51"/>
    <s v="C085"/>
    <s v="R086"/>
    <s v="D024"/>
    <n v="1"/>
    <n v="137"/>
    <s v="YES"/>
    <n v="68.5"/>
    <n v="12.5"/>
  </r>
  <r>
    <s v="O0058"/>
    <x v="52"/>
    <x v="52"/>
    <s v="C058"/>
    <s v="R023"/>
    <s v="D045"/>
    <n v="4"/>
    <n v="206"/>
    <s v="YES"/>
    <n v="103"/>
    <n v="156"/>
  </r>
  <r>
    <s v="O0059"/>
    <x v="53"/>
    <x v="53"/>
    <s v="C029"/>
    <s v="R057"/>
    <s v="D035"/>
    <n v="4"/>
    <n v="201"/>
    <s v="NO"/>
    <n v="201"/>
    <n v="520"/>
  </r>
  <r>
    <s v="O0060"/>
    <x v="54"/>
    <x v="54"/>
    <s v="C048"/>
    <s v="R060"/>
    <s v="D022"/>
    <n v="4"/>
    <n v="243"/>
    <s v="NO"/>
    <n v="243"/>
    <n v="712"/>
  </r>
  <r>
    <s v="O0061"/>
    <x v="55"/>
    <x v="55"/>
    <s v="C002"/>
    <s v="R008"/>
    <s v="D021"/>
    <n v="1"/>
    <n v="137"/>
    <s v="YES"/>
    <n v="68.5"/>
    <n v="5.5"/>
  </r>
  <r>
    <s v="O0062"/>
    <x v="56"/>
    <x v="56"/>
    <s v="C025"/>
    <s v="R063"/>
    <s v="D042"/>
    <n v="2"/>
    <n v="122"/>
    <s v="NO"/>
    <n v="122"/>
    <n v="66"/>
  </r>
  <r>
    <s v="O0063"/>
    <x v="57"/>
    <x v="57"/>
    <s v="C005"/>
    <s v="R049"/>
    <s v="D032"/>
    <n v="1"/>
    <n v="212"/>
    <s v="NO"/>
    <n v="212"/>
    <n v="129"/>
  </r>
  <r>
    <s v="O0064"/>
    <x v="58"/>
    <x v="58"/>
    <s v="C097"/>
    <s v="R047"/>
    <s v="D048"/>
    <n v="2"/>
    <n v="248"/>
    <s v="NO"/>
    <n v="248"/>
    <n v="412"/>
  </r>
  <r>
    <s v="O0065"/>
    <x v="59"/>
    <x v="59"/>
    <s v="C047"/>
    <s v="R085"/>
    <s v="D049"/>
    <n v="3"/>
    <n v="125"/>
    <s v="NO"/>
    <n v="125"/>
    <n v="252"/>
  </r>
  <r>
    <s v="O0066"/>
    <x v="60"/>
    <x v="60"/>
    <s v="C024"/>
    <s v="R030"/>
    <s v="D030"/>
    <n v="2"/>
    <n v="113"/>
    <s v="YES"/>
    <n v="56.5"/>
    <n v="-11"/>
  </r>
  <r>
    <s v="O0067"/>
    <x v="61"/>
    <x v="61"/>
    <s v="C039"/>
    <s v="R088"/>
    <s v="D021"/>
    <n v="3"/>
    <n v="230"/>
    <s v="YES"/>
    <n v="115"/>
    <n v="156"/>
  </r>
  <r>
    <s v="O0068"/>
    <x v="62"/>
    <x v="62"/>
    <s v="C015"/>
    <s v="R046"/>
    <s v="D029"/>
    <n v="2"/>
    <n v="130"/>
    <s v="YES"/>
    <n v="65"/>
    <n v="-10"/>
  </r>
  <r>
    <s v="O0069"/>
    <x v="63"/>
    <x v="63"/>
    <s v="C026"/>
    <s v="R075"/>
    <s v="D021"/>
    <n v="2"/>
    <n v="235"/>
    <s v="NO"/>
    <n v="235"/>
    <n v="344"/>
  </r>
  <r>
    <s v="O0070"/>
    <x v="64"/>
    <x v="64"/>
    <s v="C001"/>
    <s v="R089"/>
    <s v="D046"/>
    <n v="1"/>
    <n v="169"/>
    <s v="NO"/>
    <n v="169"/>
    <n v="126"/>
  </r>
  <r>
    <s v="O0071"/>
    <x v="65"/>
    <x v="65"/>
    <s v="C091"/>
    <s v="R007"/>
    <s v="D019"/>
    <n v="2"/>
    <n v="195"/>
    <s v="NO"/>
    <n v="195"/>
    <n v="222"/>
  </r>
  <r>
    <s v="O0072"/>
    <x v="66"/>
    <x v="66"/>
    <s v="C036"/>
    <s v="R087"/>
    <s v="D037"/>
    <n v="2"/>
    <n v="200"/>
    <s v="NO"/>
    <n v="200"/>
    <n v="292"/>
  </r>
  <r>
    <s v="O0073"/>
    <x v="67"/>
    <x v="67"/>
    <s v="C049"/>
    <s v="R087"/>
    <s v="D007"/>
    <n v="3"/>
    <n v="240"/>
    <s v="YES"/>
    <n v="120"/>
    <n v="159"/>
  </r>
  <r>
    <s v="O0074"/>
    <x v="68"/>
    <x v="68"/>
    <s v="C087"/>
    <s v="R014"/>
    <s v="D023"/>
    <n v="1"/>
    <n v="156"/>
    <s v="NO"/>
    <n v="156"/>
    <n v="115"/>
  </r>
  <r>
    <s v="O0075"/>
    <x v="69"/>
    <x v="69"/>
    <s v="C089"/>
    <s v="R027"/>
    <s v="D030"/>
    <n v="1"/>
    <n v="191"/>
    <s v="NO"/>
    <n v="191"/>
    <n v="129"/>
  </r>
  <r>
    <s v="O0076"/>
    <x v="70"/>
    <x v="70"/>
    <s v="C088"/>
    <s v="R037"/>
    <s v="D020"/>
    <n v="3"/>
    <n v="140"/>
    <s v="NO"/>
    <n v="140"/>
    <n v="255"/>
  </r>
  <r>
    <s v="O0077"/>
    <x v="71"/>
    <x v="71"/>
    <s v="C081"/>
    <s v="R052"/>
    <s v="D039"/>
    <n v="5"/>
    <n v="201"/>
    <s v="YES"/>
    <n v="100.5"/>
    <n v="277.5"/>
  </r>
  <r>
    <s v="O0078"/>
    <x v="72"/>
    <x v="72"/>
    <s v="C003"/>
    <s v="R002"/>
    <s v="D028"/>
    <n v="2"/>
    <n v="235"/>
    <s v="NO"/>
    <n v="235"/>
    <n v="320"/>
  </r>
  <r>
    <s v="O0079"/>
    <x v="73"/>
    <x v="73"/>
    <s v="C071"/>
    <s v="R074"/>
    <s v="D007"/>
    <n v="2"/>
    <n v="173"/>
    <s v="YES"/>
    <n v="86.5"/>
    <n v="39"/>
  </r>
  <r>
    <s v="O0080"/>
    <x v="74"/>
    <x v="74"/>
    <s v="C001"/>
    <s v="R030"/>
    <s v="D048"/>
    <n v="3"/>
    <n v="193"/>
    <s v="NO"/>
    <n v="193"/>
    <n v="453"/>
  </r>
  <r>
    <s v="O0081"/>
    <x v="75"/>
    <x v="75"/>
    <s v="C003"/>
    <s v="R081"/>
    <s v="D033"/>
    <n v="2"/>
    <n v="213"/>
    <s v="NO"/>
    <n v="213"/>
    <n v="332"/>
  </r>
  <r>
    <s v="O0082"/>
    <x v="76"/>
    <x v="76"/>
    <s v="C018"/>
    <s v="R080"/>
    <s v="D021"/>
    <n v="1"/>
    <n v="145"/>
    <s v="NO"/>
    <n v="145"/>
    <n v="82"/>
  </r>
  <r>
    <s v="O0083"/>
    <x v="77"/>
    <x v="77"/>
    <s v="C097"/>
    <s v="R039"/>
    <s v="D002"/>
    <n v="1"/>
    <n v="108"/>
    <s v="NO"/>
    <n v="108"/>
    <n v="40"/>
  </r>
  <r>
    <s v="O0084"/>
    <x v="78"/>
    <x v="78"/>
    <s v="C059"/>
    <s v="R083"/>
    <s v="D023"/>
    <n v="2"/>
    <n v="211"/>
    <s v="YES"/>
    <n v="105.5"/>
    <n v="129"/>
  </r>
  <r>
    <s v="O0085"/>
    <x v="79"/>
    <x v="79"/>
    <s v="C049"/>
    <s v="R069"/>
    <s v="D049"/>
    <n v="2"/>
    <n v="157"/>
    <s v="YES"/>
    <n v="78.5"/>
    <n v="75"/>
  </r>
  <r>
    <s v="O0086"/>
    <x v="80"/>
    <x v="80"/>
    <s v="C068"/>
    <s v="R057"/>
    <s v="D029"/>
    <n v="2"/>
    <n v="114"/>
    <s v="NO"/>
    <n v="114"/>
    <n v="88"/>
  </r>
  <r>
    <s v="O0087"/>
    <x v="81"/>
    <x v="81"/>
    <s v="C013"/>
    <s v="R019"/>
    <s v="D038"/>
    <n v="3"/>
    <n v="180"/>
    <s v="YES"/>
    <n v="90"/>
    <n v="60"/>
  </r>
  <r>
    <s v="O0088"/>
    <x v="64"/>
    <x v="64"/>
    <s v="C003"/>
    <s v="R012"/>
    <s v="D004"/>
    <n v="1"/>
    <n v="181"/>
    <s v="NO"/>
    <n v="181"/>
    <n v="138"/>
  </r>
  <r>
    <s v="O0089"/>
    <x v="82"/>
    <x v="82"/>
    <s v="C008"/>
    <s v="R021"/>
    <s v="D038"/>
    <n v="3"/>
    <n v="185"/>
    <s v="YES"/>
    <n v="92.5"/>
    <n v="67.5"/>
  </r>
  <r>
    <s v="O0090"/>
    <x v="83"/>
    <x v="83"/>
    <s v="C005"/>
    <s v="R004"/>
    <s v="D034"/>
    <n v="4"/>
    <n v="236"/>
    <s v="NO"/>
    <n v="236"/>
    <n v="656"/>
  </r>
  <r>
    <s v="O0091"/>
    <x v="84"/>
    <x v="84"/>
    <s v="C046"/>
    <s v="R011"/>
    <s v="D031"/>
    <n v="2"/>
    <n v="202"/>
    <s v="YES"/>
    <n v="101"/>
    <n v="24"/>
  </r>
  <r>
    <s v="O0092"/>
    <x v="85"/>
    <x v="85"/>
    <s v="C023"/>
    <s v="R047"/>
    <s v="D007"/>
    <n v="1"/>
    <n v="241"/>
    <s v="NO"/>
    <n v="241"/>
    <n v="174"/>
  </r>
  <r>
    <s v="O0093"/>
    <x v="86"/>
    <x v="86"/>
    <s v="C064"/>
    <s v="R033"/>
    <s v="D050"/>
    <n v="2"/>
    <n v="183"/>
    <s v="YES"/>
    <n v="91.5"/>
    <n v="21"/>
  </r>
  <r>
    <s v="O0094"/>
    <x v="87"/>
    <x v="87"/>
    <s v="C088"/>
    <s v="R005"/>
    <s v="D038"/>
    <n v="2"/>
    <n v="196"/>
    <s v="NO"/>
    <n v="196"/>
    <n v="252"/>
  </r>
  <r>
    <s v="O0095"/>
    <x v="88"/>
    <x v="88"/>
    <s v="C008"/>
    <s v="R071"/>
    <s v="D005"/>
    <n v="1"/>
    <n v="126"/>
    <s v="YES"/>
    <n v="63"/>
    <n v="-5"/>
  </r>
  <r>
    <s v="O0096"/>
    <x v="89"/>
    <x v="89"/>
    <s v="C052"/>
    <s v="R080"/>
    <s v="D046"/>
    <n v="4"/>
    <n v="206"/>
    <s v="NO"/>
    <n v="206"/>
    <n v="652"/>
  </r>
  <r>
    <s v="O0097"/>
    <x v="90"/>
    <x v="90"/>
    <s v="C036"/>
    <s v="R066"/>
    <s v="D013"/>
    <n v="1"/>
    <n v="198"/>
    <s v="NO"/>
    <n v="198"/>
    <n v="153"/>
  </r>
  <r>
    <s v="O0098"/>
    <x v="91"/>
    <x v="91"/>
    <s v="C035"/>
    <s v="R085"/>
    <s v="D009"/>
    <n v="2"/>
    <n v="218"/>
    <s v="YES"/>
    <n v="109"/>
    <n v="50"/>
  </r>
  <r>
    <s v="O0099"/>
    <x v="92"/>
    <x v="92"/>
    <s v="C064"/>
    <s v="R006"/>
    <s v="D044"/>
    <n v="4"/>
    <n v="193"/>
    <s v="YES"/>
    <n v="96.5"/>
    <n v="106"/>
  </r>
  <r>
    <s v="O0100"/>
    <x v="93"/>
    <x v="93"/>
    <s v="C048"/>
    <s v="R034"/>
    <s v="D006"/>
    <n v="3"/>
    <n v="240"/>
    <s v="NO"/>
    <n v="240"/>
    <n v="465"/>
  </r>
  <r>
    <s v="O0101"/>
    <x v="94"/>
    <x v="94"/>
    <s v="C013"/>
    <s v="R092"/>
    <s v="D011"/>
    <n v="5"/>
    <n v="107"/>
    <s v="YES"/>
    <n v="53.5"/>
    <n v="-17.5"/>
  </r>
  <r>
    <s v="O0102"/>
    <x v="95"/>
    <x v="95"/>
    <s v="C036"/>
    <s v="R029"/>
    <s v="D041"/>
    <n v="3"/>
    <n v="158"/>
    <s v="NO"/>
    <n v="158"/>
    <n v="309"/>
  </r>
  <r>
    <s v="O0103"/>
    <x v="96"/>
    <x v="96"/>
    <s v="C025"/>
    <s v="R054"/>
    <s v="D006"/>
    <n v="5"/>
    <n v="111"/>
    <s v="NO"/>
    <n v="111"/>
    <n v="130"/>
  </r>
  <r>
    <s v="O0104"/>
    <x v="97"/>
    <x v="97"/>
    <s v="C020"/>
    <s v="R010"/>
    <s v="D035"/>
    <n v="4"/>
    <n v="124"/>
    <s v="YES"/>
    <n v="62"/>
    <n v="-36"/>
  </r>
  <r>
    <s v="O0105"/>
    <x v="98"/>
    <x v="98"/>
    <s v="C025"/>
    <s v="R088"/>
    <s v="D005"/>
    <n v="3"/>
    <n v="181"/>
    <s v="NO"/>
    <n v="181"/>
    <n v="339"/>
  </r>
  <r>
    <s v="O0106"/>
    <x v="99"/>
    <x v="99"/>
    <s v="C055"/>
    <s v="R021"/>
    <s v="D027"/>
    <n v="5"/>
    <n v="182"/>
    <s v="NO"/>
    <n v="182"/>
    <n v="660"/>
  </r>
  <r>
    <s v="O0107"/>
    <x v="100"/>
    <x v="100"/>
    <s v="C062"/>
    <s v="R058"/>
    <s v="D030"/>
    <n v="3"/>
    <n v="124"/>
    <s v="YES"/>
    <n v="62"/>
    <n v="0"/>
  </r>
  <r>
    <s v="O0108"/>
    <x v="101"/>
    <x v="101"/>
    <s v="C071"/>
    <s v="R095"/>
    <s v="D025"/>
    <n v="4"/>
    <n v="177"/>
    <s v="YES"/>
    <n v="88.5"/>
    <n v="46"/>
  </r>
  <r>
    <s v="O0109"/>
    <x v="20"/>
    <x v="20"/>
    <s v="C041"/>
    <s v="R026"/>
    <s v="D047"/>
    <n v="3"/>
    <n v="112"/>
    <s v="NO"/>
    <n v="112"/>
    <n v="81"/>
  </r>
  <r>
    <s v="O0110"/>
    <x v="102"/>
    <x v="102"/>
    <s v="C014"/>
    <s v="R065"/>
    <s v="D022"/>
    <n v="4"/>
    <n v="233"/>
    <s v="YES"/>
    <n v="116.5"/>
    <n v="206"/>
  </r>
  <r>
    <s v="O0111"/>
    <x v="103"/>
    <x v="103"/>
    <s v="C003"/>
    <s v="R035"/>
    <s v="D009"/>
    <n v="3"/>
    <n v="182"/>
    <s v="NO"/>
    <n v="182"/>
    <n v="294"/>
  </r>
  <r>
    <s v="O0112"/>
    <x v="46"/>
    <x v="46"/>
    <s v="C095"/>
    <s v="R018"/>
    <s v="D029"/>
    <n v="3"/>
    <n v="171"/>
    <s v="YES"/>
    <n v="85.5"/>
    <n v="46.5"/>
  </r>
  <r>
    <s v="O0113"/>
    <x v="104"/>
    <x v="104"/>
    <s v="C099"/>
    <s v="R032"/>
    <s v="D030"/>
    <n v="2"/>
    <n v="154"/>
    <s v="YES"/>
    <n v="77"/>
    <n v="30"/>
  </r>
  <r>
    <s v="O0114"/>
    <x v="105"/>
    <x v="105"/>
    <s v="C061"/>
    <s v="R022"/>
    <s v="D024"/>
    <n v="5"/>
    <n v="228"/>
    <s v="NO"/>
    <n v="228"/>
    <n v="860"/>
  </r>
  <r>
    <s v="O0115"/>
    <x v="35"/>
    <x v="35"/>
    <s v="C050"/>
    <s v="R010"/>
    <s v="D027"/>
    <n v="2"/>
    <n v="131"/>
    <s v="YES"/>
    <n v="65.5"/>
    <n v="31"/>
  </r>
  <r>
    <s v="O0116"/>
    <x v="106"/>
    <x v="106"/>
    <s v="C013"/>
    <s v="R082"/>
    <s v="D043"/>
    <n v="5"/>
    <n v="235"/>
    <s v="YES"/>
    <n v="117.5"/>
    <n v="277.5"/>
  </r>
  <r>
    <s v="O0117"/>
    <x v="107"/>
    <x v="107"/>
    <s v="C088"/>
    <s v="R058"/>
    <s v="D041"/>
    <n v="2"/>
    <n v="250"/>
    <s v="NO"/>
    <n v="250"/>
    <n v="390"/>
  </r>
  <r>
    <s v="O0118"/>
    <x v="55"/>
    <x v="55"/>
    <s v="C055"/>
    <s v="R052"/>
    <s v="D006"/>
    <n v="1"/>
    <n v="242"/>
    <s v="NO"/>
    <n v="242"/>
    <n v="157"/>
  </r>
  <r>
    <s v="O0119"/>
    <x v="108"/>
    <x v="108"/>
    <s v="C096"/>
    <s v="R030"/>
    <s v="D041"/>
    <n v="5"/>
    <n v="148"/>
    <s v="NO"/>
    <n v="148"/>
    <n v="465"/>
  </r>
  <r>
    <s v="O0120"/>
    <x v="103"/>
    <x v="103"/>
    <s v="C045"/>
    <s v="R031"/>
    <s v="D028"/>
    <n v="4"/>
    <n v="240"/>
    <s v="YES"/>
    <n v="120"/>
    <n v="180"/>
  </r>
  <r>
    <s v="O0121"/>
    <x v="62"/>
    <x v="62"/>
    <s v="C081"/>
    <s v="R036"/>
    <s v="D044"/>
    <n v="4"/>
    <n v="109"/>
    <s v="YES"/>
    <n v="54.5"/>
    <n v="-62"/>
  </r>
  <r>
    <s v="O0122"/>
    <x v="109"/>
    <x v="109"/>
    <s v="C069"/>
    <s v="R089"/>
    <s v="D026"/>
    <n v="5"/>
    <n v="218"/>
    <s v="YES"/>
    <n v="109"/>
    <n v="340"/>
  </r>
  <r>
    <s v="O0123"/>
    <x v="23"/>
    <x v="23"/>
    <s v="C091"/>
    <s v="R042"/>
    <s v="D009"/>
    <n v="1"/>
    <n v="198"/>
    <s v="NO"/>
    <n v="198"/>
    <n v="114"/>
  </r>
  <r>
    <s v="O0124"/>
    <x v="110"/>
    <x v="110"/>
    <s v="C099"/>
    <s v="R099"/>
    <s v="D050"/>
    <n v="5"/>
    <n v="117"/>
    <s v="YES"/>
    <n v="58.5"/>
    <n v="-112.5"/>
  </r>
  <r>
    <s v="O0125"/>
    <x v="111"/>
    <x v="111"/>
    <s v="C024"/>
    <s v="R028"/>
    <s v="D014"/>
    <n v="1"/>
    <n v="131"/>
    <s v="YES"/>
    <n v="65.5"/>
    <n v="15.5"/>
  </r>
  <r>
    <s v="O0126"/>
    <x v="54"/>
    <x v="54"/>
    <s v="C093"/>
    <s v="R098"/>
    <s v="D029"/>
    <n v="5"/>
    <n v="230"/>
    <s v="YES"/>
    <n v="115"/>
    <n v="225"/>
  </r>
  <r>
    <s v="O0127"/>
    <x v="112"/>
    <x v="112"/>
    <s v="C050"/>
    <s v="R048"/>
    <s v="D012"/>
    <n v="3"/>
    <n v="114"/>
    <s v="YES"/>
    <n v="57"/>
    <n v="-48"/>
  </r>
  <r>
    <s v="O0128"/>
    <x v="72"/>
    <x v="72"/>
    <s v="C018"/>
    <s v="R100"/>
    <s v="D013"/>
    <n v="2"/>
    <n v="180"/>
    <s v="NO"/>
    <n v="180"/>
    <n v="270"/>
  </r>
  <r>
    <s v="O0129"/>
    <x v="113"/>
    <x v="113"/>
    <s v="C032"/>
    <s v="R025"/>
    <s v="D050"/>
    <n v="2"/>
    <n v="142"/>
    <s v="NO"/>
    <n v="142"/>
    <n v="122"/>
  </r>
  <r>
    <s v="O0130"/>
    <x v="114"/>
    <x v="114"/>
    <s v="C046"/>
    <s v="R053"/>
    <s v="D014"/>
    <n v="1"/>
    <n v="193"/>
    <s v="YES"/>
    <n v="96.5"/>
    <n v="46.5"/>
  </r>
  <r>
    <s v="O0131"/>
    <x v="115"/>
    <x v="115"/>
    <s v="C083"/>
    <s v="R055"/>
    <s v="D018"/>
    <n v="4"/>
    <n v="194"/>
    <s v="YES"/>
    <n v="97"/>
    <n v="88"/>
  </r>
  <r>
    <s v="O0132"/>
    <x v="116"/>
    <x v="116"/>
    <s v="C003"/>
    <s v="R065"/>
    <s v="D004"/>
    <n v="2"/>
    <n v="235"/>
    <s v="NO"/>
    <n v="235"/>
    <n v="384"/>
  </r>
  <r>
    <s v="O0133"/>
    <x v="117"/>
    <x v="117"/>
    <s v="C031"/>
    <s v="R083"/>
    <s v="D003"/>
    <n v="5"/>
    <n v="180"/>
    <s v="NO"/>
    <n v="180"/>
    <n v="480"/>
  </r>
  <r>
    <s v="O0134"/>
    <x v="41"/>
    <x v="41"/>
    <s v="C046"/>
    <s v="R055"/>
    <s v="D039"/>
    <n v="4"/>
    <n v="184"/>
    <s v="YES"/>
    <n v="92"/>
    <n v="188"/>
  </r>
  <r>
    <s v="O0135"/>
    <x v="118"/>
    <x v="118"/>
    <s v="C035"/>
    <s v="R084"/>
    <s v="D040"/>
    <n v="2"/>
    <n v="155"/>
    <s v="YES"/>
    <n v="77.5"/>
    <n v="-5"/>
  </r>
  <r>
    <s v="O0136"/>
    <x v="119"/>
    <x v="119"/>
    <s v="C019"/>
    <s v="R060"/>
    <s v="D043"/>
    <n v="5"/>
    <n v="146"/>
    <s v="NO"/>
    <n v="146"/>
    <n v="420"/>
  </r>
  <r>
    <s v="O0137"/>
    <x v="120"/>
    <x v="120"/>
    <s v="C007"/>
    <s v="R095"/>
    <s v="D020"/>
    <n v="5"/>
    <n v="250"/>
    <s v="YES"/>
    <n v="125"/>
    <n v="350"/>
  </r>
  <r>
    <s v="O0138"/>
    <x v="25"/>
    <x v="25"/>
    <s v="C034"/>
    <s v="R017"/>
    <s v="D015"/>
    <n v="1"/>
    <n v="248"/>
    <s v="NO"/>
    <n v="248"/>
    <n v="169"/>
  </r>
  <r>
    <s v="O0139"/>
    <x v="85"/>
    <x v="85"/>
    <s v="C087"/>
    <s v="R011"/>
    <s v="D014"/>
    <n v="1"/>
    <n v="132"/>
    <s v="NO"/>
    <n v="132"/>
    <n v="82"/>
  </r>
  <r>
    <s v="O0140"/>
    <x v="121"/>
    <x v="121"/>
    <s v="C078"/>
    <s v="R099"/>
    <s v="D011"/>
    <n v="5"/>
    <n v="108"/>
    <s v="NO"/>
    <n v="108"/>
    <n v="255"/>
  </r>
  <r>
    <s v="O0141"/>
    <x v="122"/>
    <x v="122"/>
    <s v="C038"/>
    <s v="R024"/>
    <s v="D027"/>
    <n v="1"/>
    <n v="209"/>
    <s v="YES"/>
    <n v="104.5"/>
    <n v="54.5"/>
  </r>
  <r>
    <s v="O0142"/>
    <x v="123"/>
    <x v="123"/>
    <s v="C079"/>
    <s v="R039"/>
    <s v="D018"/>
    <n v="1"/>
    <n v="236"/>
    <s v="NO"/>
    <n v="236"/>
    <n v="161"/>
  </r>
  <r>
    <s v="O0143"/>
    <x v="124"/>
    <x v="124"/>
    <s v="C041"/>
    <s v="R090"/>
    <s v="D048"/>
    <n v="5"/>
    <n v="112"/>
    <s v="NO"/>
    <n v="112"/>
    <n v="350"/>
  </r>
  <r>
    <s v="O0144"/>
    <x v="71"/>
    <x v="71"/>
    <s v="C055"/>
    <s v="R074"/>
    <s v="D017"/>
    <n v="5"/>
    <n v="162"/>
    <s v="NO"/>
    <n v="162"/>
    <n v="510"/>
  </r>
  <r>
    <s v="O0145"/>
    <x v="125"/>
    <x v="125"/>
    <s v="C021"/>
    <s v="R041"/>
    <s v="D032"/>
    <n v="1"/>
    <n v="100"/>
    <s v="NO"/>
    <n v="100"/>
    <n v="17"/>
  </r>
  <r>
    <s v="O0146"/>
    <x v="126"/>
    <x v="126"/>
    <s v="C094"/>
    <s v="R016"/>
    <s v="D022"/>
    <n v="4"/>
    <n v="232"/>
    <s v="NO"/>
    <n v="232"/>
    <n v="668"/>
  </r>
  <r>
    <s v="O0147"/>
    <x v="127"/>
    <x v="127"/>
    <s v="C049"/>
    <s v="R056"/>
    <s v="D001"/>
    <n v="2"/>
    <n v="117"/>
    <s v="YES"/>
    <n v="58.5"/>
    <n v="-11"/>
  </r>
  <r>
    <s v="O0148"/>
    <x v="128"/>
    <x v="128"/>
    <s v="C099"/>
    <s v="R056"/>
    <s v="D043"/>
    <n v="2"/>
    <n v="138"/>
    <s v="YES"/>
    <n v="69"/>
    <n v="14"/>
  </r>
  <r>
    <s v="O0149"/>
    <x v="51"/>
    <x v="51"/>
    <s v="C031"/>
    <s v="R033"/>
    <s v="D015"/>
    <n v="2"/>
    <n v="178"/>
    <s v="NO"/>
    <n v="178"/>
    <n v="198"/>
  </r>
  <r>
    <s v="O0150"/>
    <x v="129"/>
    <x v="129"/>
    <s v="C027"/>
    <s v="R007"/>
    <s v="D045"/>
    <n v="1"/>
    <n v="188"/>
    <s v="YES"/>
    <n v="94"/>
    <n v="30"/>
  </r>
  <r>
    <s v="O0151"/>
    <x v="119"/>
    <x v="119"/>
    <s v="C061"/>
    <s v="R029"/>
    <s v="D038"/>
    <n v="1"/>
    <n v="150"/>
    <s v="NO"/>
    <n v="150"/>
    <n v="80"/>
  </r>
  <r>
    <s v="O0152"/>
    <x v="51"/>
    <x v="51"/>
    <s v="C070"/>
    <s v="R067"/>
    <s v="D003"/>
    <n v="3"/>
    <n v="121"/>
    <s v="YES"/>
    <n v="60.5"/>
    <n v="-70.5"/>
  </r>
  <r>
    <s v="O0153"/>
    <x v="130"/>
    <x v="130"/>
    <s v="C045"/>
    <s v="R061"/>
    <s v="D024"/>
    <n v="3"/>
    <n v="162"/>
    <s v="YES"/>
    <n v="81"/>
    <n v="75"/>
  </r>
  <r>
    <s v="O0154"/>
    <x v="131"/>
    <x v="131"/>
    <s v="C013"/>
    <s v="R085"/>
    <s v="D019"/>
    <n v="5"/>
    <n v="169"/>
    <s v="YES"/>
    <n v="84.5"/>
    <n v="2.5"/>
  </r>
  <r>
    <s v="O0155"/>
    <x v="2"/>
    <x v="2"/>
    <s v="C012"/>
    <s v="R042"/>
    <s v="D025"/>
    <n v="5"/>
    <n v="219"/>
    <s v="NO"/>
    <n v="219"/>
    <n v="710"/>
  </r>
  <r>
    <s v="O0156"/>
    <x v="132"/>
    <x v="132"/>
    <s v="C008"/>
    <s v="R036"/>
    <s v="D004"/>
    <n v="5"/>
    <n v="133"/>
    <s v="YES"/>
    <n v="66.5"/>
    <n v="117.5"/>
  </r>
  <r>
    <s v="O0157"/>
    <x v="133"/>
    <x v="133"/>
    <s v="C081"/>
    <s v="R079"/>
    <s v="D031"/>
    <n v="4"/>
    <n v="240"/>
    <s v="YES"/>
    <n v="120"/>
    <n v="124"/>
  </r>
  <r>
    <s v="O0158"/>
    <x v="41"/>
    <x v="41"/>
    <s v="C045"/>
    <s v="R070"/>
    <s v="D047"/>
    <n v="2"/>
    <n v="203"/>
    <s v="YES"/>
    <n v="101.5"/>
    <n v="33"/>
  </r>
  <r>
    <s v="O0159"/>
    <x v="58"/>
    <x v="58"/>
    <s v="C095"/>
    <s v="R044"/>
    <s v="D040"/>
    <n v="5"/>
    <n v="236"/>
    <s v="YES"/>
    <n v="118"/>
    <n v="190"/>
  </r>
  <r>
    <s v="O0160"/>
    <x v="134"/>
    <x v="134"/>
    <s v="C030"/>
    <s v="R099"/>
    <s v="D031"/>
    <n v="3"/>
    <n v="154"/>
    <s v="NO"/>
    <n v="154"/>
    <n v="195"/>
  </r>
  <r>
    <s v="O0161"/>
    <x v="135"/>
    <x v="135"/>
    <s v="C042"/>
    <s v="R076"/>
    <s v="D022"/>
    <n v="2"/>
    <n v="213"/>
    <s v="YES"/>
    <n v="106.5"/>
    <n v="83"/>
  </r>
  <r>
    <s v="O0162"/>
    <x v="0"/>
    <x v="0"/>
    <s v="C058"/>
    <s v="R067"/>
    <s v="D025"/>
    <n v="3"/>
    <n v="136"/>
    <s v="YES"/>
    <n v="68"/>
    <n v="-27"/>
  </r>
  <r>
    <s v="O0163"/>
    <x v="136"/>
    <x v="136"/>
    <s v="C070"/>
    <s v="R079"/>
    <s v="D046"/>
    <n v="2"/>
    <n v="174"/>
    <s v="YES"/>
    <n v="87"/>
    <n v="88"/>
  </r>
  <r>
    <s v="O0164"/>
    <x v="54"/>
    <x v="54"/>
    <s v="C013"/>
    <s v="R026"/>
    <s v="D037"/>
    <n v="1"/>
    <n v="227"/>
    <s v="YES"/>
    <n v="113.5"/>
    <n v="59.5"/>
  </r>
  <r>
    <s v="O0165"/>
    <x v="65"/>
    <x v="65"/>
    <s v="C028"/>
    <s v="R065"/>
    <s v="D015"/>
    <n v="1"/>
    <n v="216"/>
    <s v="NO"/>
    <n v="216"/>
    <n v="137"/>
  </r>
  <r>
    <s v="O0166"/>
    <x v="137"/>
    <x v="137"/>
    <s v="C096"/>
    <s v="R093"/>
    <s v="D017"/>
    <n v="2"/>
    <n v="245"/>
    <s v="NO"/>
    <n v="245"/>
    <n v="370"/>
  </r>
  <r>
    <s v="O0167"/>
    <x v="116"/>
    <x v="116"/>
    <s v="C064"/>
    <s v="R064"/>
    <s v="D007"/>
    <n v="2"/>
    <n v="236"/>
    <s v="YES"/>
    <n v="118"/>
    <n v="102"/>
  </r>
  <r>
    <s v="O0168"/>
    <x v="59"/>
    <x v="59"/>
    <s v="C056"/>
    <s v="R092"/>
    <s v="D019"/>
    <n v="5"/>
    <n v="123"/>
    <s v="NO"/>
    <n v="123"/>
    <n v="195"/>
  </r>
  <r>
    <s v="O0169"/>
    <x v="138"/>
    <x v="138"/>
    <s v="C003"/>
    <s v="R033"/>
    <s v="D014"/>
    <n v="4"/>
    <n v="105"/>
    <s v="NO"/>
    <n v="105"/>
    <n v="220"/>
  </r>
  <r>
    <s v="O0170"/>
    <x v="16"/>
    <x v="16"/>
    <s v="C098"/>
    <s v="R016"/>
    <s v="D018"/>
    <n v="2"/>
    <n v="235"/>
    <s v="YES"/>
    <n v="117.5"/>
    <n v="85"/>
  </r>
  <r>
    <s v="O0171"/>
    <x v="104"/>
    <x v="104"/>
    <s v="C039"/>
    <s v="R006"/>
    <s v="D021"/>
    <n v="3"/>
    <n v="212"/>
    <s v="YES"/>
    <n v="106"/>
    <n v="129"/>
  </r>
  <r>
    <s v="O0172"/>
    <x v="139"/>
    <x v="139"/>
    <s v="C100"/>
    <s v="R048"/>
    <s v="D037"/>
    <n v="2"/>
    <n v="140"/>
    <s v="YES"/>
    <n v="70"/>
    <n v="32"/>
  </r>
  <r>
    <s v="O0173"/>
    <x v="140"/>
    <x v="140"/>
    <s v="C096"/>
    <s v="R025"/>
    <s v="D001"/>
    <n v="1"/>
    <n v="186"/>
    <s v="NO"/>
    <n v="186"/>
    <n v="122"/>
  </r>
  <r>
    <s v="O0174"/>
    <x v="141"/>
    <x v="141"/>
    <s v="C062"/>
    <s v="R052"/>
    <s v="D019"/>
    <n v="1"/>
    <n v="109"/>
    <s v="YES"/>
    <n v="54.5"/>
    <n v="-29.5"/>
  </r>
  <r>
    <s v="O0175"/>
    <x v="142"/>
    <x v="142"/>
    <s v="C088"/>
    <s v="R047"/>
    <s v="D049"/>
    <n v="2"/>
    <n v="197"/>
    <s v="NO"/>
    <n v="197"/>
    <n v="312"/>
  </r>
  <r>
    <s v="O0176"/>
    <x v="89"/>
    <x v="89"/>
    <s v="C038"/>
    <s v="R074"/>
    <s v="D006"/>
    <n v="5"/>
    <n v="193"/>
    <s v="YES"/>
    <n v="96.5"/>
    <n v="57.5"/>
  </r>
  <r>
    <s v="O0177"/>
    <x v="71"/>
    <x v="71"/>
    <s v="C059"/>
    <s v="R068"/>
    <s v="D012"/>
    <n v="4"/>
    <n v="164"/>
    <s v="YES"/>
    <n v="82"/>
    <n v="36"/>
  </r>
  <r>
    <s v="O0178"/>
    <x v="143"/>
    <x v="143"/>
    <s v="C043"/>
    <s v="R048"/>
    <s v="D007"/>
    <n v="2"/>
    <n v="129"/>
    <s v="YES"/>
    <n v="64.5"/>
    <n v="-5"/>
  </r>
  <r>
    <s v="O0179"/>
    <x v="144"/>
    <x v="144"/>
    <s v="C091"/>
    <s v="R057"/>
    <s v="D041"/>
    <n v="5"/>
    <n v="208"/>
    <s v="NO"/>
    <n v="208"/>
    <n v="765"/>
  </r>
  <r>
    <s v="O0180"/>
    <x v="145"/>
    <x v="145"/>
    <s v="C026"/>
    <s v="R056"/>
    <s v="D013"/>
    <n v="3"/>
    <n v="138"/>
    <s v="NO"/>
    <n v="138"/>
    <n v="279"/>
  </r>
  <r>
    <s v="O0181"/>
    <x v="146"/>
    <x v="146"/>
    <s v="C083"/>
    <s v="R047"/>
    <s v="D029"/>
    <n v="1"/>
    <n v="240"/>
    <s v="YES"/>
    <n v="120"/>
    <n v="50"/>
  </r>
  <r>
    <s v="O0182"/>
    <x v="41"/>
    <x v="41"/>
    <s v="C043"/>
    <s v="R049"/>
    <s v="D012"/>
    <n v="5"/>
    <n v="209"/>
    <s v="YES"/>
    <n v="104.5"/>
    <n v="157.5"/>
  </r>
  <r>
    <s v="O0183"/>
    <x v="147"/>
    <x v="147"/>
    <s v="C062"/>
    <s v="R064"/>
    <s v="D014"/>
    <n v="5"/>
    <n v="122"/>
    <s v="YES"/>
    <n v="61"/>
    <n v="55"/>
  </r>
  <r>
    <s v="O0184"/>
    <x v="148"/>
    <x v="148"/>
    <s v="C007"/>
    <s v="R040"/>
    <s v="D044"/>
    <n v="2"/>
    <n v="106"/>
    <s v="YES"/>
    <n v="53"/>
    <n v="-34"/>
  </r>
  <r>
    <s v="O0185"/>
    <x v="149"/>
    <x v="149"/>
    <s v="C027"/>
    <s v="R021"/>
    <s v="D006"/>
    <n v="5"/>
    <n v="219"/>
    <s v="YES"/>
    <n v="109.5"/>
    <n v="122.5"/>
  </r>
  <r>
    <s v="O0186"/>
    <x v="36"/>
    <x v="36"/>
    <s v="C060"/>
    <s v="R014"/>
    <s v="D012"/>
    <n v="3"/>
    <n v="130"/>
    <s v="NO"/>
    <n v="130"/>
    <n v="171"/>
  </r>
  <r>
    <s v="O0187"/>
    <x v="150"/>
    <x v="150"/>
    <s v="C050"/>
    <s v="R046"/>
    <s v="D001"/>
    <n v="4"/>
    <n v="171"/>
    <s v="YES"/>
    <n v="85.5"/>
    <n v="86"/>
  </r>
  <r>
    <s v="O0188"/>
    <x v="55"/>
    <x v="55"/>
    <s v="C032"/>
    <s v="R013"/>
    <s v="D018"/>
    <n v="5"/>
    <n v="233"/>
    <s v="NO"/>
    <n v="233"/>
    <n v="790"/>
  </r>
  <r>
    <s v="O0189"/>
    <x v="151"/>
    <x v="151"/>
    <s v="C040"/>
    <s v="R018"/>
    <s v="D042"/>
    <n v="3"/>
    <n v="171"/>
    <s v="NO"/>
    <n v="171"/>
    <n v="246"/>
  </r>
  <r>
    <s v="O0190"/>
    <x v="128"/>
    <x v="128"/>
    <s v="C044"/>
    <s v="R070"/>
    <s v="D037"/>
    <n v="3"/>
    <n v="137"/>
    <s v="NO"/>
    <n v="137"/>
    <n v="249"/>
  </r>
  <r>
    <s v="O0191"/>
    <x v="152"/>
    <x v="152"/>
    <s v="C059"/>
    <s v="R056"/>
    <s v="D014"/>
    <n v="1"/>
    <n v="227"/>
    <s v="YES"/>
    <n v="113.5"/>
    <n v="63.5"/>
  </r>
  <r>
    <s v="O0192"/>
    <x v="153"/>
    <x v="153"/>
    <s v="C068"/>
    <s v="R052"/>
    <s v="D025"/>
    <n v="2"/>
    <n v="146"/>
    <s v="NO"/>
    <n v="146"/>
    <n v="138"/>
  </r>
  <r>
    <s v="O0193"/>
    <x v="154"/>
    <x v="154"/>
    <s v="C029"/>
    <s v="R058"/>
    <s v="D014"/>
    <n v="2"/>
    <n v="189"/>
    <s v="NO"/>
    <n v="189"/>
    <n v="278"/>
  </r>
  <r>
    <s v="O0194"/>
    <x v="155"/>
    <x v="155"/>
    <s v="C097"/>
    <s v="R019"/>
    <s v="D022"/>
    <n v="3"/>
    <n v="240"/>
    <s v="NO"/>
    <n v="240"/>
    <n v="525"/>
  </r>
  <r>
    <s v="O0195"/>
    <x v="156"/>
    <x v="156"/>
    <s v="C089"/>
    <s v="R075"/>
    <s v="D037"/>
    <n v="5"/>
    <n v="127"/>
    <s v="NO"/>
    <n v="127"/>
    <n v="365"/>
  </r>
  <r>
    <s v="O0196"/>
    <x v="157"/>
    <x v="157"/>
    <s v="C016"/>
    <s v="R090"/>
    <s v="D031"/>
    <n v="5"/>
    <n v="215"/>
    <s v="YES"/>
    <n v="107.5"/>
    <n v="92.5"/>
  </r>
  <r>
    <s v="O0197"/>
    <x v="82"/>
    <x v="82"/>
    <s v="C072"/>
    <s v="R068"/>
    <s v="D022"/>
    <n v="3"/>
    <n v="224"/>
    <s v="NO"/>
    <n v="224"/>
    <n v="477"/>
  </r>
  <r>
    <s v="O0198"/>
    <x v="158"/>
    <x v="158"/>
    <s v="C037"/>
    <s v="R008"/>
    <s v="D035"/>
    <n v="5"/>
    <n v="135"/>
    <s v="YES"/>
    <n v="67.5"/>
    <n v="-17.5"/>
  </r>
  <r>
    <s v="O0199"/>
    <x v="4"/>
    <x v="4"/>
    <s v="C004"/>
    <s v="R015"/>
    <s v="D029"/>
    <n v="3"/>
    <n v="180"/>
    <s v="NO"/>
    <n v="180"/>
    <n v="330"/>
  </r>
  <r>
    <s v="O0200"/>
    <x v="118"/>
    <x v="118"/>
    <s v="C007"/>
    <s v="R082"/>
    <s v="D005"/>
    <n v="5"/>
    <n v="211"/>
    <s v="YES"/>
    <n v="105.5"/>
    <n v="187.5"/>
  </r>
  <r>
    <s v="O0201"/>
    <x v="159"/>
    <x v="159"/>
    <s v="C045"/>
    <s v="R084"/>
    <s v="D035"/>
    <n v="4"/>
    <n v="153"/>
    <s v="YES"/>
    <n v="76.5"/>
    <n v="22"/>
  </r>
  <r>
    <s v="O0202"/>
    <x v="101"/>
    <x v="101"/>
    <s v="C017"/>
    <s v="R070"/>
    <s v="D036"/>
    <n v="1"/>
    <n v="250"/>
    <s v="NO"/>
    <n v="250"/>
    <n v="188"/>
  </r>
  <r>
    <s v="O0203"/>
    <x v="160"/>
    <x v="160"/>
    <s v="C061"/>
    <s v="R033"/>
    <s v="D016"/>
    <n v="1"/>
    <n v="112"/>
    <s v="NO"/>
    <n v="112"/>
    <n v="43"/>
  </r>
  <r>
    <s v="O0204"/>
    <x v="161"/>
    <x v="161"/>
    <s v="C049"/>
    <s v="R026"/>
    <s v="D022"/>
    <n v="2"/>
    <n v="138"/>
    <s v="YES"/>
    <n v="69"/>
    <n v="8"/>
  </r>
  <r>
    <s v="O0205"/>
    <x v="162"/>
    <x v="162"/>
    <s v="C096"/>
    <s v="R035"/>
    <s v="D035"/>
    <n v="3"/>
    <n v="128"/>
    <s v="NO"/>
    <n v="128"/>
    <n v="171"/>
  </r>
  <r>
    <s v="O0206"/>
    <x v="163"/>
    <x v="163"/>
    <s v="C038"/>
    <s v="R041"/>
    <s v="D001"/>
    <n v="3"/>
    <n v="147"/>
    <s v="YES"/>
    <n v="73.5"/>
    <n v="28.5"/>
  </r>
  <r>
    <s v="O0207"/>
    <x v="164"/>
    <x v="164"/>
    <s v="C067"/>
    <s v="R080"/>
    <s v="D025"/>
    <n v="2"/>
    <n v="188"/>
    <s v="YES"/>
    <n v="94"/>
    <n v="34"/>
  </r>
  <r>
    <s v="O0208"/>
    <x v="165"/>
    <x v="165"/>
    <s v="C100"/>
    <s v="R055"/>
    <s v="D004"/>
    <n v="3"/>
    <n v="223"/>
    <s v="YES"/>
    <n v="111.5"/>
    <n v="205.5"/>
  </r>
  <r>
    <s v="O0209"/>
    <x v="166"/>
    <x v="166"/>
    <s v="C007"/>
    <s v="R060"/>
    <s v="D036"/>
    <n v="3"/>
    <n v="145"/>
    <s v="YES"/>
    <n v="72.5"/>
    <n v="31.5"/>
  </r>
  <r>
    <s v="O0210"/>
    <x v="28"/>
    <x v="28"/>
    <s v="C061"/>
    <s v="R017"/>
    <s v="D004"/>
    <n v="1"/>
    <n v="128"/>
    <s v="NO"/>
    <n v="128"/>
    <n v="85"/>
  </r>
  <r>
    <s v="O0211"/>
    <x v="14"/>
    <x v="14"/>
    <s v="C004"/>
    <s v="R011"/>
    <s v="D007"/>
    <n v="3"/>
    <n v="108"/>
    <s v="NO"/>
    <n v="108"/>
    <n v="123"/>
  </r>
  <r>
    <s v="O0212"/>
    <x v="167"/>
    <x v="167"/>
    <s v="C010"/>
    <s v="R068"/>
    <s v="D040"/>
    <n v="3"/>
    <n v="143"/>
    <s v="NO"/>
    <n v="143"/>
    <n v="189"/>
  </r>
  <r>
    <s v="O0213"/>
    <x v="168"/>
    <x v="168"/>
    <s v="C086"/>
    <s v="R044"/>
    <s v="D015"/>
    <n v="1"/>
    <n v="231"/>
    <s v="NO"/>
    <n v="231"/>
    <n v="152"/>
  </r>
  <r>
    <s v="O0214"/>
    <x v="169"/>
    <x v="169"/>
    <s v="C014"/>
    <s v="R012"/>
    <s v="D033"/>
    <n v="2"/>
    <n v="232"/>
    <s v="YES"/>
    <n v="116"/>
    <n v="138"/>
  </r>
  <r>
    <s v="O0215"/>
    <x v="10"/>
    <x v="10"/>
    <s v="C049"/>
    <s v="R061"/>
    <s v="D037"/>
    <n v="4"/>
    <n v="228"/>
    <s v="YES"/>
    <n v="114"/>
    <n v="240"/>
  </r>
  <r>
    <s v="O0216"/>
    <x v="0"/>
    <x v="0"/>
    <s v="C071"/>
    <s v="R080"/>
    <s v="D035"/>
    <n v="4"/>
    <n v="202"/>
    <s v="YES"/>
    <n v="101"/>
    <n v="120"/>
  </r>
  <r>
    <s v="O0217"/>
    <x v="112"/>
    <x v="112"/>
    <s v="C027"/>
    <s v="R097"/>
    <s v="D024"/>
    <n v="2"/>
    <n v="228"/>
    <s v="YES"/>
    <n v="114"/>
    <n v="116"/>
  </r>
  <r>
    <s v="O0218"/>
    <x v="170"/>
    <x v="170"/>
    <s v="C072"/>
    <s v="R099"/>
    <s v="D005"/>
    <n v="3"/>
    <n v="175"/>
    <s v="NO"/>
    <n v="175"/>
    <n v="321"/>
  </r>
  <r>
    <s v="O0219"/>
    <x v="82"/>
    <x v="82"/>
    <s v="C063"/>
    <s v="R084"/>
    <s v="D018"/>
    <n v="4"/>
    <n v="138"/>
    <s v="NO"/>
    <n v="138"/>
    <n v="252"/>
  </r>
  <r>
    <s v="O0220"/>
    <x v="171"/>
    <x v="171"/>
    <s v="C002"/>
    <s v="R095"/>
    <s v="D027"/>
    <n v="3"/>
    <n v="210"/>
    <s v="YES"/>
    <n v="105"/>
    <n v="165"/>
  </r>
  <r>
    <s v="O0221"/>
    <x v="90"/>
    <x v="90"/>
    <s v="C003"/>
    <s v="R002"/>
    <s v="D047"/>
    <n v="5"/>
    <n v="170"/>
    <s v="NO"/>
    <n v="170"/>
    <n v="425"/>
  </r>
  <r>
    <s v="O0222"/>
    <x v="172"/>
    <x v="172"/>
    <s v="C099"/>
    <s v="R015"/>
    <s v="D049"/>
    <n v="5"/>
    <n v="140"/>
    <s v="YES"/>
    <n v="70"/>
    <n v="145"/>
  </r>
  <r>
    <s v="O0223"/>
    <x v="173"/>
    <x v="173"/>
    <s v="C097"/>
    <s v="R066"/>
    <s v="D048"/>
    <n v="1"/>
    <n v="184"/>
    <s v="NO"/>
    <n v="184"/>
    <n v="142"/>
  </r>
  <r>
    <s v="O0224"/>
    <x v="174"/>
    <x v="174"/>
    <s v="C021"/>
    <s v="R069"/>
    <s v="D043"/>
    <n v="4"/>
    <n v="164"/>
    <s v="NO"/>
    <n v="164"/>
    <n v="408"/>
  </r>
  <r>
    <s v="O0225"/>
    <x v="175"/>
    <x v="175"/>
    <s v="C092"/>
    <s v="R083"/>
    <s v="D028"/>
    <n v="2"/>
    <n v="141"/>
    <s v="NO"/>
    <n v="141"/>
    <n v="132"/>
  </r>
  <r>
    <s v="O0226"/>
    <x v="159"/>
    <x v="159"/>
    <s v="C017"/>
    <s v="R066"/>
    <s v="D019"/>
    <n v="3"/>
    <n v="144"/>
    <s v="NO"/>
    <n v="144"/>
    <n v="180"/>
  </r>
  <r>
    <s v="O0227"/>
    <x v="79"/>
    <x v="79"/>
    <s v="C058"/>
    <s v="R070"/>
    <s v="D044"/>
    <n v="2"/>
    <n v="175"/>
    <s v="YES"/>
    <n v="87.5"/>
    <n v="35"/>
  </r>
  <r>
    <s v="O0228"/>
    <x v="176"/>
    <x v="176"/>
    <s v="C017"/>
    <s v="R064"/>
    <s v="D020"/>
    <n v="2"/>
    <n v="186"/>
    <s v="NO"/>
    <n v="186"/>
    <n v="262"/>
  </r>
  <r>
    <s v="O0229"/>
    <x v="177"/>
    <x v="177"/>
    <s v="C056"/>
    <s v="R092"/>
    <s v="D041"/>
    <n v="1"/>
    <n v="166"/>
    <s v="NO"/>
    <n v="166"/>
    <n v="111"/>
  </r>
  <r>
    <s v="O0230"/>
    <x v="75"/>
    <x v="75"/>
    <s v="C100"/>
    <s v="R036"/>
    <s v="D007"/>
    <n v="5"/>
    <n v="167"/>
    <s v="YES"/>
    <n v="83.5"/>
    <n v="82.5"/>
  </r>
  <r>
    <s v="O0231"/>
    <x v="178"/>
    <x v="178"/>
    <s v="C096"/>
    <s v="R068"/>
    <s v="D012"/>
    <n v="2"/>
    <n v="216"/>
    <s v="NO"/>
    <n v="216"/>
    <n v="286"/>
  </r>
  <r>
    <s v="O0232"/>
    <x v="179"/>
    <x v="179"/>
    <s v="C059"/>
    <s v="R081"/>
    <s v="D023"/>
    <n v="3"/>
    <n v="160"/>
    <s v="YES"/>
    <n v="80"/>
    <n v="117"/>
  </r>
  <r>
    <s v="O0233"/>
    <x v="180"/>
    <x v="180"/>
    <s v="C043"/>
    <s v="R075"/>
    <s v="D037"/>
    <n v="4"/>
    <n v="110"/>
    <s v="YES"/>
    <n v="55"/>
    <n v="4"/>
  </r>
  <r>
    <s v="O0234"/>
    <x v="16"/>
    <x v="16"/>
    <s v="C008"/>
    <s v="R060"/>
    <s v="D021"/>
    <n v="3"/>
    <n v="103"/>
    <s v="YES"/>
    <n v="51.5"/>
    <n v="-34.5"/>
  </r>
  <r>
    <s v="O0235"/>
    <x v="173"/>
    <x v="173"/>
    <s v="C092"/>
    <s v="R052"/>
    <s v="D038"/>
    <n v="1"/>
    <n v="207"/>
    <s v="NO"/>
    <n v="207"/>
    <n v="137"/>
  </r>
  <r>
    <s v="O0236"/>
    <x v="174"/>
    <x v="174"/>
    <s v="C048"/>
    <s v="R064"/>
    <s v="D017"/>
    <n v="5"/>
    <n v="145"/>
    <s v="NO"/>
    <n v="145"/>
    <n v="425"/>
  </r>
  <r>
    <s v="O0237"/>
    <x v="181"/>
    <x v="181"/>
    <s v="C061"/>
    <s v="R043"/>
    <s v="D011"/>
    <n v="1"/>
    <n v="179"/>
    <s v="NO"/>
    <n v="179"/>
    <n v="122"/>
  </r>
  <r>
    <s v="O0238"/>
    <x v="3"/>
    <x v="3"/>
    <s v="C090"/>
    <s v="R066"/>
    <s v="D019"/>
    <n v="4"/>
    <n v="243"/>
    <s v="NO"/>
    <n v="243"/>
    <n v="636"/>
  </r>
  <r>
    <s v="O0239"/>
    <x v="133"/>
    <x v="133"/>
    <s v="C093"/>
    <s v="R067"/>
    <s v="D049"/>
    <n v="3"/>
    <n v="242"/>
    <s v="YES"/>
    <n v="121"/>
    <n v="240"/>
  </r>
  <r>
    <s v="O0240"/>
    <x v="182"/>
    <x v="182"/>
    <s v="C042"/>
    <s v="R056"/>
    <s v="D022"/>
    <n v="3"/>
    <n v="238"/>
    <s v="YES"/>
    <n v="119"/>
    <n v="162"/>
  </r>
  <r>
    <s v="O0241"/>
    <x v="183"/>
    <x v="183"/>
    <s v="C068"/>
    <s v="R059"/>
    <s v="D011"/>
    <n v="4"/>
    <n v="196"/>
    <s v="NO"/>
    <n v="196"/>
    <n v="556"/>
  </r>
  <r>
    <s v="O0242"/>
    <x v="184"/>
    <x v="184"/>
    <s v="C061"/>
    <s v="R008"/>
    <s v="D035"/>
    <n v="3"/>
    <n v="204"/>
    <s v="NO"/>
    <n v="204"/>
    <n v="399"/>
  </r>
  <r>
    <s v="O0243"/>
    <x v="25"/>
    <x v="25"/>
    <s v="C042"/>
    <s v="R048"/>
    <s v="D047"/>
    <n v="1"/>
    <n v="224"/>
    <s v="YES"/>
    <n v="112"/>
    <n v="27"/>
  </r>
  <r>
    <s v="O0244"/>
    <x v="185"/>
    <x v="185"/>
    <s v="C030"/>
    <s v="R040"/>
    <s v="D013"/>
    <n v="5"/>
    <n v="232"/>
    <s v="NO"/>
    <n v="232"/>
    <n v="935"/>
  </r>
  <r>
    <s v="O0245"/>
    <x v="47"/>
    <x v="47"/>
    <s v="C092"/>
    <s v="R047"/>
    <s v="D048"/>
    <n v="5"/>
    <n v="141"/>
    <s v="NO"/>
    <n v="141"/>
    <n v="495"/>
  </r>
  <r>
    <s v="O0246"/>
    <x v="63"/>
    <x v="63"/>
    <s v="C021"/>
    <s v="R019"/>
    <s v="D038"/>
    <n v="2"/>
    <n v="179"/>
    <s v="NO"/>
    <n v="179"/>
    <n v="218"/>
  </r>
  <r>
    <s v="O0247"/>
    <x v="41"/>
    <x v="41"/>
    <s v="C058"/>
    <s v="R018"/>
    <s v="D032"/>
    <n v="2"/>
    <n v="156"/>
    <s v="YES"/>
    <n v="78"/>
    <n v="-10"/>
  </r>
  <r>
    <s v="O0248"/>
    <x v="186"/>
    <x v="186"/>
    <s v="C056"/>
    <s v="R053"/>
    <s v="D002"/>
    <n v="3"/>
    <n v="219"/>
    <s v="NO"/>
    <n v="219"/>
    <n v="453"/>
  </r>
  <r>
    <s v="O0249"/>
    <x v="151"/>
    <x v="151"/>
    <s v="C094"/>
    <s v="R059"/>
    <s v="D050"/>
    <n v="4"/>
    <n v="109"/>
    <s v="NO"/>
    <n v="109"/>
    <n v="112"/>
  </r>
  <r>
    <s v="O0250"/>
    <x v="187"/>
    <x v="187"/>
    <s v="C078"/>
    <s v="R071"/>
    <s v="D016"/>
    <n v="3"/>
    <n v="103"/>
    <s v="NO"/>
    <n v="103"/>
    <n v="102"/>
  </r>
  <r>
    <s v="O0251"/>
    <x v="188"/>
    <x v="188"/>
    <s v="C094"/>
    <s v="R007"/>
    <s v="D017"/>
    <n v="1"/>
    <n v="223"/>
    <s v="NO"/>
    <n v="223"/>
    <n v="163"/>
  </r>
  <r>
    <s v="O0252"/>
    <x v="189"/>
    <x v="189"/>
    <s v="C041"/>
    <s v="R063"/>
    <s v="D004"/>
    <n v="2"/>
    <n v="101"/>
    <s v="NO"/>
    <n v="101"/>
    <n v="116"/>
  </r>
  <r>
    <s v="O0253"/>
    <x v="190"/>
    <x v="190"/>
    <s v="C026"/>
    <s v="R062"/>
    <s v="D028"/>
    <n v="1"/>
    <n v="160"/>
    <s v="NO"/>
    <n v="160"/>
    <n v="85"/>
  </r>
  <r>
    <s v="O0254"/>
    <x v="152"/>
    <x v="152"/>
    <s v="C022"/>
    <s v="R047"/>
    <s v="D039"/>
    <n v="4"/>
    <n v="110"/>
    <s v="YES"/>
    <n v="55"/>
    <n v="40"/>
  </r>
  <r>
    <s v="O0255"/>
    <x v="191"/>
    <x v="191"/>
    <s v="C037"/>
    <s v="R059"/>
    <s v="D043"/>
    <n v="5"/>
    <n v="155"/>
    <s v="YES"/>
    <n v="77.5"/>
    <n v="77.5"/>
  </r>
  <r>
    <s v="O0256"/>
    <x v="192"/>
    <x v="192"/>
    <s v="C096"/>
    <s v="R027"/>
    <s v="D040"/>
    <n v="3"/>
    <n v="236"/>
    <s v="NO"/>
    <n v="236"/>
    <n v="468"/>
  </r>
  <r>
    <s v="O0257"/>
    <x v="193"/>
    <x v="193"/>
    <s v="C045"/>
    <s v="R052"/>
    <s v="D006"/>
    <n v="1"/>
    <n v="186"/>
    <s v="YES"/>
    <n v="93"/>
    <n v="8"/>
  </r>
  <r>
    <s v="O0258"/>
    <x v="50"/>
    <x v="50"/>
    <s v="C093"/>
    <s v="R097"/>
    <s v="D024"/>
    <n v="4"/>
    <n v="153"/>
    <s v="YES"/>
    <n v="76.5"/>
    <n v="82"/>
  </r>
  <r>
    <s v="O0259"/>
    <x v="194"/>
    <x v="194"/>
    <s v="C093"/>
    <s v="R080"/>
    <s v="D012"/>
    <n v="2"/>
    <n v="185"/>
    <s v="YES"/>
    <n v="92.5"/>
    <n v="39"/>
  </r>
  <r>
    <s v="O0260"/>
    <x v="146"/>
    <x v="146"/>
    <s v="C038"/>
    <s v="R061"/>
    <s v="D048"/>
    <n v="5"/>
    <n v="110"/>
    <s v="YES"/>
    <n v="55"/>
    <n v="65"/>
  </r>
  <r>
    <s v="O0261"/>
    <x v="195"/>
    <x v="195"/>
    <s v="C070"/>
    <s v="R096"/>
    <s v="D003"/>
    <n v="5"/>
    <n v="164"/>
    <s v="YES"/>
    <n v="82"/>
    <n v="-10"/>
  </r>
  <r>
    <s v="O0262"/>
    <x v="128"/>
    <x v="128"/>
    <s v="C070"/>
    <s v="R016"/>
    <s v="D028"/>
    <n v="5"/>
    <n v="232"/>
    <s v="YES"/>
    <n v="116"/>
    <n v="205"/>
  </r>
  <r>
    <s v="O0263"/>
    <x v="192"/>
    <x v="192"/>
    <s v="C032"/>
    <s v="R003"/>
    <s v="D025"/>
    <n v="3"/>
    <n v="227"/>
    <s v="NO"/>
    <n v="227"/>
    <n v="450"/>
  </r>
  <r>
    <s v="O0264"/>
    <x v="196"/>
    <x v="196"/>
    <s v="C021"/>
    <s v="R001"/>
    <s v="D049"/>
    <n v="3"/>
    <n v="248"/>
    <s v="NO"/>
    <n v="248"/>
    <n v="621"/>
  </r>
  <r>
    <s v="O0265"/>
    <x v="112"/>
    <x v="112"/>
    <s v="C062"/>
    <s v="R062"/>
    <s v="D024"/>
    <n v="2"/>
    <n v="136"/>
    <s v="YES"/>
    <n v="68"/>
    <n v="24"/>
  </r>
  <r>
    <s v="O0266"/>
    <x v="44"/>
    <x v="44"/>
    <s v="C018"/>
    <s v="R082"/>
    <s v="D049"/>
    <n v="5"/>
    <n v="181"/>
    <s v="NO"/>
    <n v="181"/>
    <n v="700"/>
  </r>
  <r>
    <s v="O0267"/>
    <x v="140"/>
    <x v="140"/>
    <s v="C098"/>
    <s v="R047"/>
    <s v="D033"/>
    <n v="4"/>
    <n v="128"/>
    <s v="YES"/>
    <n v="64"/>
    <n v="68"/>
  </r>
  <r>
    <s v="O0268"/>
    <x v="197"/>
    <x v="197"/>
    <s v="C065"/>
    <s v="R045"/>
    <s v="D031"/>
    <n v="5"/>
    <n v="145"/>
    <s v="NO"/>
    <n v="145"/>
    <n v="280"/>
  </r>
  <r>
    <s v="O0269"/>
    <x v="24"/>
    <x v="24"/>
    <s v="C077"/>
    <s v="R014"/>
    <s v="D039"/>
    <n v="5"/>
    <n v="196"/>
    <s v="NO"/>
    <n v="196"/>
    <n v="755"/>
  </r>
  <r>
    <s v="O0270"/>
    <x v="171"/>
    <x v="171"/>
    <s v="C097"/>
    <s v="R007"/>
    <s v="D005"/>
    <n v="4"/>
    <n v="182"/>
    <s v="NO"/>
    <n v="182"/>
    <n v="456"/>
  </r>
  <r>
    <s v="O0271"/>
    <x v="198"/>
    <x v="198"/>
    <s v="C066"/>
    <s v="R042"/>
    <s v="D032"/>
    <n v="3"/>
    <n v="187"/>
    <s v="YES"/>
    <n v="93.5"/>
    <n v="31.5"/>
  </r>
  <r>
    <s v="O0272"/>
    <x v="199"/>
    <x v="199"/>
    <s v="C056"/>
    <s v="R063"/>
    <s v="D048"/>
    <n v="5"/>
    <n v="185"/>
    <s v="NO"/>
    <n v="185"/>
    <n v="715"/>
  </r>
  <r>
    <s v="O0273"/>
    <x v="200"/>
    <x v="200"/>
    <s v="C007"/>
    <s v="R059"/>
    <s v="D037"/>
    <n v="4"/>
    <n v="185"/>
    <s v="YES"/>
    <n v="92.5"/>
    <n v="154"/>
  </r>
  <r>
    <s v="O0274"/>
    <x v="198"/>
    <x v="198"/>
    <s v="C051"/>
    <s v="R022"/>
    <s v="D020"/>
    <n v="5"/>
    <n v="218"/>
    <s v="YES"/>
    <n v="109"/>
    <n v="270"/>
  </r>
  <r>
    <s v="O0275"/>
    <x v="7"/>
    <x v="7"/>
    <s v="C065"/>
    <s v="R023"/>
    <s v="D045"/>
    <n v="5"/>
    <n v="195"/>
    <s v="NO"/>
    <n v="195"/>
    <n v="655"/>
  </r>
  <r>
    <s v="O0276"/>
    <x v="201"/>
    <x v="201"/>
    <s v="C068"/>
    <s v="R001"/>
    <s v="D026"/>
    <n v="1"/>
    <n v="244"/>
    <s v="NO"/>
    <n v="244"/>
    <n v="203"/>
  </r>
  <r>
    <s v="O0277"/>
    <x v="202"/>
    <x v="202"/>
    <s v="C065"/>
    <s v="R026"/>
    <s v="D041"/>
    <n v="3"/>
    <n v="247"/>
    <s v="NO"/>
    <n v="247"/>
    <n v="576"/>
  </r>
  <r>
    <s v="O0278"/>
    <x v="118"/>
    <x v="118"/>
    <s v="C046"/>
    <s v="R032"/>
    <s v="D014"/>
    <n v="2"/>
    <n v="115"/>
    <s v="YES"/>
    <n v="57.5"/>
    <n v="15"/>
  </r>
  <r>
    <s v="O0279"/>
    <x v="203"/>
    <x v="203"/>
    <s v="C095"/>
    <s v="R042"/>
    <s v="D033"/>
    <n v="1"/>
    <n v="240"/>
    <s v="YES"/>
    <n v="120"/>
    <n v="73"/>
  </r>
  <r>
    <s v="O0280"/>
    <x v="127"/>
    <x v="127"/>
    <s v="C006"/>
    <s v="R052"/>
    <s v="D045"/>
    <n v="5"/>
    <n v="215"/>
    <s v="YES"/>
    <n v="107.5"/>
    <n v="217.5"/>
  </r>
  <r>
    <s v="O0281"/>
    <x v="204"/>
    <x v="204"/>
    <s v="C057"/>
    <s v="R020"/>
    <s v="D028"/>
    <n v="4"/>
    <n v="220"/>
    <s v="YES"/>
    <n v="110"/>
    <n v="140"/>
  </r>
  <r>
    <s v="O0282"/>
    <x v="9"/>
    <x v="9"/>
    <s v="C100"/>
    <s v="R057"/>
    <s v="D013"/>
    <n v="5"/>
    <n v="168"/>
    <s v="YES"/>
    <n v="84"/>
    <n v="195"/>
  </r>
  <r>
    <s v="O0283"/>
    <x v="205"/>
    <x v="205"/>
    <s v="C049"/>
    <s v="R027"/>
    <s v="D020"/>
    <n v="2"/>
    <n v="115"/>
    <s v="YES"/>
    <n v="57.5"/>
    <n v="5"/>
  </r>
  <r>
    <s v="O0284"/>
    <x v="99"/>
    <x v="99"/>
    <s v="C048"/>
    <s v="R069"/>
    <s v="D009"/>
    <n v="4"/>
    <n v="127"/>
    <s v="NO"/>
    <n v="127"/>
    <n v="172"/>
  </r>
  <r>
    <s v="O0285"/>
    <x v="103"/>
    <x v="103"/>
    <s v="C095"/>
    <s v="R066"/>
    <s v="D029"/>
    <n v="5"/>
    <n v="192"/>
    <s v="YES"/>
    <n v="96"/>
    <n v="130"/>
  </r>
  <r>
    <s v="O0286"/>
    <x v="206"/>
    <x v="206"/>
    <s v="C015"/>
    <s v="R087"/>
    <s v="D014"/>
    <n v="2"/>
    <n v="244"/>
    <s v="YES"/>
    <n v="122"/>
    <n v="144"/>
  </r>
  <r>
    <s v="O0287"/>
    <x v="5"/>
    <x v="5"/>
    <s v="C043"/>
    <s v="R072"/>
    <s v="D016"/>
    <n v="2"/>
    <n v="207"/>
    <s v="YES"/>
    <n v="103.5"/>
    <n v="69"/>
  </r>
  <r>
    <s v="O0288"/>
    <x v="134"/>
    <x v="134"/>
    <s v="C034"/>
    <s v="R016"/>
    <s v="D021"/>
    <n v="1"/>
    <n v="176"/>
    <s v="NO"/>
    <n v="176"/>
    <n v="113"/>
  </r>
  <r>
    <s v="O0289"/>
    <x v="207"/>
    <x v="207"/>
    <s v="C015"/>
    <s v="R019"/>
    <s v="D007"/>
    <n v="2"/>
    <n v="172"/>
    <s v="YES"/>
    <n v="86"/>
    <n v="38"/>
  </r>
  <r>
    <s v="O0290"/>
    <x v="69"/>
    <x v="69"/>
    <s v="C063"/>
    <s v="R034"/>
    <s v="D021"/>
    <n v="3"/>
    <n v="125"/>
    <s v="NO"/>
    <n v="125"/>
    <n v="186"/>
  </r>
  <r>
    <s v="O0291"/>
    <x v="208"/>
    <x v="208"/>
    <s v="C063"/>
    <s v="R095"/>
    <s v="D039"/>
    <n v="2"/>
    <n v="169"/>
    <s v="NO"/>
    <n v="169"/>
    <n v="248"/>
  </r>
  <r>
    <s v="O0292"/>
    <x v="148"/>
    <x v="148"/>
    <s v="C016"/>
    <s v="R089"/>
    <s v="D008"/>
    <n v="1"/>
    <n v="157"/>
    <s v="YES"/>
    <n v="78.5"/>
    <n v="4.5"/>
  </r>
  <r>
    <s v="O0293"/>
    <x v="152"/>
    <x v="152"/>
    <s v="C010"/>
    <s v="R005"/>
    <s v="D028"/>
    <n v="1"/>
    <n v="145"/>
    <s v="NO"/>
    <n v="145"/>
    <n v="70"/>
  </r>
  <r>
    <s v="O0294"/>
    <x v="209"/>
    <x v="209"/>
    <s v="C100"/>
    <s v="R012"/>
    <s v="D011"/>
    <n v="1"/>
    <n v="221"/>
    <s v="YES"/>
    <n v="110.5"/>
    <n v="53.5"/>
  </r>
  <r>
    <s v="O0295"/>
    <x v="160"/>
    <x v="160"/>
    <s v="C084"/>
    <s v="R014"/>
    <s v="D001"/>
    <n v="4"/>
    <n v="228"/>
    <s v="YES"/>
    <n v="114"/>
    <n v="200"/>
  </r>
  <r>
    <s v="O0296"/>
    <x v="24"/>
    <x v="24"/>
    <s v="C057"/>
    <s v="R078"/>
    <s v="D039"/>
    <n v="2"/>
    <n v="206"/>
    <s v="YES"/>
    <n v="103"/>
    <n v="116"/>
  </r>
  <r>
    <s v="O0297"/>
    <x v="210"/>
    <x v="210"/>
    <s v="C010"/>
    <s v="R031"/>
    <s v="D039"/>
    <n v="2"/>
    <n v="221"/>
    <s v="NO"/>
    <n v="221"/>
    <n v="352"/>
  </r>
  <r>
    <s v="O0298"/>
    <x v="211"/>
    <x v="211"/>
    <s v="C039"/>
    <s v="R079"/>
    <s v="D047"/>
    <n v="2"/>
    <n v="149"/>
    <s v="YES"/>
    <n v="74.5"/>
    <n v="-21"/>
  </r>
  <r>
    <s v="O0299"/>
    <x v="212"/>
    <x v="212"/>
    <s v="C073"/>
    <s v="R032"/>
    <s v="D042"/>
    <n v="3"/>
    <n v="110"/>
    <s v="YES"/>
    <n v="55"/>
    <n v="-102"/>
  </r>
  <r>
    <s v="O0300"/>
    <x v="213"/>
    <x v="213"/>
    <s v="C076"/>
    <s v="R032"/>
    <s v="D042"/>
    <n v="2"/>
    <n v="224"/>
    <s v="YES"/>
    <n v="112"/>
    <n v="46"/>
  </r>
  <r>
    <s v="O0301"/>
    <x v="214"/>
    <x v="214"/>
    <s v="C037"/>
    <s v="R068"/>
    <s v="D035"/>
    <n v="5"/>
    <n v="189"/>
    <s v="YES"/>
    <n v="94.5"/>
    <n v="117.5"/>
  </r>
  <r>
    <s v="O0302"/>
    <x v="215"/>
    <x v="215"/>
    <s v="C093"/>
    <s v="R035"/>
    <s v="D027"/>
    <n v="2"/>
    <n v="237"/>
    <s v="YES"/>
    <n v="118.5"/>
    <n v="137"/>
  </r>
  <r>
    <s v="O0303"/>
    <x v="160"/>
    <x v="160"/>
    <s v="C011"/>
    <s v="R042"/>
    <s v="D017"/>
    <n v="4"/>
    <n v="180"/>
    <s v="NO"/>
    <n v="180"/>
    <n v="480"/>
  </r>
  <r>
    <s v="O0304"/>
    <x v="216"/>
    <x v="216"/>
    <s v="C036"/>
    <s v="R066"/>
    <s v="D015"/>
    <n v="3"/>
    <n v="162"/>
    <s v="NO"/>
    <n v="162"/>
    <n v="249"/>
  </r>
  <r>
    <s v="O0305"/>
    <x v="217"/>
    <x v="217"/>
    <s v="C010"/>
    <s v="R068"/>
    <s v="D044"/>
    <n v="4"/>
    <n v="138"/>
    <s v="NO"/>
    <n v="138"/>
    <n v="272"/>
  </r>
  <r>
    <s v="O0306"/>
    <x v="218"/>
    <x v="218"/>
    <s v="C002"/>
    <s v="R035"/>
    <s v="D042"/>
    <n v="3"/>
    <n v="174"/>
    <s v="YES"/>
    <n v="87"/>
    <n v="-6"/>
  </r>
  <r>
    <s v="O0307"/>
    <x v="219"/>
    <x v="219"/>
    <s v="C088"/>
    <s v="R097"/>
    <s v="D047"/>
    <n v="3"/>
    <n v="119"/>
    <s v="NO"/>
    <n v="119"/>
    <n v="102"/>
  </r>
  <r>
    <s v="O0308"/>
    <x v="220"/>
    <x v="220"/>
    <s v="C094"/>
    <s v="R061"/>
    <s v="D046"/>
    <n v="5"/>
    <n v="111"/>
    <s v="NO"/>
    <n v="111"/>
    <n v="340"/>
  </r>
  <r>
    <s v="O0309"/>
    <x v="221"/>
    <x v="221"/>
    <s v="C037"/>
    <s v="R041"/>
    <s v="D045"/>
    <n v="2"/>
    <n v="147"/>
    <s v="YES"/>
    <n v="73.5"/>
    <n v="19"/>
  </r>
  <r>
    <s v="O0310"/>
    <x v="65"/>
    <x v="65"/>
    <s v="C032"/>
    <s v="R036"/>
    <s v="D048"/>
    <n v="4"/>
    <n v="156"/>
    <s v="NO"/>
    <n v="156"/>
    <n v="456"/>
  </r>
  <r>
    <s v="O0311"/>
    <x v="222"/>
    <x v="222"/>
    <s v="C011"/>
    <s v="R003"/>
    <s v="D001"/>
    <n v="1"/>
    <n v="225"/>
    <s v="NO"/>
    <n v="225"/>
    <n v="161"/>
  </r>
  <r>
    <s v="O0312"/>
    <x v="127"/>
    <x v="127"/>
    <s v="C071"/>
    <s v="R010"/>
    <s v="D040"/>
    <n v="2"/>
    <n v="213"/>
    <s v="YES"/>
    <n v="106.5"/>
    <n v="53"/>
  </r>
  <r>
    <s v="O0313"/>
    <x v="223"/>
    <x v="223"/>
    <s v="C090"/>
    <s v="R066"/>
    <s v="D007"/>
    <n v="1"/>
    <n v="247"/>
    <s v="NO"/>
    <n v="247"/>
    <n v="180"/>
  </r>
  <r>
    <s v="O0314"/>
    <x v="224"/>
    <x v="224"/>
    <s v="C065"/>
    <s v="R097"/>
    <s v="D020"/>
    <n v="2"/>
    <n v="245"/>
    <s v="NO"/>
    <n v="245"/>
    <n v="380"/>
  </r>
  <r>
    <s v="O0315"/>
    <x v="51"/>
    <x v="51"/>
    <s v="C057"/>
    <s v="R055"/>
    <s v="D020"/>
    <n v="2"/>
    <n v="130"/>
    <s v="YES"/>
    <n v="65"/>
    <n v="20"/>
  </r>
  <r>
    <s v="O0316"/>
    <x v="147"/>
    <x v="147"/>
    <s v="C027"/>
    <s v="R082"/>
    <s v="D028"/>
    <n v="1"/>
    <n v="200"/>
    <s v="YES"/>
    <n v="100"/>
    <n v="25"/>
  </r>
  <r>
    <s v="O0317"/>
    <x v="225"/>
    <x v="225"/>
    <s v="C035"/>
    <s v="R068"/>
    <s v="D028"/>
    <n v="3"/>
    <n v="244"/>
    <s v="YES"/>
    <n v="122"/>
    <n v="141"/>
  </r>
  <r>
    <s v="O0318"/>
    <x v="226"/>
    <x v="226"/>
    <s v="C057"/>
    <s v="R067"/>
    <s v="D042"/>
    <n v="5"/>
    <n v="246"/>
    <s v="YES"/>
    <n v="123"/>
    <n v="170"/>
  </r>
  <r>
    <s v="O0319"/>
    <x v="149"/>
    <x v="149"/>
    <s v="C004"/>
    <s v="R073"/>
    <s v="D039"/>
    <n v="4"/>
    <n v="119"/>
    <s v="NO"/>
    <n v="119"/>
    <n v="296"/>
  </r>
  <r>
    <s v="O0320"/>
    <x v="13"/>
    <x v="13"/>
    <s v="C030"/>
    <s v="R075"/>
    <s v="D029"/>
    <n v="4"/>
    <n v="121"/>
    <s v="NO"/>
    <n v="121"/>
    <n v="204"/>
  </r>
  <r>
    <s v="O0321"/>
    <x v="113"/>
    <x v="113"/>
    <s v="C079"/>
    <s v="R033"/>
    <s v="D029"/>
    <n v="3"/>
    <n v="155"/>
    <s v="NO"/>
    <n v="155"/>
    <n v="255"/>
  </r>
  <r>
    <s v="O0322"/>
    <x v="227"/>
    <x v="227"/>
    <s v="C014"/>
    <s v="R082"/>
    <s v="D032"/>
    <n v="2"/>
    <n v="250"/>
    <s v="YES"/>
    <n v="125"/>
    <n v="84"/>
  </r>
  <r>
    <s v="O0323"/>
    <x v="60"/>
    <x v="60"/>
    <s v="C065"/>
    <s v="R031"/>
    <s v="D014"/>
    <n v="5"/>
    <n v="224"/>
    <s v="NO"/>
    <n v="224"/>
    <n v="870"/>
  </r>
  <r>
    <s v="O0324"/>
    <x v="228"/>
    <x v="228"/>
    <s v="C086"/>
    <s v="R013"/>
    <s v="D020"/>
    <n v="2"/>
    <n v="203"/>
    <s v="NO"/>
    <n v="203"/>
    <n v="296"/>
  </r>
  <r>
    <s v="O0325"/>
    <x v="64"/>
    <x v="64"/>
    <s v="C093"/>
    <s v="R100"/>
    <s v="D035"/>
    <n v="3"/>
    <n v="159"/>
    <s v="YES"/>
    <n v="79.5"/>
    <n v="25.5"/>
  </r>
  <r>
    <s v="O0326"/>
    <x v="165"/>
    <x v="165"/>
    <s v="C100"/>
    <s v="R053"/>
    <s v="D044"/>
    <n v="5"/>
    <n v="139"/>
    <s v="YES"/>
    <n v="69.5"/>
    <n v="-2.5"/>
  </r>
  <r>
    <s v="O0327"/>
    <x v="83"/>
    <x v="83"/>
    <s v="C026"/>
    <s v="R021"/>
    <s v="D038"/>
    <n v="4"/>
    <n v="177"/>
    <s v="NO"/>
    <n v="177"/>
    <n v="428"/>
  </r>
  <r>
    <s v="O0328"/>
    <x v="106"/>
    <x v="106"/>
    <s v="C091"/>
    <s v="R036"/>
    <s v="D035"/>
    <n v="4"/>
    <n v="224"/>
    <s v="NO"/>
    <n v="224"/>
    <n v="612"/>
  </r>
  <r>
    <s v="O0329"/>
    <x v="229"/>
    <x v="229"/>
    <s v="C030"/>
    <s v="R082"/>
    <s v="D032"/>
    <n v="5"/>
    <n v="138"/>
    <s v="NO"/>
    <n v="138"/>
    <n v="275"/>
  </r>
  <r>
    <s v="O0330"/>
    <x v="230"/>
    <x v="230"/>
    <s v="C035"/>
    <s v="R089"/>
    <s v="D004"/>
    <n v="2"/>
    <n v="229"/>
    <s v="YES"/>
    <n v="114.5"/>
    <n v="143"/>
  </r>
  <r>
    <s v="O0331"/>
    <x v="220"/>
    <x v="220"/>
    <s v="C093"/>
    <s v="R015"/>
    <s v="D041"/>
    <n v="4"/>
    <n v="102"/>
    <s v="YES"/>
    <n v="51"/>
    <n v="-16"/>
  </r>
  <r>
    <s v="O0332"/>
    <x v="231"/>
    <x v="231"/>
    <s v="C027"/>
    <s v="R093"/>
    <s v="D008"/>
    <n v="5"/>
    <n v="222"/>
    <s v="YES"/>
    <n v="111"/>
    <n v="185"/>
  </r>
  <r>
    <s v="O0333"/>
    <x v="232"/>
    <x v="232"/>
    <s v="C036"/>
    <s v="R086"/>
    <s v="D027"/>
    <n v="3"/>
    <n v="229"/>
    <s v="NO"/>
    <n v="229"/>
    <n v="537"/>
  </r>
  <r>
    <s v="O0334"/>
    <x v="121"/>
    <x v="121"/>
    <s v="C040"/>
    <s v="R026"/>
    <s v="D037"/>
    <n v="2"/>
    <n v="246"/>
    <s v="NO"/>
    <n v="246"/>
    <n v="384"/>
  </r>
  <r>
    <s v="O0335"/>
    <x v="30"/>
    <x v="30"/>
    <s v="C018"/>
    <s v="R092"/>
    <s v="D005"/>
    <n v="5"/>
    <n v="145"/>
    <s v="NO"/>
    <n v="145"/>
    <n v="385"/>
  </r>
  <r>
    <s v="O0336"/>
    <x v="233"/>
    <x v="233"/>
    <s v="C052"/>
    <s v="R043"/>
    <s v="D014"/>
    <n v="5"/>
    <n v="222"/>
    <s v="NO"/>
    <n v="222"/>
    <n v="860"/>
  </r>
  <r>
    <s v="O0337"/>
    <x v="234"/>
    <x v="234"/>
    <s v="C082"/>
    <s v="R001"/>
    <s v="D019"/>
    <n v="4"/>
    <n v="149"/>
    <s v="YES"/>
    <n v="74.5"/>
    <n v="-38"/>
  </r>
  <r>
    <s v="O0338"/>
    <x v="209"/>
    <x v="209"/>
    <s v="C029"/>
    <s v="R096"/>
    <s v="D003"/>
    <n v="5"/>
    <n v="175"/>
    <s v="NO"/>
    <n v="175"/>
    <n v="455"/>
  </r>
  <r>
    <s v="O0339"/>
    <x v="235"/>
    <x v="235"/>
    <s v="C098"/>
    <s v="R015"/>
    <s v="D035"/>
    <n v="2"/>
    <n v="116"/>
    <s v="YES"/>
    <n v="58"/>
    <n v="-26"/>
  </r>
  <r>
    <s v="O0340"/>
    <x v="156"/>
    <x v="156"/>
    <s v="C007"/>
    <s v="R001"/>
    <s v="D021"/>
    <n v="1"/>
    <n v="138"/>
    <s v="YES"/>
    <n v="69"/>
    <n v="6"/>
  </r>
  <r>
    <s v="O0341"/>
    <x v="45"/>
    <x v="45"/>
    <s v="C023"/>
    <s v="R061"/>
    <s v="D040"/>
    <n v="3"/>
    <n v="186"/>
    <s v="NO"/>
    <n v="186"/>
    <n v="318"/>
  </r>
  <r>
    <s v="O0342"/>
    <x v="236"/>
    <x v="236"/>
    <s v="C030"/>
    <s v="R035"/>
    <s v="D005"/>
    <n v="1"/>
    <n v="143"/>
    <s v="NO"/>
    <n v="143"/>
    <n v="75"/>
  </r>
  <r>
    <s v="O0343"/>
    <x v="237"/>
    <x v="237"/>
    <s v="C086"/>
    <s v="R065"/>
    <s v="D044"/>
    <n v="3"/>
    <n v="130"/>
    <s v="NO"/>
    <n v="130"/>
    <n v="180"/>
  </r>
  <r>
    <s v="O0344"/>
    <x v="14"/>
    <x v="14"/>
    <s v="C071"/>
    <s v="R023"/>
    <s v="D032"/>
    <n v="5"/>
    <n v="207"/>
    <s v="YES"/>
    <n v="103.5"/>
    <n v="102.5"/>
  </r>
  <r>
    <s v="O0345"/>
    <x v="238"/>
    <x v="238"/>
    <s v="C054"/>
    <s v="R046"/>
    <s v="D015"/>
    <n v="3"/>
    <n v="120"/>
    <s v="NO"/>
    <n v="120"/>
    <n v="123"/>
  </r>
  <r>
    <s v="O0346"/>
    <x v="162"/>
    <x v="162"/>
    <s v="C077"/>
    <s v="R055"/>
    <s v="D012"/>
    <n v="4"/>
    <n v="237"/>
    <s v="NO"/>
    <n v="237"/>
    <n v="656"/>
  </r>
  <r>
    <s v="O0347"/>
    <x v="54"/>
    <x v="54"/>
    <s v="C010"/>
    <s v="R078"/>
    <s v="D019"/>
    <n v="2"/>
    <n v="189"/>
    <s v="NO"/>
    <n v="189"/>
    <n v="210"/>
  </r>
  <r>
    <s v="O0348"/>
    <x v="239"/>
    <x v="239"/>
    <s v="C097"/>
    <s v="R007"/>
    <s v="D007"/>
    <n v="3"/>
    <n v="204"/>
    <s v="NO"/>
    <n v="204"/>
    <n v="411"/>
  </r>
  <r>
    <s v="O0349"/>
    <x v="194"/>
    <x v="194"/>
    <s v="C088"/>
    <s v="R049"/>
    <s v="D030"/>
    <n v="1"/>
    <n v="157"/>
    <s v="NO"/>
    <n v="157"/>
    <n v="95"/>
  </r>
  <r>
    <s v="O0350"/>
    <x v="240"/>
    <x v="240"/>
    <s v="C037"/>
    <s v="R057"/>
    <s v="D011"/>
    <n v="5"/>
    <n v="107"/>
    <s v="YES"/>
    <n v="53.5"/>
    <n v="-17.5"/>
  </r>
  <r>
    <s v="O0351"/>
    <x v="187"/>
    <x v="187"/>
    <s v="C090"/>
    <s v="R017"/>
    <s v="D022"/>
    <n v="3"/>
    <n v="108"/>
    <s v="NO"/>
    <n v="108"/>
    <n v="129"/>
  </r>
  <r>
    <s v="O0352"/>
    <x v="131"/>
    <x v="131"/>
    <s v="C022"/>
    <s v="R074"/>
    <s v="D009"/>
    <n v="1"/>
    <n v="185"/>
    <s v="YES"/>
    <n v="92.5"/>
    <n v="8.5"/>
  </r>
  <r>
    <s v="O0353"/>
    <x v="241"/>
    <x v="241"/>
    <s v="C091"/>
    <s v="R009"/>
    <s v="D031"/>
    <n v="1"/>
    <n v="106"/>
    <s v="NO"/>
    <n v="106"/>
    <n v="17"/>
  </r>
  <r>
    <s v="O0354"/>
    <x v="164"/>
    <x v="164"/>
    <s v="C048"/>
    <s v="R073"/>
    <s v="D014"/>
    <n v="1"/>
    <n v="178"/>
    <s v="NO"/>
    <n v="178"/>
    <n v="128"/>
  </r>
  <r>
    <s v="O0355"/>
    <x v="242"/>
    <x v="242"/>
    <s v="C053"/>
    <s v="R084"/>
    <s v="D020"/>
    <n v="3"/>
    <n v="145"/>
    <s v="YES"/>
    <n v="72.5"/>
    <n v="52.5"/>
  </r>
  <r>
    <s v="O0356"/>
    <x v="243"/>
    <x v="243"/>
    <s v="C043"/>
    <s v="R035"/>
    <s v="D036"/>
    <n v="3"/>
    <n v="238"/>
    <s v="YES"/>
    <n v="119"/>
    <n v="171"/>
  </r>
  <r>
    <s v="O0357"/>
    <x v="244"/>
    <x v="244"/>
    <s v="C093"/>
    <s v="R062"/>
    <s v="D006"/>
    <n v="1"/>
    <n v="169"/>
    <s v="YES"/>
    <n v="84.5"/>
    <n v="-0.5"/>
  </r>
  <r>
    <s v="O0358"/>
    <x v="171"/>
    <x v="171"/>
    <s v="C046"/>
    <s v="R086"/>
    <s v="D049"/>
    <n v="1"/>
    <n v="180"/>
    <s v="YES"/>
    <n v="90"/>
    <n v="49"/>
  </r>
  <r>
    <s v="O0359"/>
    <x v="72"/>
    <x v="72"/>
    <s v="C044"/>
    <s v="R062"/>
    <s v="D011"/>
    <n v="4"/>
    <n v="164"/>
    <s v="NO"/>
    <n v="164"/>
    <n v="428"/>
  </r>
  <r>
    <s v="O0360"/>
    <x v="0"/>
    <x v="0"/>
    <s v="C100"/>
    <s v="R100"/>
    <s v="D039"/>
    <n v="1"/>
    <n v="177"/>
    <s v="YES"/>
    <n v="88.5"/>
    <n v="43.5"/>
  </r>
  <r>
    <s v="O0361"/>
    <x v="9"/>
    <x v="9"/>
    <s v="C061"/>
    <s v="R091"/>
    <s v="D046"/>
    <n v="4"/>
    <n v="153"/>
    <s v="NO"/>
    <n v="153"/>
    <n v="440"/>
  </r>
  <r>
    <s v="O0362"/>
    <x v="200"/>
    <x v="200"/>
    <s v="C092"/>
    <s v="R100"/>
    <s v="D048"/>
    <n v="1"/>
    <n v="183"/>
    <s v="NO"/>
    <n v="183"/>
    <n v="141"/>
  </r>
  <r>
    <s v="O0363"/>
    <x v="245"/>
    <x v="245"/>
    <s v="C008"/>
    <s v="R003"/>
    <s v="D032"/>
    <n v="1"/>
    <n v="153"/>
    <s v="YES"/>
    <n v="76.5"/>
    <n v="-6.5"/>
  </r>
  <r>
    <s v="O0364"/>
    <x v="226"/>
    <x v="226"/>
    <s v="C092"/>
    <s v="R019"/>
    <s v="D018"/>
    <n v="2"/>
    <n v="159"/>
    <s v="NO"/>
    <n v="159"/>
    <n v="168"/>
  </r>
  <r>
    <s v="O0365"/>
    <x v="159"/>
    <x v="159"/>
    <s v="C040"/>
    <s v="R008"/>
    <s v="D017"/>
    <n v="1"/>
    <n v="222"/>
    <s v="NO"/>
    <n v="222"/>
    <n v="162"/>
  </r>
  <r>
    <s v="O0366"/>
    <x v="246"/>
    <x v="246"/>
    <s v="C065"/>
    <s v="R100"/>
    <s v="D020"/>
    <n v="4"/>
    <n v="119"/>
    <s v="NO"/>
    <n v="119"/>
    <n v="256"/>
  </r>
  <r>
    <s v="O0367"/>
    <x v="31"/>
    <x v="31"/>
    <s v="C032"/>
    <s v="R002"/>
    <s v="D037"/>
    <n v="5"/>
    <n v="216"/>
    <s v="NO"/>
    <n v="216"/>
    <n v="810"/>
  </r>
  <r>
    <s v="O0368"/>
    <x v="247"/>
    <x v="247"/>
    <s v="C099"/>
    <s v="R045"/>
    <s v="D002"/>
    <n v="2"/>
    <n v="103"/>
    <s v="YES"/>
    <n v="51.5"/>
    <n v="-33"/>
  </r>
  <r>
    <s v="O0369"/>
    <x v="248"/>
    <x v="248"/>
    <s v="C024"/>
    <s v="R085"/>
    <s v="D032"/>
    <n v="4"/>
    <n v="248"/>
    <s v="YES"/>
    <n v="124"/>
    <n v="164"/>
  </r>
  <r>
    <s v="O0370"/>
    <x v="215"/>
    <x v="215"/>
    <s v="C006"/>
    <s v="R074"/>
    <s v="D034"/>
    <n v="2"/>
    <n v="248"/>
    <s v="YES"/>
    <n v="124"/>
    <n v="104"/>
  </r>
  <r>
    <s v="O0371"/>
    <x v="249"/>
    <x v="249"/>
    <s v="C099"/>
    <s v="R077"/>
    <s v="D040"/>
    <n v="3"/>
    <n v="215"/>
    <s v="YES"/>
    <n v="107.5"/>
    <n v="82.5"/>
  </r>
  <r>
    <s v="O0372"/>
    <x v="250"/>
    <x v="250"/>
    <s v="C089"/>
    <s v="R063"/>
    <s v="D046"/>
    <n v="4"/>
    <n v="185"/>
    <s v="NO"/>
    <n v="185"/>
    <n v="568"/>
  </r>
  <r>
    <s v="O0373"/>
    <x v="156"/>
    <x v="156"/>
    <s v="C008"/>
    <s v="R068"/>
    <s v="D010"/>
    <n v="3"/>
    <n v="122"/>
    <s v="YES"/>
    <n v="61"/>
    <n v="-3"/>
  </r>
  <r>
    <s v="O0374"/>
    <x v="242"/>
    <x v="242"/>
    <s v="C017"/>
    <s v="R022"/>
    <s v="D030"/>
    <n v="5"/>
    <n v="239"/>
    <s v="NO"/>
    <n v="239"/>
    <n v="885"/>
  </r>
  <r>
    <s v="O0375"/>
    <x v="123"/>
    <x v="123"/>
    <s v="C042"/>
    <s v="R054"/>
    <s v="D026"/>
    <n v="4"/>
    <n v="149"/>
    <s v="YES"/>
    <n v="74.5"/>
    <n v="134"/>
  </r>
  <r>
    <s v="O0376"/>
    <x v="52"/>
    <x v="52"/>
    <s v="C080"/>
    <s v="R068"/>
    <s v="D010"/>
    <n v="2"/>
    <n v="194"/>
    <s v="NO"/>
    <n v="194"/>
    <n v="264"/>
  </r>
  <r>
    <s v="O0377"/>
    <x v="251"/>
    <x v="251"/>
    <s v="C080"/>
    <s v="R008"/>
    <s v="D005"/>
    <n v="5"/>
    <n v="133"/>
    <s v="NO"/>
    <n v="133"/>
    <n v="325"/>
  </r>
  <r>
    <s v="O0378"/>
    <x v="61"/>
    <x v="61"/>
    <s v="C017"/>
    <s v="R011"/>
    <s v="D010"/>
    <n v="3"/>
    <n v="164"/>
    <s v="NO"/>
    <n v="164"/>
    <n v="306"/>
  </r>
  <r>
    <s v="O0379"/>
    <x v="235"/>
    <x v="235"/>
    <s v="C036"/>
    <s v="R062"/>
    <s v="D004"/>
    <n v="4"/>
    <n v="139"/>
    <s v="NO"/>
    <n v="139"/>
    <n v="384"/>
  </r>
  <r>
    <s v="O0380"/>
    <x v="79"/>
    <x v="79"/>
    <s v="C077"/>
    <s v="R007"/>
    <s v="D041"/>
    <n v="4"/>
    <n v="226"/>
    <s v="NO"/>
    <n v="226"/>
    <n v="684"/>
  </r>
  <r>
    <s v="O0381"/>
    <x v="252"/>
    <x v="252"/>
    <s v="C033"/>
    <s v="R012"/>
    <s v="D001"/>
    <n v="1"/>
    <n v="120"/>
    <s v="NO"/>
    <n v="120"/>
    <n v="56"/>
  </r>
  <r>
    <s v="O0382"/>
    <x v="24"/>
    <x v="24"/>
    <s v="C009"/>
    <s v="R019"/>
    <s v="D005"/>
    <n v="2"/>
    <n v="116"/>
    <s v="YES"/>
    <n v="58"/>
    <n v="-20"/>
  </r>
  <r>
    <s v="O0383"/>
    <x v="253"/>
    <x v="253"/>
    <s v="C071"/>
    <s v="R059"/>
    <s v="D010"/>
    <n v="3"/>
    <n v="121"/>
    <s v="YES"/>
    <n v="60.5"/>
    <n v="-4.5"/>
  </r>
  <r>
    <s v="O0384"/>
    <x v="251"/>
    <x v="251"/>
    <s v="C076"/>
    <s v="R003"/>
    <s v="D028"/>
    <n v="3"/>
    <n v="221"/>
    <s v="YES"/>
    <n v="110.5"/>
    <n v="106.5"/>
  </r>
  <r>
    <s v="O0385"/>
    <x v="233"/>
    <x v="233"/>
    <s v="C095"/>
    <s v="R073"/>
    <s v="D020"/>
    <n v="3"/>
    <n v="230"/>
    <s v="YES"/>
    <n v="115"/>
    <n v="180"/>
  </r>
  <r>
    <s v="O0386"/>
    <x v="254"/>
    <x v="254"/>
    <s v="C059"/>
    <s v="R040"/>
    <s v="D007"/>
    <n v="1"/>
    <n v="249"/>
    <s v="YES"/>
    <n v="124.5"/>
    <n v="57.5"/>
  </r>
  <r>
    <s v="O0387"/>
    <x v="21"/>
    <x v="21"/>
    <s v="C022"/>
    <s v="R086"/>
    <s v="D013"/>
    <n v="1"/>
    <n v="195"/>
    <s v="YES"/>
    <n v="97.5"/>
    <n v="52.5"/>
  </r>
  <r>
    <s v="O0388"/>
    <x v="199"/>
    <x v="199"/>
    <s v="C073"/>
    <s v="R084"/>
    <s v="D016"/>
    <n v="4"/>
    <n v="156"/>
    <s v="YES"/>
    <n v="78"/>
    <n v="36"/>
  </r>
  <r>
    <s v="O0389"/>
    <x v="238"/>
    <x v="238"/>
    <s v="C055"/>
    <s v="R038"/>
    <s v="D037"/>
    <n v="3"/>
    <n v="208"/>
    <s v="NO"/>
    <n v="208"/>
    <n v="462"/>
  </r>
  <r>
    <s v="O0390"/>
    <x v="197"/>
    <x v="197"/>
    <s v="C004"/>
    <s v="R005"/>
    <s v="D010"/>
    <n v="4"/>
    <n v="139"/>
    <s v="NO"/>
    <n v="139"/>
    <n v="308"/>
  </r>
  <r>
    <s v="O0391"/>
    <x v="120"/>
    <x v="120"/>
    <s v="C012"/>
    <s v="R077"/>
    <s v="D019"/>
    <n v="2"/>
    <n v="169"/>
    <s v="NO"/>
    <n v="169"/>
    <n v="170"/>
  </r>
  <r>
    <s v="O0392"/>
    <x v="247"/>
    <x v="247"/>
    <s v="C024"/>
    <s v="R036"/>
    <s v="D032"/>
    <n v="4"/>
    <n v="190"/>
    <s v="YES"/>
    <n v="95"/>
    <n v="48"/>
  </r>
  <r>
    <s v="O0393"/>
    <x v="141"/>
    <x v="141"/>
    <s v="C004"/>
    <s v="R093"/>
    <s v="D037"/>
    <n v="3"/>
    <n v="201"/>
    <s v="NO"/>
    <n v="201"/>
    <n v="441"/>
  </r>
  <r>
    <s v="O0394"/>
    <x v="255"/>
    <x v="255"/>
    <s v="C093"/>
    <s v="R093"/>
    <s v="D013"/>
    <n v="5"/>
    <n v="114"/>
    <s v="YES"/>
    <n v="57"/>
    <n v="60"/>
  </r>
  <r>
    <s v="O0395"/>
    <x v="186"/>
    <x v="186"/>
    <s v="C076"/>
    <s v="R081"/>
    <s v="D019"/>
    <n v="1"/>
    <n v="111"/>
    <s v="YES"/>
    <n v="55.5"/>
    <n v="-28.5"/>
  </r>
  <r>
    <s v="O0396"/>
    <x v="256"/>
    <x v="256"/>
    <s v="C066"/>
    <s v="R065"/>
    <s v="D020"/>
    <n v="3"/>
    <n v="123"/>
    <s v="YES"/>
    <n v="61.5"/>
    <n v="19.5"/>
  </r>
  <r>
    <s v="O0397"/>
    <x v="232"/>
    <x v="232"/>
    <s v="C061"/>
    <s v="R094"/>
    <s v="D016"/>
    <n v="3"/>
    <n v="113"/>
    <s v="NO"/>
    <n v="113"/>
    <n v="132"/>
  </r>
  <r>
    <s v="O0398"/>
    <x v="257"/>
    <x v="257"/>
    <s v="C087"/>
    <s v="R056"/>
    <s v="D033"/>
    <n v="4"/>
    <n v="218"/>
    <s v="NO"/>
    <n v="218"/>
    <n v="684"/>
  </r>
  <r>
    <s v="O0399"/>
    <x v="91"/>
    <x v="91"/>
    <s v="C023"/>
    <s v="R097"/>
    <s v="D011"/>
    <n v="1"/>
    <n v="197"/>
    <s v="NO"/>
    <n v="197"/>
    <n v="140"/>
  </r>
  <r>
    <s v="O0400"/>
    <x v="16"/>
    <x v="16"/>
    <s v="C075"/>
    <s v="R064"/>
    <s v="D040"/>
    <n v="2"/>
    <n v="163"/>
    <s v="YES"/>
    <n v="81.5"/>
    <n v="3"/>
  </r>
  <r>
    <s v="O0401"/>
    <x v="258"/>
    <x v="258"/>
    <s v="C017"/>
    <s v="R051"/>
    <s v="D048"/>
    <n v="5"/>
    <n v="203"/>
    <s v="NO"/>
    <n v="203"/>
    <n v="805"/>
  </r>
  <r>
    <s v="O0402"/>
    <x v="124"/>
    <x v="124"/>
    <s v="C083"/>
    <s v="R044"/>
    <s v="D002"/>
    <n v="3"/>
    <n v="131"/>
    <s v="YES"/>
    <n v="65.5"/>
    <n v="-7.5"/>
  </r>
  <r>
    <s v="O0403"/>
    <x v="259"/>
    <x v="259"/>
    <s v="C026"/>
    <s v="R080"/>
    <s v="D042"/>
    <n v="2"/>
    <n v="150"/>
    <s v="NO"/>
    <n v="150"/>
    <n v="122"/>
  </r>
  <r>
    <s v="O0404"/>
    <x v="260"/>
    <x v="260"/>
    <s v="C068"/>
    <s v="R072"/>
    <s v="D029"/>
    <n v="5"/>
    <n v="121"/>
    <s v="NO"/>
    <n v="121"/>
    <n v="255"/>
  </r>
  <r>
    <s v="O0405"/>
    <x v="68"/>
    <x v="68"/>
    <s v="C074"/>
    <s v="R096"/>
    <s v="D016"/>
    <n v="4"/>
    <n v="160"/>
    <s v="NO"/>
    <n v="160"/>
    <n v="364"/>
  </r>
  <r>
    <s v="O0406"/>
    <x v="202"/>
    <x v="202"/>
    <s v="C095"/>
    <s v="R046"/>
    <s v="D028"/>
    <n v="2"/>
    <n v="142"/>
    <s v="YES"/>
    <n v="71"/>
    <n v="-8"/>
  </r>
  <r>
    <s v="O0407"/>
    <x v="93"/>
    <x v="93"/>
    <s v="C052"/>
    <s v="R071"/>
    <s v="D050"/>
    <n v="4"/>
    <n v="181"/>
    <s v="NO"/>
    <n v="181"/>
    <n v="400"/>
  </r>
  <r>
    <s v="O0408"/>
    <x v="125"/>
    <x v="125"/>
    <s v="C097"/>
    <s v="R022"/>
    <s v="D015"/>
    <n v="1"/>
    <n v="141"/>
    <s v="NO"/>
    <n v="141"/>
    <n v="62"/>
  </r>
  <r>
    <s v="O0409"/>
    <x v="221"/>
    <x v="221"/>
    <s v="C033"/>
    <s v="R098"/>
    <s v="D035"/>
    <n v="4"/>
    <n v="246"/>
    <s v="NO"/>
    <n v="246"/>
    <n v="700"/>
  </r>
  <r>
    <s v="O0410"/>
    <x v="157"/>
    <x v="157"/>
    <s v="C098"/>
    <s v="R097"/>
    <s v="D020"/>
    <n v="3"/>
    <n v="202"/>
    <s v="YES"/>
    <n v="101"/>
    <n v="138"/>
  </r>
  <r>
    <s v="O0411"/>
    <x v="261"/>
    <x v="261"/>
    <s v="C090"/>
    <s v="R066"/>
    <s v="D048"/>
    <n v="3"/>
    <n v="100"/>
    <s v="NO"/>
    <n v="100"/>
    <n v="174"/>
  </r>
  <r>
    <s v="O0412"/>
    <x v="262"/>
    <x v="262"/>
    <s v="C024"/>
    <s v="R093"/>
    <s v="D015"/>
    <n v="3"/>
    <n v="141"/>
    <s v="YES"/>
    <n v="70.5"/>
    <n v="-25.5"/>
  </r>
  <r>
    <s v="O0413"/>
    <x v="246"/>
    <x v="246"/>
    <s v="C086"/>
    <s v="R038"/>
    <s v="D043"/>
    <n v="4"/>
    <n v="105"/>
    <s v="NO"/>
    <n v="105"/>
    <n v="172"/>
  </r>
  <r>
    <s v="O0414"/>
    <x v="263"/>
    <x v="263"/>
    <s v="C084"/>
    <s v="R079"/>
    <s v="D030"/>
    <n v="5"/>
    <n v="235"/>
    <s v="YES"/>
    <n v="117.5"/>
    <n v="277.5"/>
  </r>
  <r>
    <s v="O0415"/>
    <x v="162"/>
    <x v="162"/>
    <s v="C015"/>
    <s v="R096"/>
    <s v="D032"/>
    <n v="5"/>
    <n v="113"/>
    <s v="YES"/>
    <n v="56.5"/>
    <n v="-132.5"/>
  </r>
  <r>
    <s v="O0416"/>
    <x v="264"/>
    <x v="264"/>
    <s v="C060"/>
    <s v="R044"/>
    <s v="D047"/>
    <n v="5"/>
    <n v="176"/>
    <s v="NO"/>
    <n v="176"/>
    <n v="455"/>
  </r>
  <r>
    <s v="O0417"/>
    <x v="216"/>
    <x v="216"/>
    <s v="C031"/>
    <s v="R066"/>
    <s v="D045"/>
    <n v="3"/>
    <n v="225"/>
    <s v="NO"/>
    <n v="225"/>
    <n v="483"/>
  </r>
  <r>
    <s v="O0418"/>
    <x v="265"/>
    <x v="265"/>
    <s v="C031"/>
    <s v="R012"/>
    <s v="D031"/>
    <n v="1"/>
    <n v="183"/>
    <s v="NO"/>
    <n v="183"/>
    <n v="94"/>
  </r>
  <r>
    <s v="O0419"/>
    <x v="266"/>
    <x v="266"/>
    <s v="C028"/>
    <s v="R023"/>
    <s v="D019"/>
    <n v="1"/>
    <n v="217"/>
    <s v="NO"/>
    <n v="217"/>
    <n v="133"/>
  </r>
  <r>
    <s v="O0420"/>
    <x v="33"/>
    <x v="33"/>
    <s v="C015"/>
    <s v="R039"/>
    <s v="D025"/>
    <n v="4"/>
    <n v="233"/>
    <s v="YES"/>
    <n v="116.5"/>
    <n v="158"/>
  </r>
  <r>
    <s v="O0421"/>
    <x v="205"/>
    <x v="205"/>
    <s v="C096"/>
    <s v="R069"/>
    <s v="D004"/>
    <n v="1"/>
    <n v="134"/>
    <s v="NO"/>
    <n v="134"/>
    <n v="91"/>
  </r>
  <r>
    <s v="O0422"/>
    <x v="267"/>
    <x v="267"/>
    <s v="C066"/>
    <s v="R008"/>
    <s v="D005"/>
    <n v="1"/>
    <n v="220"/>
    <s v="YES"/>
    <n v="110"/>
    <n v="42"/>
  </r>
  <r>
    <s v="O0423"/>
    <x v="268"/>
    <x v="268"/>
    <s v="C039"/>
    <s v="R019"/>
    <s v="D032"/>
    <n v="1"/>
    <n v="102"/>
    <s v="YES"/>
    <n v="51"/>
    <n v="-32"/>
  </r>
  <r>
    <s v="O0424"/>
    <x v="269"/>
    <x v="269"/>
    <s v="C056"/>
    <s v="R049"/>
    <s v="D049"/>
    <n v="1"/>
    <n v="236"/>
    <s v="NO"/>
    <n v="236"/>
    <n v="195"/>
  </r>
  <r>
    <s v="O0425"/>
    <x v="36"/>
    <x v="36"/>
    <s v="C085"/>
    <s v="R014"/>
    <s v="D037"/>
    <n v="4"/>
    <n v="220"/>
    <s v="YES"/>
    <n v="110"/>
    <n v="224"/>
  </r>
  <r>
    <s v="O0426"/>
    <x v="270"/>
    <x v="270"/>
    <s v="C006"/>
    <s v="R026"/>
    <s v="D015"/>
    <n v="4"/>
    <n v="159"/>
    <s v="YES"/>
    <n v="79.5"/>
    <n v="2"/>
  </r>
  <r>
    <s v="O0427"/>
    <x v="238"/>
    <x v="238"/>
    <s v="C062"/>
    <s v="R028"/>
    <s v="D032"/>
    <n v="5"/>
    <n v="111"/>
    <s v="YES"/>
    <n v="55.5"/>
    <n v="-137.5"/>
  </r>
  <r>
    <s v="O0428"/>
    <x v="271"/>
    <x v="271"/>
    <s v="C010"/>
    <s v="R012"/>
    <s v="D010"/>
    <n v="1"/>
    <n v="137"/>
    <s v="NO"/>
    <n v="137"/>
    <n v="75"/>
  </r>
  <r>
    <s v="O0429"/>
    <x v="272"/>
    <x v="272"/>
    <s v="C007"/>
    <s v="R071"/>
    <s v="D020"/>
    <n v="1"/>
    <n v="241"/>
    <s v="YES"/>
    <n v="120.5"/>
    <n v="65.5"/>
  </r>
  <r>
    <s v="O0430"/>
    <x v="273"/>
    <x v="273"/>
    <s v="C024"/>
    <s v="R019"/>
    <s v="D022"/>
    <n v="2"/>
    <n v="151"/>
    <s v="YES"/>
    <n v="75.5"/>
    <n v="21"/>
  </r>
  <r>
    <s v="O0431"/>
    <x v="188"/>
    <x v="188"/>
    <s v="C051"/>
    <s v="R088"/>
    <s v="D035"/>
    <n v="4"/>
    <n v="140"/>
    <s v="YES"/>
    <n v="70"/>
    <n v="-4"/>
  </r>
  <r>
    <s v="O0432"/>
    <x v="190"/>
    <x v="190"/>
    <s v="C030"/>
    <s v="R086"/>
    <s v="D010"/>
    <n v="1"/>
    <n v="130"/>
    <s v="NO"/>
    <n v="130"/>
    <n v="68"/>
  </r>
  <r>
    <s v="O0433"/>
    <x v="164"/>
    <x v="164"/>
    <s v="C012"/>
    <s v="R054"/>
    <s v="D039"/>
    <n v="2"/>
    <n v="160"/>
    <s v="NO"/>
    <n v="160"/>
    <n v="230"/>
  </r>
  <r>
    <s v="O0434"/>
    <x v="274"/>
    <x v="274"/>
    <s v="C070"/>
    <s v="R018"/>
    <s v="D022"/>
    <n v="2"/>
    <n v="234"/>
    <s v="YES"/>
    <n v="117"/>
    <n v="104"/>
  </r>
  <r>
    <s v="O0435"/>
    <x v="275"/>
    <x v="275"/>
    <s v="C061"/>
    <s v="R016"/>
    <s v="D014"/>
    <n v="3"/>
    <n v="225"/>
    <s v="NO"/>
    <n v="225"/>
    <n v="525"/>
  </r>
  <r>
    <s v="O0436"/>
    <x v="62"/>
    <x v="62"/>
    <s v="C084"/>
    <s v="R033"/>
    <s v="D033"/>
    <n v="2"/>
    <n v="155"/>
    <s v="YES"/>
    <n v="77.5"/>
    <n v="61"/>
  </r>
  <r>
    <s v="O0437"/>
    <x v="51"/>
    <x v="51"/>
    <s v="C056"/>
    <s v="R044"/>
    <s v="D013"/>
    <n v="2"/>
    <n v="211"/>
    <s v="NO"/>
    <n v="211"/>
    <n v="332"/>
  </r>
  <r>
    <s v="O0438"/>
    <x v="41"/>
    <x v="41"/>
    <s v="C072"/>
    <s v="R069"/>
    <s v="D037"/>
    <n v="5"/>
    <n v="153"/>
    <s v="NO"/>
    <n v="153"/>
    <n v="495"/>
  </r>
  <r>
    <s v="O0439"/>
    <x v="6"/>
    <x v="6"/>
    <s v="C060"/>
    <s v="R011"/>
    <s v="D015"/>
    <n v="2"/>
    <n v="234"/>
    <s v="NO"/>
    <n v="234"/>
    <n v="310"/>
  </r>
  <r>
    <s v="O0440"/>
    <x v="276"/>
    <x v="276"/>
    <s v="C044"/>
    <s v="R013"/>
    <s v="D019"/>
    <n v="3"/>
    <n v="147"/>
    <s v="NO"/>
    <n v="147"/>
    <n v="189"/>
  </r>
  <r>
    <s v="O0441"/>
    <x v="243"/>
    <x v="243"/>
    <s v="C080"/>
    <s v="R091"/>
    <s v="D050"/>
    <n v="3"/>
    <n v="226"/>
    <s v="NO"/>
    <n v="226"/>
    <n v="435"/>
  </r>
  <r>
    <s v="O0442"/>
    <x v="265"/>
    <x v="265"/>
    <s v="C020"/>
    <s v="R015"/>
    <s v="D039"/>
    <n v="4"/>
    <n v="167"/>
    <s v="YES"/>
    <n v="83.5"/>
    <n v="154"/>
  </r>
  <r>
    <s v="O0443"/>
    <x v="277"/>
    <x v="277"/>
    <s v="C015"/>
    <s v="R039"/>
    <s v="D012"/>
    <n v="2"/>
    <n v="168"/>
    <s v="YES"/>
    <n v="84"/>
    <n v="22"/>
  </r>
  <r>
    <s v="O0444"/>
    <x v="278"/>
    <x v="278"/>
    <s v="C091"/>
    <s v="R044"/>
    <s v="D035"/>
    <n v="1"/>
    <n v="129"/>
    <s v="NO"/>
    <n v="129"/>
    <n v="58"/>
  </r>
  <r>
    <s v="O0445"/>
    <x v="259"/>
    <x v="259"/>
    <s v="C054"/>
    <s v="R075"/>
    <s v="D023"/>
    <n v="4"/>
    <n v="167"/>
    <s v="NO"/>
    <n v="167"/>
    <n v="504"/>
  </r>
  <r>
    <s v="O0446"/>
    <x v="130"/>
    <x v="130"/>
    <s v="C022"/>
    <s v="R030"/>
    <s v="D035"/>
    <n v="2"/>
    <n v="161"/>
    <s v="YES"/>
    <n v="80.5"/>
    <n v="19"/>
  </r>
  <r>
    <s v="O0447"/>
    <x v="279"/>
    <x v="279"/>
    <s v="C076"/>
    <s v="R011"/>
    <s v="D029"/>
    <n v="4"/>
    <n v="188"/>
    <s v="YES"/>
    <n v="94"/>
    <n v="96"/>
  </r>
  <r>
    <s v="O0448"/>
    <x v="197"/>
    <x v="197"/>
    <s v="C050"/>
    <s v="R051"/>
    <s v="D012"/>
    <n v="5"/>
    <n v="231"/>
    <s v="YES"/>
    <n v="115.5"/>
    <n v="212.5"/>
  </r>
  <r>
    <s v="O0449"/>
    <x v="106"/>
    <x v="106"/>
    <s v="C012"/>
    <s v="R068"/>
    <s v="D017"/>
    <n v="5"/>
    <n v="101"/>
    <s v="NO"/>
    <n v="101"/>
    <n v="205"/>
  </r>
  <r>
    <s v="O0450"/>
    <x v="17"/>
    <x v="17"/>
    <s v="C076"/>
    <s v="R070"/>
    <s v="D023"/>
    <n v="3"/>
    <n v="184"/>
    <s v="YES"/>
    <n v="92"/>
    <n v="153"/>
  </r>
  <r>
    <s v="O0451"/>
    <x v="138"/>
    <x v="138"/>
    <s v="C088"/>
    <s v="R043"/>
    <s v="D037"/>
    <n v="1"/>
    <n v="195"/>
    <s v="NO"/>
    <n v="195"/>
    <n v="141"/>
  </r>
  <r>
    <s v="O0452"/>
    <x v="280"/>
    <x v="280"/>
    <s v="C057"/>
    <s v="R065"/>
    <s v="D049"/>
    <n v="4"/>
    <n v="142"/>
    <s v="YES"/>
    <n v="71"/>
    <n v="120"/>
  </r>
  <r>
    <s v="O0453"/>
    <x v="80"/>
    <x v="80"/>
    <s v="C095"/>
    <s v="R035"/>
    <s v="D048"/>
    <n v="2"/>
    <n v="249"/>
    <s v="YES"/>
    <n v="124.5"/>
    <n v="165"/>
  </r>
  <r>
    <s v="O0454"/>
    <x v="77"/>
    <x v="77"/>
    <s v="C011"/>
    <s v="R005"/>
    <s v="D042"/>
    <n v="3"/>
    <n v="173"/>
    <s v="NO"/>
    <n v="173"/>
    <n v="252"/>
  </r>
  <r>
    <s v="O0455"/>
    <x v="84"/>
    <x v="84"/>
    <s v="C026"/>
    <s v="R057"/>
    <s v="D016"/>
    <n v="4"/>
    <n v="188"/>
    <s v="NO"/>
    <n v="188"/>
    <n v="476"/>
  </r>
  <r>
    <s v="O0456"/>
    <x v="91"/>
    <x v="91"/>
    <s v="C008"/>
    <s v="R071"/>
    <s v="D017"/>
    <n v="4"/>
    <n v="116"/>
    <s v="YES"/>
    <n v="58"/>
    <n v="-8"/>
  </r>
  <r>
    <s v="O0457"/>
    <x v="26"/>
    <x v="26"/>
    <s v="C063"/>
    <s v="R004"/>
    <s v="D039"/>
    <n v="5"/>
    <n v="124"/>
    <s v="NO"/>
    <n v="124"/>
    <n v="395"/>
  </r>
  <r>
    <s v="O0458"/>
    <x v="37"/>
    <x v="37"/>
    <s v="C005"/>
    <s v="R065"/>
    <s v="D001"/>
    <n v="4"/>
    <n v="242"/>
    <s v="NO"/>
    <n v="242"/>
    <n v="712"/>
  </r>
  <r>
    <s v="O0459"/>
    <x v="239"/>
    <x v="239"/>
    <s v="C029"/>
    <s v="R001"/>
    <s v="D047"/>
    <n v="3"/>
    <n v="136"/>
    <s v="NO"/>
    <n v="136"/>
    <n v="153"/>
  </r>
  <r>
    <s v="O0460"/>
    <x v="179"/>
    <x v="179"/>
    <s v="C046"/>
    <s v="R001"/>
    <s v="D033"/>
    <n v="3"/>
    <n v="246"/>
    <s v="YES"/>
    <n v="123"/>
    <n v="228"/>
  </r>
  <r>
    <s v="O0461"/>
    <x v="281"/>
    <x v="281"/>
    <s v="C055"/>
    <s v="R018"/>
    <s v="D022"/>
    <n v="5"/>
    <n v="108"/>
    <s v="NO"/>
    <n v="108"/>
    <n v="215"/>
  </r>
  <r>
    <s v="O0462"/>
    <x v="282"/>
    <x v="282"/>
    <s v="C040"/>
    <s v="R093"/>
    <s v="D040"/>
    <n v="3"/>
    <n v="168"/>
    <s v="NO"/>
    <n v="168"/>
    <n v="264"/>
  </r>
  <r>
    <s v="O0463"/>
    <x v="108"/>
    <x v="108"/>
    <s v="C078"/>
    <s v="R065"/>
    <s v="D018"/>
    <n v="5"/>
    <n v="249"/>
    <s v="NO"/>
    <n v="249"/>
    <n v="870"/>
  </r>
  <r>
    <s v="O0464"/>
    <x v="37"/>
    <x v="37"/>
    <s v="C065"/>
    <s v="R036"/>
    <s v="D009"/>
    <n v="4"/>
    <n v="221"/>
    <s v="NO"/>
    <n v="221"/>
    <n v="548"/>
  </r>
  <r>
    <s v="O0465"/>
    <x v="283"/>
    <x v="283"/>
    <s v="C059"/>
    <s v="R078"/>
    <s v="D038"/>
    <n v="3"/>
    <n v="199"/>
    <s v="YES"/>
    <n v="99.5"/>
    <n v="88.5"/>
  </r>
  <r>
    <s v="O0466"/>
    <x v="4"/>
    <x v="4"/>
    <s v="C012"/>
    <s v="R040"/>
    <s v="D035"/>
    <n v="4"/>
    <n v="135"/>
    <s v="NO"/>
    <n v="135"/>
    <n v="256"/>
  </r>
  <r>
    <s v="O0467"/>
    <x v="270"/>
    <x v="270"/>
    <s v="C045"/>
    <s v="R051"/>
    <s v="D014"/>
    <n v="3"/>
    <n v="190"/>
    <s v="YES"/>
    <n v="95"/>
    <n v="135"/>
  </r>
  <r>
    <s v="O0468"/>
    <x v="84"/>
    <x v="84"/>
    <s v="C041"/>
    <s v="R046"/>
    <s v="D049"/>
    <n v="2"/>
    <n v="172"/>
    <s v="NO"/>
    <n v="172"/>
    <n v="262"/>
  </r>
  <r>
    <s v="O0469"/>
    <x v="135"/>
    <x v="135"/>
    <s v="C046"/>
    <s v="R067"/>
    <s v="D011"/>
    <n v="2"/>
    <n v="239"/>
    <s v="YES"/>
    <n v="119.5"/>
    <n v="125"/>
  </r>
  <r>
    <s v="O0470"/>
    <x v="25"/>
    <x v="25"/>
    <s v="C014"/>
    <s v="R061"/>
    <s v="D009"/>
    <n v="1"/>
    <n v="221"/>
    <s v="YES"/>
    <n v="110.5"/>
    <n v="26.5"/>
  </r>
  <r>
    <s v="O0471"/>
    <x v="171"/>
    <x v="171"/>
    <s v="C094"/>
    <s v="R027"/>
    <s v="D003"/>
    <n v="1"/>
    <n v="207"/>
    <s v="NO"/>
    <n v="207"/>
    <n v="123"/>
  </r>
  <r>
    <s v="O0472"/>
    <x v="207"/>
    <x v="207"/>
    <s v="C036"/>
    <s v="R100"/>
    <s v="D025"/>
    <n v="5"/>
    <n v="137"/>
    <s v="NO"/>
    <n v="137"/>
    <n v="300"/>
  </r>
  <r>
    <s v="O0473"/>
    <x v="284"/>
    <x v="284"/>
    <s v="C011"/>
    <s v="R019"/>
    <s v="D049"/>
    <n v="2"/>
    <n v="185"/>
    <s v="NO"/>
    <n v="185"/>
    <n v="288"/>
  </r>
  <r>
    <s v="O0474"/>
    <x v="285"/>
    <x v="285"/>
    <s v="C009"/>
    <s v="R034"/>
    <s v="D025"/>
    <n v="3"/>
    <n v="146"/>
    <s v="YES"/>
    <n v="73"/>
    <n v="-12"/>
  </r>
  <r>
    <s v="O0475"/>
    <x v="286"/>
    <x v="286"/>
    <s v="C036"/>
    <s v="R049"/>
    <s v="D012"/>
    <n v="1"/>
    <n v="192"/>
    <s v="NO"/>
    <n v="192"/>
    <n v="119"/>
  </r>
  <r>
    <s v="O0476"/>
    <x v="72"/>
    <x v="72"/>
    <s v="C016"/>
    <s v="R021"/>
    <s v="D018"/>
    <n v="3"/>
    <n v="193"/>
    <s v="YES"/>
    <n v="96.5"/>
    <n v="64.5"/>
  </r>
  <r>
    <s v="O0477"/>
    <x v="139"/>
    <x v="139"/>
    <s v="C014"/>
    <s v="R031"/>
    <s v="D039"/>
    <n v="3"/>
    <n v="188"/>
    <s v="YES"/>
    <n v="94"/>
    <n v="147"/>
  </r>
  <r>
    <s v="O0478"/>
    <x v="195"/>
    <x v="195"/>
    <s v="C054"/>
    <s v="R023"/>
    <s v="D012"/>
    <n v="3"/>
    <n v="227"/>
    <s v="NO"/>
    <n v="227"/>
    <n v="462"/>
  </r>
  <r>
    <s v="O0479"/>
    <x v="165"/>
    <x v="165"/>
    <s v="C027"/>
    <s v="R079"/>
    <s v="D011"/>
    <n v="3"/>
    <n v="110"/>
    <s v="YES"/>
    <n v="55"/>
    <n v="-6"/>
  </r>
  <r>
    <s v="O0480"/>
    <x v="166"/>
    <x v="166"/>
    <s v="C085"/>
    <s v="R088"/>
    <s v="D046"/>
    <n v="4"/>
    <n v="101"/>
    <s v="YES"/>
    <n v="50.5"/>
    <n v="30"/>
  </r>
  <r>
    <s v="O0481"/>
    <x v="118"/>
    <x v="118"/>
    <s v="C052"/>
    <s v="R015"/>
    <s v="D027"/>
    <n v="4"/>
    <n v="162"/>
    <s v="NO"/>
    <n v="162"/>
    <n v="448"/>
  </r>
  <r>
    <s v="O0482"/>
    <x v="89"/>
    <x v="89"/>
    <s v="C024"/>
    <s v="R086"/>
    <s v="D008"/>
    <n v="2"/>
    <n v="168"/>
    <s v="YES"/>
    <n v="84"/>
    <n v="20"/>
  </r>
  <r>
    <s v="O0483"/>
    <x v="160"/>
    <x v="160"/>
    <s v="C053"/>
    <s v="R016"/>
    <s v="D013"/>
    <n v="4"/>
    <n v="123"/>
    <s v="YES"/>
    <n v="61.5"/>
    <n v="66"/>
  </r>
  <r>
    <s v="O0484"/>
    <x v="129"/>
    <x v="129"/>
    <s v="C025"/>
    <s v="R061"/>
    <s v="D044"/>
    <n v="5"/>
    <n v="232"/>
    <s v="NO"/>
    <n v="232"/>
    <n v="810"/>
  </r>
  <r>
    <s v="O0485"/>
    <x v="108"/>
    <x v="108"/>
    <s v="C017"/>
    <s v="R010"/>
    <s v="D050"/>
    <n v="2"/>
    <n v="199"/>
    <s v="NO"/>
    <n v="199"/>
    <n v="236"/>
  </r>
  <r>
    <s v="O0486"/>
    <x v="287"/>
    <x v="287"/>
    <s v="C083"/>
    <s v="R085"/>
    <s v="D023"/>
    <n v="1"/>
    <n v="172"/>
    <s v="YES"/>
    <n v="86"/>
    <n v="45"/>
  </r>
  <r>
    <s v="O0487"/>
    <x v="20"/>
    <x v="20"/>
    <s v="C016"/>
    <s v="R080"/>
    <s v="D002"/>
    <n v="3"/>
    <n v="191"/>
    <s v="YES"/>
    <n v="95.5"/>
    <n v="82.5"/>
  </r>
  <r>
    <s v="O0488"/>
    <x v="150"/>
    <x v="150"/>
    <s v="C094"/>
    <s v="R018"/>
    <s v="D025"/>
    <n v="1"/>
    <n v="102"/>
    <s v="NO"/>
    <n v="102"/>
    <n v="25"/>
  </r>
  <r>
    <s v="O0489"/>
    <x v="44"/>
    <x v="44"/>
    <s v="C049"/>
    <s v="R097"/>
    <s v="D032"/>
    <n v="4"/>
    <n v="152"/>
    <s v="YES"/>
    <n v="76"/>
    <n v="-28"/>
  </r>
  <r>
    <s v="O0490"/>
    <x v="288"/>
    <x v="288"/>
    <s v="C037"/>
    <s v="R030"/>
    <s v="D034"/>
    <n v="1"/>
    <n v="145"/>
    <s v="YES"/>
    <n v="72.5"/>
    <n v="0.5"/>
  </r>
  <r>
    <s v="O0491"/>
    <x v="289"/>
    <x v="289"/>
    <s v="C034"/>
    <s v="R054"/>
    <s v="D024"/>
    <n v="5"/>
    <n v="135"/>
    <s v="NO"/>
    <n v="135"/>
    <n v="395"/>
  </r>
  <r>
    <s v="O0492"/>
    <x v="290"/>
    <x v="290"/>
    <s v="C069"/>
    <s v="R098"/>
    <s v="D015"/>
    <n v="1"/>
    <n v="135"/>
    <s v="YES"/>
    <n v="67.5"/>
    <n v="-11.5"/>
  </r>
  <r>
    <s v="O0493"/>
    <x v="75"/>
    <x v="75"/>
    <s v="C013"/>
    <s v="R072"/>
    <s v="D002"/>
    <n v="3"/>
    <n v="158"/>
    <s v="YES"/>
    <n v="79"/>
    <n v="33"/>
  </r>
  <r>
    <s v="O0494"/>
    <x v="122"/>
    <x v="122"/>
    <s v="C074"/>
    <s v="R093"/>
    <s v="D023"/>
    <n v="3"/>
    <n v="104"/>
    <s v="NO"/>
    <n v="104"/>
    <n v="189"/>
  </r>
  <r>
    <s v="O0495"/>
    <x v="291"/>
    <x v="291"/>
    <s v="C032"/>
    <s v="R057"/>
    <s v="D049"/>
    <n v="1"/>
    <n v="130"/>
    <s v="NO"/>
    <n v="130"/>
    <n v="89"/>
  </r>
  <r>
    <s v="O0496"/>
    <x v="292"/>
    <x v="292"/>
    <s v="C081"/>
    <s v="R098"/>
    <s v="D010"/>
    <n v="3"/>
    <n v="155"/>
    <s v="YES"/>
    <n v="77.5"/>
    <n v="46.5"/>
  </r>
  <r>
    <s v="O0497"/>
    <x v="129"/>
    <x v="129"/>
    <s v="C095"/>
    <s v="R054"/>
    <s v="D047"/>
    <n v="4"/>
    <n v="114"/>
    <s v="YES"/>
    <n v="57"/>
    <n v="-112"/>
  </r>
  <r>
    <s v="O0498"/>
    <x v="211"/>
    <x v="211"/>
    <s v="C083"/>
    <s v="R094"/>
    <s v="D045"/>
    <n v="3"/>
    <n v="122"/>
    <s v="YES"/>
    <n v="61"/>
    <n v="-9"/>
  </r>
  <r>
    <s v="O0499"/>
    <x v="293"/>
    <x v="293"/>
    <s v="C008"/>
    <s v="R052"/>
    <s v="D033"/>
    <n v="2"/>
    <n v="236"/>
    <s v="YES"/>
    <n v="118"/>
    <n v="142"/>
  </r>
  <r>
    <s v="O0500"/>
    <x v="294"/>
    <x v="294"/>
    <s v="C035"/>
    <s v="R096"/>
    <s v="D003"/>
    <n v="2"/>
    <n v="159"/>
    <s v="YES"/>
    <n v="79.5"/>
    <n v="-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0001"/>
    <s v="2025-11-26"/>
    <s v="C016"/>
    <x v="0"/>
    <s v="D044"/>
    <n v="3"/>
    <n v="173"/>
    <s v="YES"/>
    <n v="86.5"/>
    <n v="49.5"/>
  </r>
  <r>
    <s v="O0002"/>
    <s v="2025-07-06"/>
    <s v="C069"/>
    <x v="1"/>
    <s v="D001"/>
    <n v="4"/>
    <n v="135"/>
    <s v="YES"/>
    <n v="67.5"/>
    <n v="14"/>
  </r>
  <r>
    <s v="O0003"/>
    <s v="2025-07-08"/>
    <s v="C079"/>
    <x v="2"/>
    <s v="D015"/>
    <n v="1"/>
    <n v="142"/>
    <s v="NO"/>
    <n v="142"/>
    <n v="63"/>
  </r>
  <r>
    <s v="O0004"/>
    <s v="2025-06-29"/>
    <s v="C097"/>
    <x v="3"/>
    <s v="D042"/>
    <n v="4"/>
    <n v="188"/>
    <s v="NO"/>
    <n v="188"/>
    <n v="396"/>
  </r>
  <r>
    <s v="O0005"/>
    <s v="2025-04-07"/>
    <s v="C021"/>
    <x v="4"/>
    <s v="D031"/>
    <n v="4"/>
    <n v="161"/>
    <s v="NO"/>
    <n v="161"/>
    <n v="288"/>
  </r>
  <r>
    <s v="O0006"/>
    <s v="2025-09-01"/>
    <s v="C062"/>
    <x v="5"/>
    <s v="D034"/>
    <n v="2"/>
    <n v="158"/>
    <s v="YES"/>
    <n v="79"/>
    <n v="14"/>
  </r>
  <r>
    <s v="O0007"/>
    <s v="2025-03-17"/>
    <s v="C074"/>
    <x v="6"/>
    <s v="D009"/>
    <n v="5"/>
    <n v="160"/>
    <s v="NO"/>
    <n v="160"/>
    <n v="380"/>
  </r>
  <r>
    <s v="O0008"/>
    <s v="2025-02-11"/>
    <s v="C044"/>
    <x v="7"/>
    <s v="D023"/>
    <n v="4"/>
    <n v="179"/>
    <s v="NO"/>
    <n v="179"/>
    <n v="552"/>
  </r>
  <r>
    <s v="O0009"/>
    <s v="2025-03-07"/>
    <s v="C100"/>
    <x v="8"/>
    <s v="D010"/>
    <n v="4"/>
    <n v="139"/>
    <s v="YES"/>
    <n v="69.5"/>
    <n v="30"/>
  </r>
  <r>
    <s v="O0010"/>
    <s v="2025-10-21"/>
    <s v="C013"/>
    <x v="9"/>
    <s v="D030"/>
    <n v="5"/>
    <n v="248"/>
    <s v="YES"/>
    <n v="124"/>
    <n v="310"/>
  </r>
  <r>
    <s v="O0011"/>
    <s v="2025-09-27"/>
    <s v="C051"/>
    <x v="9"/>
    <s v="D049"/>
    <n v="3"/>
    <n v="178"/>
    <s v="YES"/>
    <n v="89"/>
    <n v="144"/>
  </r>
  <r>
    <s v="O0012"/>
    <s v="2025-09-27"/>
    <s v="C034"/>
    <x v="10"/>
    <s v="D004"/>
    <n v="2"/>
    <n v="240"/>
    <s v="NO"/>
    <n v="240"/>
    <n v="394"/>
  </r>
  <r>
    <s v="O0013"/>
    <s v="2025-05-12"/>
    <s v="C092"/>
    <x v="11"/>
    <s v="D047"/>
    <n v="1"/>
    <n v="121"/>
    <s v="NO"/>
    <n v="121"/>
    <n v="36"/>
  </r>
  <r>
    <s v="O0014"/>
    <s v="2025-08-03"/>
    <s v="C001"/>
    <x v="12"/>
    <s v="D029"/>
    <n v="2"/>
    <n v="233"/>
    <s v="NO"/>
    <n v="233"/>
    <n v="326"/>
  </r>
  <r>
    <s v="O0015"/>
    <s v="2025-05-20"/>
    <s v="C063"/>
    <x v="5"/>
    <s v="D047"/>
    <n v="2"/>
    <n v="228"/>
    <s v="NO"/>
    <n v="228"/>
    <n v="286"/>
  </r>
  <r>
    <s v="O0016"/>
    <s v="2025-09-19"/>
    <s v="C061"/>
    <x v="13"/>
    <s v="D039"/>
    <n v="3"/>
    <n v="202"/>
    <s v="NO"/>
    <n v="202"/>
    <n v="471"/>
  </r>
  <r>
    <s v="O0017"/>
    <s v="2025-01-10"/>
    <s v="C094"/>
    <x v="5"/>
    <s v="D018"/>
    <n v="4"/>
    <n v="132"/>
    <s v="NO"/>
    <n v="132"/>
    <n v="228"/>
  </r>
  <r>
    <s v="O0018"/>
    <s v="2025-06-24"/>
    <s v="C079"/>
    <x v="14"/>
    <s v="D042"/>
    <n v="5"/>
    <n v="226"/>
    <s v="NO"/>
    <n v="226"/>
    <n v="685"/>
  </r>
  <r>
    <s v="O0019"/>
    <s v="2025-07-24"/>
    <s v="C017"/>
    <x v="15"/>
    <s v="D031"/>
    <n v="1"/>
    <n v="225"/>
    <s v="NO"/>
    <n v="225"/>
    <n v="136"/>
  </r>
  <r>
    <s v="O0020"/>
    <s v="2025-08-20"/>
    <s v="C042"/>
    <x v="16"/>
    <s v="D003"/>
    <n v="2"/>
    <n v="221"/>
    <s v="YES"/>
    <n v="110.5"/>
    <n v="53"/>
  </r>
  <r>
    <s v="O0021"/>
    <s v="2025-12-15"/>
    <s v="C059"/>
    <x v="17"/>
    <s v="D035"/>
    <n v="2"/>
    <n v="147"/>
    <s v="YES"/>
    <n v="73.5"/>
    <n v="5"/>
  </r>
  <r>
    <s v="O0022"/>
    <s v="2025-04-09"/>
    <s v="C064"/>
    <x v="5"/>
    <s v="D025"/>
    <n v="2"/>
    <n v="213"/>
    <s v="YES"/>
    <n v="106.5"/>
    <n v="59"/>
  </r>
  <r>
    <s v="O0023"/>
    <s v="2025-09-13"/>
    <s v="C096"/>
    <x v="18"/>
    <s v="D029"/>
    <n v="3"/>
    <n v="115"/>
    <s v="NO"/>
    <n v="115"/>
    <n v="135"/>
  </r>
  <r>
    <s v="O0024"/>
    <s v="2026-01-20"/>
    <s v="C055"/>
    <x v="13"/>
    <s v="D036"/>
    <n v="4"/>
    <n v="241"/>
    <s v="NO"/>
    <n v="241"/>
    <n v="716"/>
  </r>
  <r>
    <s v="O0025"/>
    <s v="2025-11-23"/>
    <s v="C076"/>
    <x v="19"/>
    <s v="D027"/>
    <n v="2"/>
    <n v="104"/>
    <s v="YES"/>
    <n v="52"/>
    <n v="4"/>
  </r>
  <r>
    <s v="O0026"/>
    <s v="2025-11-05"/>
    <s v="C016"/>
    <x v="20"/>
    <s v="D015"/>
    <n v="5"/>
    <n v="206"/>
    <s v="YES"/>
    <n v="103"/>
    <n v="120"/>
  </r>
  <r>
    <s v="O0027"/>
    <s v="2025-05-11"/>
    <s v="C083"/>
    <x v="21"/>
    <s v="D016"/>
    <n v="5"/>
    <n v="176"/>
    <s v="YES"/>
    <n v="88"/>
    <n v="95"/>
  </r>
  <r>
    <s v="O0028"/>
    <s v="2025-01-09"/>
    <s v="C066"/>
    <x v="22"/>
    <s v="D036"/>
    <n v="2"/>
    <n v="201"/>
    <s v="YES"/>
    <n v="100.5"/>
    <n v="77"/>
  </r>
  <r>
    <s v="O0029"/>
    <s v="2025-01-18"/>
    <s v="C031"/>
    <x v="23"/>
    <s v="D049"/>
    <n v="1"/>
    <n v="222"/>
    <s v="NO"/>
    <n v="222"/>
    <n v="181"/>
  </r>
  <r>
    <s v="O0030"/>
    <s v="2025-03-11"/>
    <s v="C023"/>
    <x v="23"/>
    <s v="D001"/>
    <n v="4"/>
    <n v="156"/>
    <s v="NO"/>
    <n v="156"/>
    <n v="368"/>
  </r>
  <r>
    <s v="O0031"/>
    <s v="2025-08-11"/>
    <s v="C030"/>
    <x v="24"/>
    <s v="D007"/>
    <n v="5"/>
    <n v="175"/>
    <s v="NO"/>
    <n v="175"/>
    <n v="540"/>
  </r>
  <r>
    <s v="O0032"/>
    <s v="2025-06-14"/>
    <s v="C051"/>
    <x v="25"/>
    <s v="D017"/>
    <n v="2"/>
    <n v="154"/>
    <s v="YES"/>
    <n v="77"/>
    <n v="34"/>
  </r>
  <r>
    <s v="O0033"/>
    <s v="2026-01-31"/>
    <s v="C016"/>
    <x v="26"/>
    <s v="D015"/>
    <n v="2"/>
    <n v="183"/>
    <s v="YES"/>
    <n v="91.5"/>
    <n v="25"/>
  </r>
  <r>
    <s v="O0034"/>
    <s v="2025-09-01"/>
    <s v="C005"/>
    <x v="27"/>
    <s v="D007"/>
    <n v="3"/>
    <n v="222"/>
    <s v="NO"/>
    <n v="222"/>
    <n v="465"/>
  </r>
  <r>
    <s v="O0035"/>
    <s v="2025-12-30"/>
    <s v="C059"/>
    <x v="28"/>
    <s v="D003"/>
    <n v="1"/>
    <n v="217"/>
    <s v="YES"/>
    <n v="108.5"/>
    <n v="24.5"/>
  </r>
  <r>
    <s v="O0036"/>
    <s v="2025-02-11"/>
    <s v="C064"/>
    <x v="24"/>
    <s v="D029"/>
    <n v="5"/>
    <n v="126"/>
    <s v="YES"/>
    <n v="63"/>
    <n v="-35"/>
  </r>
  <r>
    <s v="O0037"/>
    <s v="2025-06-11"/>
    <s v="C031"/>
    <x v="29"/>
    <s v="D042"/>
    <n v="5"/>
    <n v="139"/>
    <s v="NO"/>
    <n v="139"/>
    <n v="250"/>
  </r>
  <r>
    <s v="O0038"/>
    <s v="2025-04-16"/>
    <s v="C023"/>
    <x v="30"/>
    <s v="D030"/>
    <n v="1"/>
    <n v="203"/>
    <s v="NO"/>
    <n v="203"/>
    <n v="141"/>
  </r>
  <r>
    <s v="O0039"/>
    <s v="2025-04-01"/>
    <s v="C035"/>
    <x v="31"/>
    <s v="D004"/>
    <n v="2"/>
    <n v="174"/>
    <s v="YES"/>
    <n v="87"/>
    <n v="88"/>
  </r>
  <r>
    <s v="O0040"/>
    <s v="2025-12-23"/>
    <s v="C033"/>
    <x v="32"/>
    <s v="D032"/>
    <n v="1"/>
    <n v="219"/>
    <s v="NO"/>
    <n v="219"/>
    <n v="136"/>
  </r>
  <r>
    <s v="O0041"/>
    <s v="2025-05-05"/>
    <s v="C034"/>
    <x v="33"/>
    <s v="D032"/>
    <n v="3"/>
    <n v="243"/>
    <s v="NO"/>
    <n v="243"/>
    <n v="480"/>
  </r>
  <r>
    <s v="O0042"/>
    <s v="2025-08-25"/>
    <s v="C026"/>
    <x v="33"/>
    <s v="D002"/>
    <n v="3"/>
    <n v="234"/>
    <s v="NO"/>
    <n v="234"/>
    <n v="498"/>
  </r>
  <r>
    <s v="O0043"/>
    <s v="2025-03-07"/>
    <s v="C030"/>
    <x v="34"/>
    <s v="D024"/>
    <n v="5"/>
    <n v="115"/>
    <s v="NO"/>
    <n v="115"/>
    <n v="295"/>
  </r>
  <r>
    <s v="O0044"/>
    <s v="2025-02-27"/>
    <s v="C071"/>
    <x v="20"/>
    <s v="D022"/>
    <n v="1"/>
    <n v="124"/>
    <s v="YES"/>
    <n v="62"/>
    <n v="-3"/>
  </r>
  <r>
    <s v="O0045"/>
    <s v="2025-02-06"/>
    <s v="C062"/>
    <x v="35"/>
    <s v="D029"/>
    <n v="5"/>
    <n v="211"/>
    <s v="YES"/>
    <n v="105.5"/>
    <n v="177.5"/>
  </r>
  <r>
    <s v="O0046"/>
    <s v="2025-01-18"/>
    <s v="C053"/>
    <x v="28"/>
    <s v="D001"/>
    <n v="5"/>
    <n v="161"/>
    <s v="YES"/>
    <n v="80.5"/>
    <n v="82.5"/>
  </r>
  <r>
    <s v="O0047"/>
    <s v="2025-11-22"/>
    <s v="C058"/>
    <x v="36"/>
    <s v="D018"/>
    <n v="5"/>
    <n v="143"/>
    <s v="YES"/>
    <n v="71.5"/>
    <n v="-17.5"/>
  </r>
  <r>
    <s v="O0048"/>
    <s v="2025-07-26"/>
    <s v="C077"/>
    <x v="23"/>
    <s v="D040"/>
    <n v="5"/>
    <n v="165"/>
    <s v="NO"/>
    <n v="165"/>
    <n v="425"/>
  </r>
  <r>
    <s v="O0049"/>
    <s v="2025-12-07"/>
    <s v="C010"/>
    <x v="37"/>
    <s v="D008"/>
    <n v="4"/>
    <n v="108"/>
    <s v="NO"/>
    <n v="108"/>
    <n v="136"/>
  </r>
  <r>
    <s v="O0050"/>
    <s v="2025-01-13"/>
    <s v="C043"/>
    <x v="38"/>
    <s v="D033"/>
    <n v="4"/>
    <n v="150"/>
    <s v="YES"/>
    <n v="75"/>
    <n v="112"/>
  </r>
  <r>
    <s v="O0051"/>
    <s v="2025-07-27"/>
    <s v="C054"/>
    <x v="39"/>
    <s v="D039"/>
    <n v="3"/>
    <n v="121"/>
    <s v="NO"/>
    <n v="121"/>
    <n v="228"/>
  </r>
  <r>
    <s v="O0052"/>
    <s v="2025-04-27"/>
    <s v="C097"/>
    <x v="40"/>
    <s v="D049"/>
    <n v="4"/>
    <n v="210"/>
    <s v="NO"/>
    <n v="210"/>
    <n v="676"/>
  </r>
  <r>
    <s v="O0053"/>
    <s v="2025-05-17"/>
    <s v="C041"/>
    <x v="41"/>
    <s v="D024"/>
    <n v="4"/>
    <n v="232"/>
    <s v="NO"/>
    <n v="232"/>
    <n v="704"/>
  </r>
  <r>
    <s v="O0054"/>
    <s v="2025-12-12"/>
    <s v="C073"/>
    <x v="2"/>
    <s v="D045"/>
    <n v="5"/>
    <n v="116"/>
    <s v="YES"/>
    <n v="58"/>
    <n v="-30"/>
  </r>
  <r>
    <s v="O0055"/>
    <s v="2025-05-18"/>
    <s v="C090"/>
    <x v="42"/>
    <s v="D044"/>
    <n v="3"/>
    <n v="214"/>
    <s v="NO"/>
    <n v="214"/>
    <n v="432"/>
  </r>
  <r>
    <s v="O0056"/>
    <s v="2025-09-18"/>
    <s v="C098"/>
    <x v="13"/>
    <s v="D008"/>
    <n v="2"/>
    <n v="246"/>
    <s v="YES"/>
    <n v="123"/>
    <n v="98"/>
  </r>
  <r>
    <s v="O0057"/>
    <s v="2025-12-18"/>
    <s v="C085"/>
    <x v="43"/>
    <s v="D024"/>
    <n v="1"/>
    <n v="137"/>
    <s v="YES"/>
    <n v="68.5"/>
    <n v="12.5"/>
  </r>
  <r>
    <s v="O0058"/>
    <s v="2025-03-13"/>
    <s v="C058"/>
    <x v="4"/>
    <s v="D045"/>
    <n v="4"/>
    <n v="206"/>
    <s v="YES"/>
    <n v="103"/>
    <n v="156"/>
  </r>
  <r>
    <s v="O0059"/>
    <s v="2025-07-04"/>
    <s v="C029"/>
    <x v="42"/>
    <s v="D035"/>
    <n v="4"/>
    <n v="201"/>
    <s v="NO"/>
    <n v="201"/>
    <n v="520"/>
  </r>
  <r>
    <s v="O0060"/>
    <s v="2025-11-01"/>
    <s v="C048"/>
    <x v="2"/>
    <s v="D022"/>
    <n v="4"/>
    <n v="243"/>
    <s v="NO"/>
    <n v="243"/>
    <n v="712"/>
  </r>
  <r>
    <s v="O0061"/>
    <s v="2025-06-26"/>
    <s v="C002"/>
    <x v="11"/>
    <s v="D021"/>
    <n v="1"/>
    <n v="137"/>
    <s v="YES"/>
    <n v="68.5"/>
    <n v="5.5"/>
  </r>
  <r>
    <s v="O0062"/>
    <s v="2025-04-03"/>
    <s v="C025"/>
    <x v="44"/>
    <s v="D042"/>
    <n v="2"/>
    <n v="122"/>
    <s v="NO"/>
    <n v="122"/>
    <n v="66"/>
  </r>
  <r>
    <s v="O0063"/>
    <s v="2025-04-28"/>
    <s v="C005"/>
    <x v="9"/>
    <s v="D032"/>
    <n v="1"/>
    <n v="212"/>
    <s v="NO"/>
    <n v="212"/>
    <n v="129"/>
  </r>
  <r>
    <s v="O0064"/>
    <s v="2025-12-24"/>
    <s v="C097"/>
    <x v="34"/>
    <s v="D048"/>
    <n v="2"/>
    <n v="248"/>
    <s v="NO"/>
    <n v="248"/>
    <n v="412"/>
  </r>
  <r>
    <s v="O0065"/>
    <s v="2025-03-08"/>
    <s v="C047"/>
    <x v="28"/>
    <s v="D049"/>
    <n v="3"/>
    <n v="125"/>
    <s v="NO"/>
    <n v="125"/>
    <n v="252"/>
  </r>
  <r>
    <s v="O0066"/>
    <s v="2025-03-02"/>
    <s v="C024"/>
    <x v="14"/>
    <s v="D030"/>
    <n v="2"/>
    <n v="113"/>
    <s v="YES"/>
    <n v="56.5"/>
    <n v="-11"/>
  </r>
  <r>
    <s v="O0067"/>
    <s v="2025-03-21"/>
    <s v="C039"/>
    <x v="39"/>
    <s v="D021"/>
    <n v="3"/>
    <n v="230"/>
    <s v="YES"/>
    <n v="115"/>
    <n v="156"/>
  </r>
  <r>
    <s v="O0068"/>
    <s v="2025-01-03"/>
    <s v="C015"/>
    <x v="30"/>
    <s v="D029"/>
    <n v="2"/>
    <n v="130"/>
    <s v="YES"/>
    <n v="65"/>
    <n v="-10"/>
  </r>
  <r>
    <s v="O0069"/>
    <s v="2025-09-11"/>
    <s v="C026"/>
    <x v="20"/>
    <s v="D021"/>
    <n v="2"/>
    <n v="235"/>
    <s v="NO"/>
    <n v="235"/>
    <n v="344"/>
  </r>
  <r>
    <s v="O0070"/>
    <s v="2025-06-10"/>
    <s v="C001"/>
    <x v="45"/>
    <s v="D046"/>
    <n v="1"/>
    <n v="169"/>
    <s v="NO"/>
    <n v="169"/>
    <n v="126"/>
  </r>
  <r>
    <s v="O0071"/>
    <s v="2025-05-21"/>
    <s v="C091"/>
    <x v="46"/>
    <s v="D019"/>
    <n v="2"/>
    <n v="195"/>
    <s v="NO"/>
    <n v="195"/>
    <n v="222"/>
  </r>
  <r>
    <s v="O0072"/>
    <s v="2025-07-16"/>
    <s v="C036"/>
    <x v="17"/>
    <s v="D037"/>
    <n v="2"/>
    <n v="200"/>
    <s v="NO"/>
    <n v="200"/>
    <n v="292"/>
  </r>
  <r>
    <s v="O0073"/>
    <s v="2025-05-09"/>
    <s v="C049"/>
    <x v="17"/>
    <s v="D007"/>
    <n v="3"/>
    <n v="240"/>
    <s v="YES"/>
    <n v="120"/>
    <n v="159"/>
  </r>
  <r>
    <s v="O0074"/>
    <s v="2026-01-26"/>
    <s v="C087"/>
    <x v="15"/>
    <s v="D023"/>
    <n v="1"/>
    <n v="156"/>
    <s v="NO"/>
    <n v="156"/>
    <n v="115"/>
  </r>
  <r>
    <s v="O0075"/>
    <s v="2026-01-16"/>
    <s v="C089"/>
    <x v="47"/>
    <s v="D030"/>
    <n v="1"/>
    <n v="191"/>
    <s v="NO"/>
    <n v="191"/>
    <n v="129"/>
  </r>
  <r>
    <s v="O0076"/>
    <s v="2026-02-03"/>
    <s v="C088"/>
    <x v="48"/>
    <s v="D020"/>
    <n v="3"/>
    <n v="140"/>
    <s v="NO"/>
    <n v="140"/>
    <n v="255"/>
  </r>
  <r>
    <s v="O0077"/>
    <s v="2025-12-03"/>
    <s v="C081"/>
    <x v="29"/>
    <s v="D039"/>
    <n v="5"/>
    <n v="201"/>
    <s v="YES"/>
    <n v="100.5"/>
    <n v="277.5"/>
  </r>
  <r>
    <s v="O0078"/>
    <s v="2025-04-29"/>
    <s v="C003"/>
    <x v="49"/>
    <s v="D028"/>
    <n v="2"/>
    <n v="235"/>
    <s v="NO"/>
    <n v="235"/>
    <n v="320"/>
  </r>
  <r>
    <s v="O0079"/>
    <s v="2025-01-02"/>
    <s v="C071"/>
    <x v="3"/>
    <s v="D007"/>
    <n v="2"/>
    <n v="173"/>
    <s v="YES"/>
    <n v="86.5"/>
    <n v="39"/>
  </r>
  <r>
    <s v="O0080"/>
    <s v="2025-08-17"/>
    <s v="C001"/>
    <x v="14"/>
    <s v="D048"/>
    <n v="3"/>
    <n v="193"/>
    <s v="NO"/>
    <n v="193"/>
    <n v="453"/>
  </r>
  <r>
    <s v="O0081"/>
    <s v="2025-04-21"/>
    <s v="C003"/>
    <x v="50"/>
    <s v="D033"/>
    <n v="2"/>
    <n v="213"/>
    <s v="NO"/>
    <n v="213"/>
    <n v="332"/>
  </r>
  <r>
    <s v="O0082"/>
    <s v="2025-01-14"/>
    <s v="C018"/>
    <x v="51"/>
    <s v="D021"/>
    <n v="1"/>
    <n v="145"/>
    <s v="NO"/>
    <n v="145"/>
    <n v="82"/>
  </r>
  <r>
    <s v="O0083"/>
    <s v="2025-02-09"/>
    <s v="C097"/>
    <x v="52"/>
    <s v="D002"/>
    <n v="1"/>
    <n v="108"/>
    <s v="NO"/>
    <n v="108"/>
    <n v="40"/>
  </r>
  <r>
    <s v="O0084"/>
    <s v="2025-03-14"/>
    <s v="C059"/>
    <x v="53"/>
    <s v="D023"/>
    <n v="2"/>
    <n v="211"/>
    <s v="YES"/>
    <n v="105.5"/>
    <n v="129"/>
  </r>
  <r>
    <s v="O0085"/>
    <s v="2025-10-22"/>
    <s v="C049"/>
    <x v="54"/>
    <s v="D049"/>
    <n v="2"/>
    <n v="157"/>
    <s v="YES"/>
    <n v="78.5"/>
    <n v="75"/>
  </r>
  <r>
    <s v="O0086"/>
    <s v="2025-02-19"/>
    <s v="C068"/>
    <x v="42"/>
    <s v="D029"/>
    <n v="2"/>
    <n v="114"/>
    <s v="NO"/>
    <n v="114"/>
    <n v="88"/>
  </r>
  <r>
    <s v="O0087"/>
    <s v="2026-01-06"/>
    <s v="C013"/>
    <x v="55"/>
    <s v="D038"/>
    <n v="3"/>
    <n v="180"/>
    <s v="YES"/>
    <n v="90"/>
    <n v="60"/>
  </r>
  <r>
    <s v="O0088"/>
    <s v="2025-06-10"/>
    <s v="C003"/>
    <x v="56"/>
    <s v="D004"/>
    <n v="1"/>
    <n v="181"/>
    <s v="NO"/>
    <n v="181"/>
    <n v="138"/>
  </r>
  <r>
    <s v="O0089"/>
    <s v="2025-02-22"/>
    <s v="C008"/>
    <x v="57"/>
    <s v="D038"/>
    <n v="3"/>
    <n v="185"/>
    <s v="YES"/>
    <n v="92.5"/>
    <n v="67.5"/>
  </r>
  <r>
    <s v="O0090"/>
    <s v="2025-08-02"/>
    <s v="C005"/>
    <x v="58"/>
    <s v="D034"/>
    <n v="4"/>
    <n v="236"/>
    <s v="NO"/>
    <n v="236"/>
    <n v="656"/>
  </r>
  <r>
    <s v="O0091"/>
    <s v="2025-01-04"/>
    <s v="C046"/>
    <x v="59"/>
    <s v="D031"/>
    <n v="2"/>
    <n v="202"/>
    <s v="YES"/>
    <n v="101"/>
    <n v="24"/>
  </r>
  <r>
    <s v="O0092"/>
    <s v="2025-07-17"/>
    <s v="C023"/>
    <x v="34"/>
    <s v="D007"/>
    <n v="1"/>
    <n v="241"/>
    <s v="NO"/>
    <n v="241"/>
    <n v="174"/>
  </r>
  <r>
    <s v="O0093"/>
    <s v="2025-01-20"/>
    <s v="C064"/>
    <x v="31"/>
    <s v="D050"/>
    <n v="2"/>
    <n v="183"/>
    <s v="YES"/>
    <n v="91.5"/>
    <n v="21"/>
  </r>
  <r>
    <s v="O0094"/>
    <s v="2025-01-26"/>
    <s v="C088"/>
    <x v="19"/>
    <s v="D038"/>
    <n v="2"/>
    <n v="196"/>
    <s v="NO"/>
    <n v="196"/>
    <n v="252"/>
  </r>
  <r>
    <s v="O0095"/>
    <s v="2025-08-30"/>
    <s v="C008"/>
    <x v="60"/>
    <s v="D005"/>
    <n v="1"/>
    <n v="126"/>
    <s v="YES"/>
    <n v="63"/>
    <n v="-5"/>
  </r>
  <r>
    <s v="O0096"/>
    <s v="2025-12-28"/>
    <s v="C052"/>
    <x v="51"/>
    <s v="D046"/>
    <n v="4"/>
    <n v="206"/>
    <s v="NO"/>
    <n v="206"/>
    <n v="652"/>
  </r>
  <r>
    <s v="O0097"/>
    <s v="2025-03-30"/>
    <s v="C036"/>
    <x v="61"/>
    <s v="D013"/>
    <n v="1"/>
    <n v="198"/>
    <s v="NO"/>
    <n v="198"/>
    <n v="153"/>
  </r>
  <r>
    <s v="O0098"/>
    <s v="2025-08-06"/>
    <s v="C035"/>
    <x v="28"/>
    <s v="D009"/>
    <n v="2"/>
    <n v="218"/>
    <s v="YES"/>
    <n v="109"/>
    <n v="50"/>
  </r>
  <r>
    <s v="O0099"/>
    <s v="2025-12-29"/>
    <s v="C064"/>
    <x v="62"/>
    <s v="D044"/>
    <n v="4"/>
    <n v="193"/>
    <s v="YES"/>
    <n v="96.5"/>
    <n v="106"/>
  </r>
  <r>
    <s v="O0100"/>
    <s v="2026-01-02"/>
    <s v="C048"/>
    <x v="32"/>
    <s v="D006"/>
    <n v="3"/>
    <n v="240"/>
    <s v="NO"/>
    <n v="240"/>
    <n v="465"/>
  </r>
  <r>
    <s v="O0101"/>
    <s v="2025-03-10"/>
    <s v="C013"/>
    <x v="40"/>
    <s v="D011"/>
    <n v="5"/>
    <n v="107"/>
    <s v="YES"/>
    <n v="53.5"/>
    <n v="-17.5"/>
  </r>
  <r>
    <s v="O0102"/>
    <s v="2025-10-20"/>
    <s v="C036"/>
    <x v="13"/>
    <s v="D041"/>
    <n v="3"/>
    <n v="158"/>
    <s v="NO"/>
    <n v="158"/>
    <n v="309"/>
  </r>
  <r>
    <s v="O0103"/>
    <s v="2025-12-22"/>
    <s v="C025"/>
    <x v="8"/>
    <s v="D006"/>
    <n v="5"/>
    <n v="111"/>
    <s v="NO"/>
    <n v="111"/>
    <n v="130"/>
  </r>
  <r>
    <s v="O0104"/>
    <s v="2025-04-13"/>
    <s v="C020"/>
    <x v="63"/>
    <s v="D035"/>
    <n v="4"/>
    <n v="124"/>
    <s v="YES"/>
    <n v="62"/>
    <n v="-36"/>
  </r>
  <r>
    <s v="O0105"/>
    <s v="2025-07-23"/>
    <s v="C025"/>
    <x v="39"/>
    <s v="D005"/>
    <n v="3"/>
    <n v="181"/>
    <s v="NO"/>
    <n v="181"/>
    <n v="339"/>
  </r>
  <r>
    <s v="O0106"/>
    <s v="2026-01-22"/>
    <s v="C055"/>
    <x v="57"/>
    <s v="D027"/>
    <n v="5"/>
    <n v="182"/>
    <s v="NO"/>
    <n v="182"/>
    <n v="660"/>
  </r>
  <r>
    <s v="O0107"/>
    <s v="2025-01-01"/>
    <s v="C062"/>
    <x v="64"/>
    <s v="D030"/>
    <n v="3"/>
    <n v="124"/>
    <s v="YES"/>
    <n v="62"/>
    <n v="0"/>
  </r>
  <r>
    <s v="O0108"/>
    <s v="2025-09-08"/>
    <s v="C071"/>
    <x v="7"/>
    <s v="D025"/>
    <n v="4"/>
    <n v="177"/>
    <s v="YES"/>
    <n v="88.5"/>
    <n v="46"/>
  </r>
  <r>
    <s v="O0109"/>
    <s v="2025-04-09"/>
    <s v="C041"/>
    <x v="65"/>
    <s v="D047"/>
    <n v="3"/>
    <n v="112"/>
    <s v="NO"/>
    <n v="112"/>
    <n v="81"/>
  </r>
  <r>
    <s v="O0110"/>
    <s v="2026-01-24"/>
    <s v="C014"/>
    <x v="66"/>
    <s v="D022"/>
    <n v="4"/>
    <n v="233"/>
    <s v="YES"/>
    <n v="116.5"/>
    <n v="206"/>
  </r>
  <r>
    <s v="O0111"/>
    <s v="2025-03-04"/>
    <s v="C003"/>
    <x v="67"/>
    <s v="D009"/>
    <n v="3"/>
    <n v="182"/>
    <s v="NO"/>
    <n v="182"/>
    <n v="294"/>
  </r>
  <r>
    <s v="O0112"/>
    <s v="2025-04-27"/>
    <s v="C095"/>
    <x v="68"/>
    <s v="D029"/>
    <n v="3"/>
    <n v="171"/>
    <s v="YES"/>
    <n v="85.5"/>
    <n v="46.5"/>
  </r>
  <r>
    <s v="O0113"/>
    <s v="2025-07-29"/>
    <s v="C099"/>
    <x v="23"/>
    <s v="D030"/>
    <n v="2"/>
    <n v="154"/>
    <s v="YES"/>
    <n v="77"/>
    <n v="30"/>
  </r>
  <r>
    <s v="O0114"/>
    <s v="2025-06-03"/>
    <s v="C061"/>
    <x v="69"/>
    <s v="D024"/>
    <n v="5"/>
    <n v="228"/>
    <s v="NO"/>
    <n v="228"/>
    <n v="860"/>
  </r>
  <r>
    <s v="O0115"/>
    <s v="2025-04-01"/>
    <s v="C050"/>
    <x v="63"/>
    <s v="D027"/>
    <n v="2"/>
    <n v="131"/>
    <s v="YES"/>
    <n v="65.5"/>
    <n v="31"/>
  </r>
  <r>
    <s v="O0116"/>
    <s v="2025-05-31"/>
    <s v="C013"/>
    <x v="70"/>
    <s v="D043"/>
    <n v="5"/>
    <n v="235"/>
    <s v="YES"/>
    <n v="117.5"/>
    <n v="277.5"/>
  </r>
  <r>
    <s v="O0117"/>
    <s v="2025-02-15"/>
    <s v="C088"/>
    <x v="64"/>
    <s v="D041"/>
    <n v="2"/>
    <n v="250"/>
    <s v="NO"/>
    <n v="250"/>
    <n v="390"/>
  </r>
  <r>
    <s v="O0118"/>
    <s v="2025-06-26"/>
    <s v="C055"/>
    <x v="29"/>
    <s v="D006"/>
    <n v="1"/>
    <n v="242"/>
    <s v="NO"/>
    <n v="242"/>
    <n v="157"/>
  </r>
  <r>
    <s v="O0119"/>
    <s v="2025-10-26"/>
    <s v="C096"/>
    <x v="14"/>
    <s v="D041"/>
    <n v="5"/>
    <n v="148"/>
    <s v="NO"/>
    <n v="148"/>
    <n v="465"/>
  </r>
  <r>
    <s v="O0120"/>
    <s v="2025-03-04"/>
    <s v="C045"/>
    <x v="71"/>
    <s v="D028"/>
    <n v="4"/>
    <n v="240"/>
    <s v="YES"/>
    <n v="120"/>
    <n v="180"/>
  </r>
  <r>
    <s v="O0121"/>
    <s v="2025-01-03"/>
    <s v="C081"/>
    <x v="72"/>
    <s v="D044"/>
    <n v="4"/>
    <n v="109"/>
    <s v="YES"/>
    <n v="54.5"/>
    <n v="-62"/>
  </r>
  <r>
    <s v="O0122"/>
    <s v="2025-04-25"/>
    <s v="C069"/>
    <x v="45"/>
    <s v="D026"/>
    <n v="5"/>
    <n v="218"/>
    <s v="YES"/>
    <n v="109"/>
    <n v="340"/>
  </r>
  <r>
    <s v="O0123"/>
    <s v="2025-11-23"/>
    <s v="C091"/>
    <x v="22"/>
    <s v="D009"/>
    <n v="1"/>
    <n v="198"/>
    <s v="NO"/>
    <n v="198"/>
    <n v="114"/>
  </r>
  <r>
    <s v="O0124"/>
    <s v="2025-06-20"/>
    <s v="C099"/>
    <x v="38"/>
    <s v="D050"/>
    <n v="5"/>
    <n v="117"/>
    <s v="YES"/>
    <n v="58.5"/>
    <n v="-112.5"/>
  </r>
  <r>
    <s v="O0125"/>
    <s v="2025-07-03"/>
    <s v="C024"/>
    <x v="26"/>
    <s v="D014"/>
    <n v="1"/>
    <n v="131"/>
    <s v="YES"/>
    <n v="65.5"/>
    <n v="15.5"/>
  </r>
  <r>
    <s v="O0126"/>
    <s v="2025-11-01"/>
    <s v="C093"/>
    <x v="21"/>
    <s v="D029"/>
    <n v="5"/>
    <n v="230"/>
    <s v="YES"/>
    <n v="115"/>
    <n v="225"/>
  </r>
  <r>
    <s v="O0127"/>
    <s v="2025-05-08"/>
    <s v="C050"/>
    <x v="73"/>
    <s v="D012"/>
    <n v="3"/>
    <n v="114"/>
    <s v="YES"/>
    <n v="57"/>
    <n v="-48"/>
  </r>
  <r>
    <s v="O0128"/>
    <s v="2025-04-29"/>
    <s v="C018"/>
    <x v="74"/>
    <s v="D013"/>
    <n v="2"/>
    <n v="180"/>
    <s v="NO"/>
    <n v="180"/>
    <n v="270"/>
  </r>
  <r>
    <s v="O0129"/>
    <s v="2025-10-15"/>
    <s v="C032"/>
    <x v="35"/>
    <s v="D050"/>
    <n v="2"/>
    <n v="142"/>
    <s v="NO"/>
    <n v="142"/>
    <n v="122"/>
  </r>
  <r>
    <s v="O0130"/>
    <s v="2025-11-12"/>
    <s v="C046"/>
    <x v="25"/>
    <s v="D014"/>
    <n v="1"/>
    <n v="193"/>
    <s v="YES"/>
    <n v="96.5"/>
    <n v="46.5"/>
  </r>
  <r>
    <s v="O0131"/>
    <s v="2025-07-22"/>
    <s v="C083"/>
    <x v="75"/>
    <s v="D018"/>
    <n v="4"/>
    <n v="194"/>
    <s v="YES"/>
    <n v="97"/>
    <n v="88"/>
  </r>
  <r>
    <s v="O0132"/>
    <s v="2025-08-13"/>
    <s v="C003"/>
    <x v="66"/>
    <s v="D004"/>
    <n v="2"/>
    <n v="235"/>
    <s v="NO"/>
    <n v="235"/>
    <n v="384"/>
  </r>
  <r>
    <s v="O0133"/>
    <s v="2025-07-19"/>
    <s v="C031"/>
    <x v="53"/>
    <s v="D003"/>
    <n v="5"/>
    <n v="180"/>
    <s v="NO"/>
    <n v="180"/>
    <n v="480"/>
  </r>
  <r>
    <s v="O0134"/>
    <s v="2025-11-22"/>
    <s v="C046"/>
    <x v="75"/>
    <s v="D039"/>
    <n v="4"/>
    <n v="184"/>
    <s v="YES"/>
    <n v="92"/>
    <n v="188"/>
  </r>
  <r>
    <s v="O0135"/>
    <s v="2025-10-16"/>
    <s v="C035"/>
    <x v="76"/>
    <s v="D040"/>
    <n v="2"/>
    <n v="155"/>
    <s v="YES"/>
    <n v="77.5"/>
    <n v="-5"/>
  </r>
  <r>
    <s v="O0136"/>
    <s v="2025-08-28"/>
    <s v="C019"/>
    <x v="2"/>
    <s v="D043"/>
    <n v="5"/>
    <n v="146"/>
    <s v="NO"/>
    <n v="146"/>
    <n v="420"/>
  </r>
  <r>
    <s v="O0137"/>
    <s v="2025-12-08"/>
    <s v="C007"/>
    <x v="7"/>
    <s v="D020"/>
    <n v="5"/>
    <n v="250"/>
    <s v="YES"/>
    <n v="125"/>
    <n v="350"/>
  </r>
  <r>
    <s v="O0138"/>
    <s v="2025-05-11"/>
    <s v="C034"/>
    <x v="77"/>
    <s v="D015"/>
    <n v="1"/>
    <n v="248"/>
    <s v="NO"/>
    <n v="248"/>
    <n v="169"/>
  </r>
  <r>
    <s v="O0139"/>
    <s v="2025-07-17"/>
    <s v="C087"/>
    <x v="59"/>
    <s v="D014"/>
    <n v="1"/>
    <n v="132"/>
    <s v="NO"/>
    <n v="132"/>
    <n v="82"/>
  </r>
  <r>
    <s v="O0140"/>
    <s v="2025-04-23"/>
    <s v="C078"/>
    <x v="38"/>
    <s v="D011"/>
    <n v="5"/>
    <n v="108"/>
    <s v="NO"/>
    <n v="108"/>
    <n v="255"/>
  </r>
  <r>
    <s v="O0141"/>
    <s v="2025-08-19"/>
    <s v="C038"/>
    <x v="78"/>
    <s v="D027"/>
    <n v="1"/>
    <n v="209"/>
    <s v="YES"/>
    <n v="104.5"/>
    <n v="54.5"/>
  </r>
  <r>
    <s v="O0142"/>
    <s v="2025-12-10"/>
    <s v="C079"/>
    <x v="52"/>
    <s v="D018"/>
    <n v="1"/>
    <n v="236"/>
    <s v="NO"/>
    <n v="236"/>
    <n v="161"/>
  </r>
  <r>
    <s v="O0143"/>
    <s v="2025-09-16"/>
    <s v="C041"/>
    <x v="33"/>
    <s v="D048"/>
    <n v="5"/>
    <n v="112"/>
    <s v="NO"/>
    <n v="112"/>
    <n v="350"/>
  </r>
  <r>
    <s v="O0144"/>
    <s v="2025-12-03"/>
    <s v="C055"/>
    <x v="3"/>
    <s v="D017"/>
    <n v="5"/>
    <n v="162"/>
    <s v="NO"/>
    <n v="162"/>
    <n v="510"/>
  </r>
  <r>
    <s v="O0145"/>
    <s v="2025-01-16"/>
    <s v="C021"/>
    <x v="79"/>
    <s v="D032"/>
    <n v="1"/>
    <n v="100"/>
    <s v="NO"/>
    <n v="100"/>
    <n v="17"/>
  </r>
  <r>
    <s v="O0146"/>
    <s v="2026-02-04"/>
    <s v="C094"/>
    <x v="37"/>
    <s v="D022"/>
    <n v="4"/>
    <n v="232"/>
    <s v="NO"/>
    <n v="232"/>
    <n v="668"/>
  </r>
  <r>
    <s v="O0147"/>
    <s v="2025-02-23"/>
    <s v="C049"/>
    <x v="80"/>
    <s v="D001"/>
    <n v="2"/>
    <n v="117"/>
    <s v="YES"/>
    <n v="58.5"/>
    <n v="-11"/>
  </r>
  <r>
    <s v="O0148"/>
    <s v="2025-12-11"/>
    <s v="C099"/>
    <x v="80"/>
    <s v="D043"/>
    <n v="2"/>
    <n v="138"/>
    <s v="YES"/>
    <n v="69"/>
    <n v="14"/>
  </r>
  <r>
    <s v="O0149"/>
    <s v="2025-12-18"/>
    <s v="C031"/>
    <x v="31"/>
    <s v="D015"/>
    <n v="2"/>
    <n v="178"/>
    <s v="NO"/>
    <n v="178"/>
    <n v="198"/>
  </r>
  <r>
    <s v="O0150"/>
    <s v="2025-05-07"/>
    <s v="C027"/>
    <x v="46"/>
    <s v="D045"/>
    <n v="1"/>
    <n v="188"/>
    <s v="YES"/>
    <n v="94"/>
    <n v="30"/>
  </r>
  <r>
    <s v="O0151"/>
    <s v="2025-08-28"/>
    <s v="C061"/>
    <x v="13"/>
    <s v="D038"/>
    <n v="1"/>
    <n v="150"/>
    <s v="NO"/>
    <n v="150"/>
    <n v="80"/>
  </r>
  <r>
    <s v="O0152"/>
    <s v="2025-12-18"/>
    <s v="C070"/>
    <x v="81"/>
    <s v="D003"/>
    <n v="3"/>
    <n v="121"/>
    <s v="YES"/>
    <n v="60.5"/>
    <n v="-70.5"/>
  </r>
  <r>
    <s v="O0153"/>
    <s v="2025-02-14"/>
    <s v="C045"/>
    <x v="82"/>
    <s v="D024"/>
    <n v="3"/>
    <n v="162"/>
    <s v="YES"/>
    <n v="81"/>
    <n v="75"/>
  </r>
  <r>
    <s v="O0154"/>
    <s v="2026-01-21"/>
    <s v="C013"/>
    <x v="28"/>
    <s v="D019"/>
    <n v="5"/>
    <n v="169"/>
    <s v="YES"/>
    <n v="84.5"/>
    <n v="2.5"/>
  </r>
  <r>
    <s v="O0155"/>
    <s v="2025-07-08"/>
    <s v="C012"/>
    <x v="22"/>
    <s v="D025"/>
    <n v="5"/>
    <n v="219"/>
    <s v="NO"/>
    <n v="219"/>
    <n v="710"/>
  </r>
  <r>
    <s v="O0156"/>
    <s v="2025-10-07"/>
    <s v="C008"/>
    <x v="72"/>
    <s v="D004"/>
    <n v="5"/>
    <n v="133"/>
    <s v="YES"/>
    <n v="66.5"/>
    <n v="117.5"/>
  </r>
  <r>
    <s v="O0157"/>
    <s v="2025-06-23"/>
    <s v="C081"/>
    <x v="83"/>
    <s v="D031"/>
    <n v="4"/>
    <n v="240"/>
    <s v="YES"/>
    <n v="120"/>
    <n v="124"/>
  </r>
  <r>
    <s v="O0158"/>
    <s v="2025-11-22"/>
    <s v="C045"/>
    <x v="84"/>
    <s v="D047"/>
    <n v="2"/>
    <n v="203"/>
    <s v="YES"/>
    <n v="101.5"/>
    <n v="33"/>
  </r>
  <r>
    <s v="O0159"/>
    <s v="2025-12-24"/>
    <s v="C095"/>
    <x v="85"/>
    <s v="D040"/>
    <n v="5"/>
    <n v="236"/>
    <s v="YES"/>
    <n v="118"/>
    <n v="190"/>
  </r>
  <r>
    <s v="O0160"/>
    <s v="2025-12-14"/>
    <s v="C030"/>
    <x v="38"/>
    <s v="D031"/>
    <n v="3"/>
    <n v="154"/>
    <s v="NO"/>
    <n v="154"/>
    <n v="195"/>
  </r>
  <r>
    <s v="O0161"/>
    <s v="2025-06-25"/>
    <s v="C042"/>
    <x v="24"/>
    <s v="D022"/>
    <n v="2"/>
    <n v="213"/>
    <s v="YES"/>
    <n v="106.5"/>
    <n v="83"/>
  </r>
  <r>
    <s v="O0162"/>
    <s v="2025-11-26"/>
    <s v="C058"/>
    <x v="81"/>
    <s v="D025"/>
    <n v="3"/>
    <n v="136"/>
    <s v="YES"/>
    <n v="68"/>
    <n v="-27"/>
  </r>
  <r>
    <s v="O0163"/>
    <s v="2025-04-18"/>
    <s v="C070"/>
    <x v="83"/>
    <s v="D046"/>
    <n v="2"/>
    <n v="174"/>
    <s v="YES"/>
    <n v="87"/>
    <n v="88"/>
  </r>
  <r>
    <s v="O0164"/>
    <s v="2025-11-01"/>
    <s v="C013"/>
    <x v="65"/>
    <s v="D037"/>
    <n v="1"/>
    <n v="227"/>
    <s v="YES"/>
    <n v="113.5"/>
    <n v="59.5"/>
  </r>
  <r>
    <s v="O0165"/>
    <s v="2025-05-21"/>
    <s v="C028"/>
    <x v="66"/>
    <s v="D015"/>
    <n v="1"/>
    <n v="216"/>
    <s v="NO"/>
    <n v="216"/>
    <n v="137"/>
  </r>
  <r>
    <s v="O0166"/>
    <s v="2025-03-19"/>
    <s v="C096"/>
    <x v="27"/>
    <s v="D017"/>
    <n v="2"/>
    <n v="245"/>
    <s v="NO"/>
    <n v="245"/>
    <n v="370"/>
  </r>
  <r>
    <s v="O0167"/>
    <s v="2025-08-13"/>
    <s v="C064"/>
    <x v="86"/>
    <s v="D007"/>
    <n v="2"/>
    <n v="236"/>
    <s v="YES"/>
    <n v="118"/>
    <n v="102"/>
  </r>
  <r>
    <s v="O0168"/>
    <s v="2025-03-08"/>
    <s v="C056"/>
    <x v="40"/>
    <s v="D019"/>
    <n v="5"/>
    <n v="123"/>
    <s v="NO"/>
    <n v="123"/>
    <n v="195"/>
  </r>
  <r>
    <s v="O0169"/>
    <s v="2025-09-30"/>
    <s v="C003"/>
    <x v="31"/>
    <s v="D014"/>
    <n v="4"/>
    <n v="105"/>
    <s v="NO"/>
    <n v="105"/>
    <n v="220"/>
  </r>
  <r>
    <s v="O0170"/>
    <s v="2025-06-24"/>
    <s v="C098"/>
    <x v="37"/>
    <s v="D018"/>
    <n v="2"/>
    <n v="235"/>
    <s v="YES"/>
    <n v="117.5"/>
    <n v="85"/>
  </r>
  <r>
    <s v="O0171"/>
    <s v="2025-07-29"/>
    <s v="C039"/>
    <x v="62"/>
    <s v="D021"/>
    <n v="3"/>
    <n v="212"/>
    <s v="YES"/>
    <n v="106"/>
    <n v="129"/>
  </r>
  <r>
    <s v="O0172"/>
    <s v="2025-10-05"/>
    <s v="C100"/>
    <x v="73"/>
    <s v="D037"/>
    <n v="2"/>
    <n v="140"/>
    <s v="YES"/>
    <n v="70"/>
    <n v="32"/>
  </r>
  <r>
    <s v="O0173"/>
    <s v="2025-09-25"/>
    <s v="C096"/>
    <x v="35"/>
    <s v="D001"/>
    <n v="1"/>
    <n v="186"/>
    <s v="NO"/>
    <n v="186"/>
    <n v="122"/>
  </r>
  <r>
    <s v="O0174"/>
    <s v="2025-11-13"/>
    <s v="C062"/>
    <x v="29"/>
    <s v="D019"/>
    <n v="1"/>
    <n v="109"/>
    <s v="YES"/>
    <n v="54.5"/>
    <n v="-29.5"/>
  </r>
  <r>
    <s v="O0175"/>
    <s v="2025-05-26"/>
    <s v="C088"/>
    <x v="34"/>
    <s v="D049"/>
    <n v="2"/>
    <n v="197"/>
    <s v="NO"/>
    <n v="197"/>
    <n v="312"/>
  </r>
  <r>
    <s v="O0176"/>
    <s v="2025-12-28"/>
    <s v="C038"/>
    <x v="3"/>
    <s v="D006"/>
    <n v="5"/>
    <n v="193"/>
    <s v="YES"/>
    <n v="96.5"/>
    <n v="57.5"/>
  </r>
  <r>
    <s v="O0177"/>
    <s v="2025-12-03"/>
    <s v="C059"/>
    <x v="41"/>
    <s v="D012"/>
    <n v="4"/>
    <n v="164"/>
    <s v="YES"/>
    <n v="82"/>
    <n v="36"/>
  </r>
  <r>
    <s v="O0178"/>
    <s v="2025-07-12"/>
    <s v="C043"/>
    <x v="73"/>
    <s v="D007"/>
    <n v="2"/>
    <n v="129"/>
    <s v="YES"/>
    <n v="64.5"/>
    <n v="-5"/>
  </r>
  <r>
    <s v="O0179"/>
    <s v="2025-09-03"/>
    <s v="C091"/>
    <x v="42"/>
    <s v="D041"/>
    <n v="5"/>
    <n v="208"/>
    <s v="NO"/>
    <n v="208"/>
    <n v="765"/>
  </r>
  <r>
    <s v="O0180"/>
    <s v="2025-03-29"/>
    <s v="C026"/>
    <x v="80"/>
    <s v="D013"/>
    <n v="3"/>
    <n v="138"/>
    <s v="NO"/>
    <n v="138"/>
    <n v="279"/>
  </r>
  <r>
    <s v="O0181"/>
    <s v="2025-11-28"/>
    <s v="C083"/>
    <x v="34"/>
    <s v="D029"/>
    <n v="1"/>
    <n v="240"/>
    <s v="YES"/>
    <n v="120"/>
    <n v="50"/>
  </r>
  <r>
    <s v="O0182"/>
    <s v="2025-11-22"/>
    <s v="C043"/>
    <x v="9"/>
    <s v="D012"/>
    <n v="5"/>
    <n v="209"/>
    <s v="YES"/>
    <n v="104.5"/>
    <n v="157.5"/>
  </r>
  <r>
    <s v="O0183"/>
    <s v="2025-07-18"/>
    <s v="C062"/>
    <x v="86"/>
    <s v="D014"/>
    <n v="5"/>
    <n v="122"/>
    <s v="YES"/>
    <n v="61"/>
    <n v="55"/>
  </r>
  <r>
    <s v="O0184"/>
    <s v="2025-06-07"/>
    <s v="C007"/>
    <x v="87"/>
    <s v="D044"/>
    <n v="2"/>
    <n v="106"/>
    <s v="YES"/>
    <n v="53"/>
    <n v="-34"/>
  </r>
  <r>
    <s v="O0185"/>
    <s v="2025-02-03"/>
    <s v="C027"/>
    <x v="57"/>
    <s v="D006"/>
    <n v="5"/>
    <n v="219"/>
    <s v="YES"/>
    <n v="109.5"/>
    <n v="122.5"/>
  </r>
  <r>
    <s v="O0186"/>
    <s v="2025-12-23"/>
    <s v="C060"/>
    <x v="15"/>
    <s v="D012"/>
    <n v="3"/>
    <n v="130"/>
    <s v="NO"/>
    <n v="130"/>
    <n v="171"/>
  </r>
  <r>
    <s v="O0187"/>
    <s v="2025-02-24"/>
    <s v="C050"/>
    <x v="30"/>
    <s v="D001"/>
    <n v="4"/>
    <n v="171"/>
    <s v="YES"/>
    <n v="85.5"/>
    <n v="86"/>
  </r>
  <r>
    <s v="O0188"/>
    <s v="2025-06-26"/>
    <s v="C032"/>
    <x v="88"/>
    <s v="D018"/>
    <n v="5"/>
    <n v="233"/>
    <s v="NO"/>
    <n v="233"/>
    <n v="790"/>
  </r>
  <r>
    <s v="O0189"/>
    <s v="2025-12-06"/>
    <s v="C040"/>
    <x v="68"/>
    <s v="D042"/>
    <n v="3"/>
    <n v="171"/>
    <s v="NO"/>
    <n v="171"/>
    <n v="246"/>
  </r>
  <r>
    <s v="O0190"/>
    <s v="2025-12-11"/>
    <s v="C044"/>
    <x v="84"/>
    <s v="D037"/>
    <n v="3"/>
    <n v="137"/>
    <s v="NO"/>
    <n v="137"/>
    <n v="249"/>
  </r>
  <r>
    <s v="O0191"/>
    <s v="2025-08-07"/>
    <s v="C059"/>
    <x v="80"/>
    <s v="D014"/>
    <n v="1"/>
    <n v="227"/>
    <s v="YES"/>
    <n v="113.5"/>
    <n v="63.5"/>
  </r>
  <r>
    <s v="O0192"/>
    <s v="2025-08-21"/>
    <s v="C068"/>
    <x v="29"/>
    <s v="D025"/>
    <n v="2"/>
    <n v="146"/>
    <s v="NO"/>
    <n v="146"/>
    <n v="138"/>
  </r>
  <r>
    <s v="O0193"/>
    <s v="2026-02-05"/>
    <s v="C029"/>
    <x v="64"/>
    <s v="D014"/>
    <n v="2"/>
    <n v="189"/>
    <s v="NO"/>
    <n v="189"/>
    <n v="278"/>
  </r>
  <r>
    <s v="O0194"/>
    <s v="2025-10-24"/>
    <s v="C097"/>
    <x v="55"/>
    <s v="D022"/>
    <n v="3"/>
    <n v="240"/>
    <s v="NO"/>
    <n v="240"/>
    <n v="525"/>
  </r>
  <r>
    <s v="O0195"/>
    <s v="2025-05-16"/>
    <s v="C089"/>
    <x v="20"/>
    <s v="D037"/>
    <n v="5"/>
    <n v="127"/>
    <s v="NO"/>
    <n v="127"/>
    <n v="365"/>
  </r>
  <r>
    <s v="O0196"/>
    <s v="2025-05-22"/>
    <s v="C016"/>
    <x v="33"/>
    <s v="D031"/>
    <n v="5"/>
    <n v="215"/>
    <s v="YES"/>
    <n v="107.5"/>
    <n v="92.5"/>
  </r>
  <r>
    <s v="O0197"/>
    <s v="2025-02-22"/>
    <s v="C072"/>
    <x v="41"/>
    <s v="D022"/>
    <n v="3"/>
    <n v="224"/>
    <s v="NO"/>
    <n v="224"/>
    <n v="477"/>
  </r>
  <r>
    <s v="O0198"/>
    <s v="2025-02-05"/>
    <s v="C037"/>
    <x v="11"/>
    <s v="D035"/>
    <n v="5"/>
    <n v="135"/>
    <s v="YES"/>
    <n v="67.5"/>
    <n v="-17.5"/>
  </r>
  <r>
    <s v="O0199"/>
    <s v="2025-04-07"/>
    <s v="C004"/>
    <x v="18"/>
    <s v="D029"/>
    <n v="3"/>
    <n v="180"/>
    <s v="NO"/>
    <n v="180"/>
    <n v="330"/>
  </r>
  <r>
    <s v="O0200"/>
    <s v="2025-10-16"/>
    <s v="C007"/>
    <x v="70"/>
    <s v="D005"/>
    <n v="5"/>
    <n v="211"/>
    <s v="YES"/>
    <n v="105.5"/>
    <n v="187.5"/>
  </r>
  <r>
    <s v="O0201"/>
    <s v="2025-11-15"/>
    <s v="C045"/>
    <x v="76"/>
    <s v="D035"/>
    <n v="4"/>
    <n v="153"/>
    <s v="YES"/>
    <n v="76.5"/>
    <n v="22"/>
  </r>
  <r>
    <s v="O0202"/>
    <s v="2025-09-08"/>
    <s v="C017"/>
    <x v="84"/>
    <s v="D036"/>
    <n v="1"/>
    <n v="250"/>
    <s v="NO"/>
    <n v="250"/>
    <n v="188"/>
  </r>
  <r>
    <s v="O0203"/>
    <s v="2025-11-04"/>
    <s v="C061"/>
    <x v="31"/>
    <s v="D016"/>
    <n v="1"/>
    <n v="112"/>
    <s v="NO"/>
    <n v="112"/>
    <n v="43"/>
  </r>
  <r>
    <s v="O0204"/>
    <s v="2025-04-22"/>
    <s v="C049"/>
    <x v="65"/>
    <s v="D022"/>
    <n v="2"/>
    <n v="138"/>
    <s v="YES"/>
    <n v="69"/>
    <n v="8"/>
  </r>
  <r>
    <s v="O0205"/>
    <s v="2025-02-07"/>
    <s v="C096"/>
    <x v="67"/>
    <s v="D035"/>
    <n v="3"/>
    <n v="128"/>
    <s v="NO"/>
    <n v="128"/>
    <n v="171"/>
  </r>
  <r>
    <s v="O0206"/>
    <s v="2025-04-05"/>
    <s v="C038"/>
    <x v="79"/>
    <s v="D001"/>
    <n v="3"/>
    <n v="147"/>
    <s v="YES"/>
    <n v="73.5"/>
    <n v="28.5"/>
  </r>
  <r>
    <s v="O0207"/>
    <s v="2025-10-18"/>
    <s v="C067"/>
    <x v="51"/>
    <s v="D025"/>
    <n v="2"/>
    <n v="188"/>
    <s v="YES"/>
    <n v="94"/>
    <n v="34"/>
  </r>
  <r>
    <s v="O0208"/>
    <s v="2025-05-25"/>
    <s v="C100"/>
    <x v="75"/>
    <s v="D004"/>
    <n v="3"/>
    <n v="223"/>
    <s v="YES"/>
    <n v="111.5"/>
    <n v="205.5"/>
  </r>
  <r>
    <s v="O0209"/>
    <s v="2025-06-18"/>
    <s v="C007"/>
    <x v="2"/>
    <s v="D036"/>
    <n v="3"/>
    <n v="145"/>
    <s v="YES"/>
    <n v="72.5"/>
    <n v="31.5"/>
  </r>
  <r>
    <s v="O0210"/>
    <s v="2025-03-11"/>
    <s v="C061"/>
    <x v="77"/>
    <s v="D004"/>
    <n v="1"/>
    <n v="128"/>
    <s v="NO"/>
    <n v="128"/>
    <n v="85"/>
  </r>
  <r>
    <s v="O0211"/>
    <s v="2025-09-19"/>
    <s v="C004"/>
    <x v="59"/>
    <s v="D007"/>
    <n v="3"/>
    <n v="108"/>
    <s v="NO"/>
    <n v="108"/>
    <n v="123"/>
  </r>
  <r>
    <s v="O0212"/>
    <s v="2025-03-26"/>
    <s v="C010"/>
    <x v="41"/>
    <s v="D040"/>
    <n v="3"/>
    <n v="143"/>
    <s v="NO"/>
    <n v="143"/>
    <n v="189"/>
  </r>
  <r>
    <s v="O0213"/>
    <s v="2025-09-20"/>
    <s v="C086"/>
    <x v="85"/>
    <s v="D015"/>
    <n v="1"/>
    <n v="231"/>
    <s v="NO"/>
    <n v="231"/>
    <n v="152"/>
  </r>
  <r>
    <s v="O0214"/>
    <s v="2025-03-25"/>
    <s v="C014"/>
    <x v="56"/>
    <s v="D033"/>
    <n v="2"/>
    <n v="232"/>
    <s v="YES"/>
    <n v="116"/>
    <n v="138"/>
  </r>
  <r>
    <s v="O0215"/>
    <s v="2025-09-27"/>
    <s v="C049"/>
    <x v="82"/>
    <s v="D037"/>
    <n v="4"/>
    <n v="228"/>
    <s v="YES"/>
    <n v="114"/>
    <n v="240"/>
  </r>
  <r>
    <s v="O0216"/>
    <s v="2025-11-26"/>
    <s v="C071"/>
    <x v="51"/>
    <s v="D035"/>
    <n v="4"/>
    <n v="202"/>
    <s v="YES"/>
    <n v="101"/>
    <n v="120"/>
  </r>
  <r>
    <s v="O0217"/>
    <s v="2025-05-08"/>
    <s v="C027"/>
    <x v="1"/>
    <s v="D024"/>
    <n v="2"/>
    <n v="228"/>
    <s v="YES"/>
    <n v="114"/>
    <n v="116"/>
  </r>
  <r>
    <s v="O0218"/>
    <s v="2025-08-08"/>
    <s v="C072"/>
    <x v="38"/>
    <s v="D005"/>
    <n v="3"/>
    <n v="175"/>
    <s v="NO"/>
    <n v="175"/>
    <n v="321"/>
  </r>
  <r>
    <s v="O0219"/>
    <s v="2025-02-22"/>
    <s v="C063"/>
    <x v="76"/>
    <s v="D018"/>
    <n v="4"/>
    <n v="138"/>
    <s v="NO"/>
    <n v="138"/>
    <n v="252"/>
  </r>
  <r>
    <s v="O0220"/>
    <s v="2025-09-02"/>
    <s v="C002"/>
    <x v="7"/>
    <s v="D027"/>
    <n v="3"/>
    <n v="210"/>
    <s v="YES"/>
    <n v="105"/>
    <n v="165"/>
  </r>
  <r>
    <s v="O0221"/>
    <s v="2025-03-30"/>
    <s v="C003"/>
    <x v="49"/>
    <s v="D047"/>
    <n v="5"/>
    <n v="170"/>
    <s v="NO"/>
    <n v="170"/>
    <n v="425"/>
  </r>
  <r>
    <s v="O0222"/>
    <s v="2025-05-03"/>
    <s v="C099"/>
    <x v="18"/>
    <s v="D049"/>
    <n v="5"/>
    <n v="140"/>
    <s v="YES"/>
    <n v="70"/>
    <n v="145"/>
  </r>
  <r>
    <s v="O0223"/>
    <s v="2026-01-13"/>
    <s v="C097"/>
    <x v="61"/>
    <s v="D048"/>
    <n v="1"/>
    <n v="184"/>
    <s v="NO"/>
    <n v="184"/>
    <n v="142"/>
  </r>
  <r>
    <s v="O0224"/>
    <s v="2025-10-30"/>
    <s v="C021"/>
    <x v="54"/>
    <s v="D043"/>
    <n v="4"/>
    <n v="164"/>
    <s v="NO"/>
    <n v="164"/>
    <n v="408"/>
  </r>
  <r>
    <s v="O0225"/>
    <s v="2025-08-10"/>
    <s v="C092"/>
    <x v="53"/>
    <s v="D028"/>
    <n v="2"/>
    <n v="141"/>
    <s v="NO"/>
    <n v="141"/>
    <n v="132"/>
  </r>
  <r>
    <s v="O0226"/>
    <s v="2025-11-15"/>
    <s v="C017"/>
    <x v="61"/>
    <s v="D019"/>
    <n v="3"/>
    <n v="144"/>
    <s v="NO"/>
    <n v="144"/>
    <n v="180"/>
  </r>
  <r>
    <s v="O0227"/>
    <s v="2025-10-22"/>
    <s v="C058"/>
    <x v="84"/>
    <s v="D044"/>
    <n v="2"/>
    <n v="175"/>
    <s v="YES"/>
    <n v="87.5"/>
    <n v="35"/>
  </r>
  <r>
    <s v="O0228"/>
    <s v="2025-10-25"/>
    <s v="C017"/>
    <x v="86"/>
    <s v="D020"/>
    <n v="2"/>
    <n v="186"/>
    <s v="NO"/>
    <n v="186"/>
    <n v="262"/>
  </r>
  <r>
    <s v="O0229"/>
    <s v="2025-12-01"/>
    <s v="C056"/>
    <x v="40"/>
    <s v="D041"/>
    <n v="1"/>
    <n v="166"/>
    <s v="NO"/>
    <n v="166"/>
    <n v="111"/>
  </r>
  <r>
    <s v="O0230"/>
    <s v="2025-04-21"/>
    <s v="C100"/>
    <x v="72"/>
    <s v="D007"/>
    <n v="5"/>
    <n v="167"/>
    <s v="YES"/>
    <n v="83.5"/>
    <n v="82.5"/>
  </r>
  <r>
    <s v="O0231"/>
    <s v="2025-10-27"/>
    <s v="C096"/>
    <x v="41"/>
    <s v="D012"/>
    <n v="2"/>
    <n v="216"/>
    <s v="NO"/>
    <n v="216"/>
    <n v="286"/>
  </r>
  <r>
    <s v="O0232"/>
    <s v="2025-01-29"/>
    <s v="C059"/>
    <x v="50"/>
    <s v="D023"/>
    <n v="3"/>
    <n v="160"/>
    <s v="YES"/>
    <n v="80"/>
    <n v="117"/>
  </r>
  <r>
    <s v="O0233"/>
    <s v="2025-09-04"/>
    <s v="C043"/>
    <x v="20"/>
    <s v="D037"/>
    <n v="4"/>
    <n v="110"/>
    <s v="YES"/>
    <n v="55"/>
    <n v="4"/>
  </r>
  <r>
    <s v="O0234"/>
    <s v="2025-06-24"/>
    <s v="C008"/>
    <x v="2"/>
    <s v="D021"/>
    <n v="3"/>
    <n v="103"/>
    <s v="YES"/>
    <n v="51.5"/>
    <n v="-34.5"/>
  </r>
  <r>
    <s v="O0235"/>
    <s v="2026-01-13"/>
    <s v="C092"/>
    <x v="29"/>
    <s v="D038"/>
    <n v="1"/>
    <n v="207"/>
    <s v="NO"/>
    <n v="207"/>
    <n v="137"/>
  </r>
  <r>
    <s v="O0236"/>
    <s v="2025-10-30"/>
    <s v="C048"/>
    <x v="86"/>
    <s v="D017"/>
    <n v="5"/>
    <n v="145"/>
    <s v="NO"/>
    <n v="145"/>
    <n v="425"/>
  </r>
  <r>
    <s v="O0237"/>
    <s v="2025-10-03"/>
    <s v="C061"/>
    <x v="89"/>
    <s v="D011"/>
    <n v="1"/>
    <n v="179"/>
    <s v="NO"/>
    <n v="179"/>
    <n v="122"/>
  </r>
  <r>
    <s v="O0238"/>
    <s v="2025-06-29"/>
    <s v="C090"/>
    <x v="61"/>
    <s v="D019"/>
    <n v="4"/>
    <n v="243"/>
    <s v="NO"/>
    <n v="243"/>
    <n v="636"/>
  </r>
  <r>
    <s v="O0239"/>
    <s v="2025-06-23"/>
    <s v="C093"/>
    <x v="81"/>
    <s v="D049"/>
    <n v="3"/>
    <n v="242"/>
    <s v="YES"/>
    <n v="121"/>
    <n v="240"/>
  </r>
  <r>
    <s v="O0240"/>
    <s v="2025-08-05"/>
    <s v="C042"/>
    <x v="80"/>
    <s v="D022"/>
    <n v="3"/>
    <n v="238"/>
    <s v="YES"/>
    <n v="119"/>
    <n v="162"/>
  </r>
  <r>
    <s v="O0241"/>
    <s v="2025-09-21"/>
    <s v="C068"/>
    <x v="90"/>
    <s v="D011"/>
    <n v="4"/>
    <n v="196"/>
    <s v="NO"/>
    <n v="196"/>
    <n v="556"/>
  </r>
  <r>
    <s v="O0242"/>
    <s v="2025-07-25"/>
    <s v="C061"/>
    <x v="11"/>
    <s v="D035"/>
    <n v="3"/>
    <n v="204"/>
    <s v="NO"/>
    <n v="204"/>
    <n v="399"/>
  </r>
  <r>
    <s v="O0243"/>
    <s v="2025-05-11"/>
    <s v="C042"/>
    <x v="73"/>
    <s v="D047"/>
    <n v="1"/>
    <n v="224"/>
    <s v="YES"/>
    <n v="112"/>
    <n v="27"/>
  </r>
  <r>
    <s v="O0244"/>
    <s v="2025-10-10"/>
    <s v="C030"/>
    <x v="87"/>
    <s v="D013"/>
    <n v="5"/>
    <n v="232"/>
    <s v="NO"/>
    <n v="232"/>
    <n v="935"/>
  </r>
  <r>
    <s v="O0245"/>
    <s v="2025-05-17"/>
    <s v="C092"/>
    <x v="34"/>
    <s v="D048"/>
    <n v="5"/>
    <n v="141"/>
    <s v="NO"/>
    <n v="141"/>
    <n v="495"/>
  </r>
  <r>
    <s v="O0246"/>
    <s v="2025-09-11"/>
    <s v="C021"/>
    <x v="55"/>
    <s v="D038"/>
    <n v="2"/>
    <n v="179"/>
    <s v="NO"/>
    <n v="179"/>
    <n v="218"/>
  </r>
  <r>
    <s v="O0247"/>
    <s v="2025-11-22"/>
    <s v="C058"/>
    <x v="68"/>
    <s v="D032"/>
    <n v="2"/>
    <n v="156"/>
    <s v="YES"/>
    <n v="78"/>
    <n v="-10"/>
  </r>
  <r>
    <s v="O0248"/>
    <s v="2025-05-28"/>
    <s v="C056"/>
    <x v="25"/>
    <s v="D002"/>
    <n v="3"/>
    <n v="219"/>
    <s v="NO"/>
    <n v="219"/>
    <n v="453"/>
  </r>
  <r>
    <s v="O0249"/>
    <s v="2025-12-06"/>
    <s v="C094"/>
    <x v="90"/>
    <s v="D050"/>
    <n v="4"/>
    <n v="109"/>
    <s v="NO"/>
    <n v="109"/>
    <n v="112"/>
  </r>
  <r>
    <s v="O0250"/>
    <s v="2025-10-06"/>
    <s v="C078"/>
    <x v="60"/>
    <s v="D016"/>
    <n v="3"/>
    <n v="103"/>
    <s v="NO"/>
    <n v="103"/>
    <n v="102"/>
  </r>
  <r>
    <s v="O0251"/>
    <s v="2025-05-29"/>
    <s v="C094"/>
    <x v="46"/>
    <s v="D017"/>
    <n v="1"/>
    <n v="223"/>
    <s v="NO"/>
    <n v="223"/>
    <n v="163"/>
  </r>
  <r>
    <s v="O0252"/>
    <s v="2025-04-20"/>
    <s v="C041"/>
    <x v="44"/>
    <s v="D004"/>
    <n v="2"/>
    <n v="101"/>
    <s v="NO"/>
    <n v="101"/>
    <n v="116"/>
  </r>
  <r>
    <s v="O0253"/>
    <s v="2025-12-19"/>
    <s v="C026"/>
    <x v="16"/>
    <s v="D028"/>
    <n v="1"/>
    <n v="160"/>
    <s v="NO"/>
    <n v="160"/>
    <n v="85"/>
  </r>
  <r>
    <s v="O0254"/>
    <s v="2025-08-07"/>
    <s v="C022"/>
    <x v="34"/>
    <s v="D039"/>
    <n v="4"/>
    <n v="110"/>
    <s v="YES"/>
    <n v="55"/>
    <n v="40"/>
  </r>
  <r>
    <s v="O0255"/>
    <s v="2026-01-30"/>
    <s v="C037"/>
    <x v="90"/>
    <s v="D043"/>
    <n v="5"/>
    <n v="155"/>
    <s v="YES"/>
    <n v="77.5"/>
    <n v="77.5"/>
  </r>
  <r>
    <s v="O0256"/>
    <s v="2025-11-25"/>
    <s v="C096"/>
    <x v="47"/>
    <s v="D040"/>
    <n v="3"/>
    <n v="236"/>
    <s v="NO"/>
    <n v="236"/>
    <n v="468"/>
  </r>
  <r>
    <s v="O0257"/>
    <s v="2025-08-29"/>
    <s v="C045"/>
    <x v="29"/>
    <s v="D006"/>
    <n v="1"/>
    <n v="186"/>
    <s v="YES"/>
    <n v="93"/>
    <n v="8"/>
  </r>
  <r>
    <s v="O0258"/>
    <s v="2025-09-18"/>
    <s v="C093"/>
    <x v="1"/>
    <s v="D024"/>
    <n v="4"/>
    <n v="153"/>
    <s v="YES"/>
    <n v="76.5"/>
    <n v="82"/>
  </r>
  <r>
    <s v="O0259"/>
    <s v="2025-02-18"/>
    <s v="C093"/>
    <x v="51"/>
    <s v="D012"/>
    <n v="2"/>
    <n v="185"/>
    <s v="YES"/>
    <n v="92.5"/>
    <n v="39"/>
  </r>
  <r>
    <s v="O0260"/>
    <s v="2025-11-28"/>
    <s v="C038"/>
    <x v="82"/>
    <s v="D048"/>
    <n v="5"/>
    <n v="110"/>
    <s v="YES"/>
    <n v="55"/>
    <n v="65"/>
  </r>
  <r>
    <s v="O0261"/>
    <s v="2025-09-17"/>
    <s v="C070"/>
    <x v="91"/>
    <s v="D003"/>
    <n v="5"/>
    <n v="164"/>
    <s v="YES"/>
    <n v="82"/>
    <n v="-10"/>
  </r>
  <r>
    <s v="O0262"/>
    <s v="2025-12-11"/>
    <s v="C070"/>
    <x v="37"/>
    <s v="D028"/>
    <n v="5"/>
    <n v="232"/>
    <s v="YES"/>
    <n v="116"/>
    <n v="205"/>
  </r>
  <r>
    <s v="O0263"/>
    <s v="2025-11-25"/>
    <s v="C032"/>
    <x v="0"/>
    <s v="D025"/>
    <n v="3"/>
    <n v="227"/>
    <s v="NO"/>
    <n v="227"/>
    <n v="450"/>
  </r>
  <r>
    <s v="O0264"/>
    <s v="2025-03-09"/>
    <s v="C021"/>
    <x v="92"/>
    <s v="D049"/>
    <n v="3"/>
    <n v="248"/>
    <s v="NO"/>
    <n v="248"/>
    <n v="621"/>
  </r>
  <r>
    <s v="O0265"/>
    <s v="2025-05-08"/>
    <s v="C062"/>
    <x v="16"/>
    <s v="D024"/>
    <n v="2"/>
    <n v="136"/>
    <s v="YES"/>
    <n v="68"/>
    <n v="24"/>
  </r>
  <r>
    <s v="O0266"/>
    <s v="2025-01-13"/>
    <s v="C018"/>
    <x v="70"/>
    <s v="D049"/>
    <n v="5"/>
    <n v="181"/>
    <s v="NO"/>
    <n v="181"/>
    <n v="700"/>
  </r>
  <r>
    <s v="O0267"/>
    <s v="2025-09-25"/>
    <s v="C098"/>
    <x v="34"/>
    <s v="D033"/>
    <n v="4"/>
    <n v="128"/>
    <s v="YES"/>
    <n v="64"/>
    <n v="68"/>
  </r>
  <r>
    <s v="O0268"/>
    <s v="2025-03-12"/>
    <s v="C065"/>
    <x v="93"/>
    <s v="D031"/>
    <n v="5"/>
    <n v="145"/>
    <s v="NO"/>
    <n v="145"/>
    <n v="280"/>
  </r>
  <r>
    <s v="O0269"/>
    <s v="2025-11-05"/>
    <s v="C077"/>
    <x v="15"/>
    <s v="D039"/>
    <n v="5"/>
    <n v="196"/>
    <s v="NO"/>
    <n v="196"/>
    <n v="755"/>
  </r>
  <r>
    <s v="O0270"/>
    <s v="2025-09-02"/>
    <s v="C097"/>
    <x v="46"/>
    <s v="D005"/>
    <n v="4"/>
    <n v="182"/>
    <s v="NO"/>
    <n v="182"/>
    <n v="456"/>
  </r>
  <r>
    <s v="O0271"/>
    <s v="2025-04-06"/>
    <s v="C066"/>
    <x v="22"/>
    <s v="D032"/>
    <n v="3"/>
    <n v="187"/>
    <s v="YES"/>
    <n v="93.5"/>
    <n v="31.5"/>
  </r>
  <r>
    <s v="O0272"/>
    <s v="2025-09-29"/>
    <s v="C056"/>
    <x v="44"/>
    <s v="D048"/>
    <n v="5"/>
    <n v="185"/>
    <s v="NO"/>
    <n v="185"/>
    <n v="715"/>
  </r>
  <r>
    <s v="O0273"/>
    <s v="2025-09-10"/>
    <s v="C007"/>
    <x v="90"/>
    <s v="D037"/>
    <n v="4"/>
    <n v="185"/>
    <s v="YES"/>
    <n v="92.5"/>
    <n v="154"/>
  </r>
  <r>
    <s v="O0274"/>
    <s v="2025-04-06"/>
    <s v="C051"/>
    <x v="69"/>
    <s v="D020"/>
    <n v="5"/>
    <n v="218"/>
    <s v="YES"/>
    <n v="109"/>
    <n v="270"/>
  </r>
  <r>
    <s v="O0275"/>
    <s v="2025-02-11"/>
    <s v="C065"/>
    <x v="4"/>
    <s v="D045"/>
    <n v="5"/>
    <n v="195"/>
    <s v="NO"/>
    <n v="195"/>
    <n v="655"/>
  </r>
  <r>
    <s v="O0276"/>
    <s v="2025-07-15"/>
    <s v="C068"/>
    <x v="92"/>
    <s v="D026"/>
    <n v="1"/>
    <n v="244"/>
    <s v="NO"/>
    <n v="244"/>
    <n v="203"/>
  </r>
  <r>
    <s v="O0277"/>
    <s v="2025-07-07"/>
    <s v="C065"/>
    <x v="65"/>
    <s v="D041"/>
    <n v="3"/>
    <n v="247"/>
    <s v="NO"/>
    <n v="247"/>
    <n v="576"/>
  </r>
  <r>
    <s v="O0278"/>
    <s v="2025-10-16"/>
    <s v="C046"/>
    <x v="23"/>
    <s v="D014"/>
    <n v="2"/>
    <n v="115"/>
    <s v="YES"/>
    <n v="57.5"/>
    <n v="15"/>
  </r>
  <r>
    <s v="O0279"/>
    <s v="2025-07-20"/>
    <s v="C095"/>
    <x v="22"/>
    <s v="D033"/>
    <n v="1"/>
    <n v="240"/>
    <s v="YES"/>
    <n v="120"/>
    <n v="73"/>
  </r>
  <r>
    <s v="O0280"/>
    <s v="2025-02-23"/>
    <s v="C006"/>
    <x v="29"/>
    <s v="D045"/>
    <n v="5"/>
    <n v="215"/>
    <s v="YES"/>
    <n v="107.5"/>
    <n v="217.5"/>
  </r>
  <r>
    <s v="O0281"/>
    <s v="2026-01-28"/>
    <s v="C057"/>
    <x v="5"/>
    <s v="D028"/>
    <n v="4"/>
    <n v="220"/>
    <s v="YES"/>
    <n v="110"/>
    <n v="140"/>
  </r>
  <r>
    <s v="O0282"/>
    <s v="2025-10-21"/>
    <s v="C100"/>
    <x v="42"/>
    <s v="D013"/>
    <n v="5"/>
    <n v="168"/>
    <s v="YES"/>
    <n v="84"/>
    <n v="195"/>
  </r>
  <r>
    <s v="O0283"/>
    <s v="2025-11-20"/>
    <s v="C049"/>
    <x v="47"/>
    <s v="D020"/>
    <n v="2"/>
    <n v="115"/>
    <s v="YES"/>
    <n v="57.5"/>
    <n v="5"/>
  </r>
  <r>
    <s v="O0284"/>
    <s v="2026-01-22"/>
    <s v="C048"/>
    <x v="54"/>
    <s v="D009"/>
    <n v="4"/>
    <n v="127"/>
    <s v="NO"/>
    <n v="127"/>
    <n v="172"/>
  </r>
  <r>
    <s v="O0285"/>
    <s v="2025-03-04"/>
    <s v="C095"/>
    <x v="61"/>
    <s v="D029"/>
    <n v="5"/>
    <n v="192"/>
    <s v="YES"/>
    <n v="96"/>
    <n v="130"/>
  </r>
  <r>
    <s v="O0286"/>
    <s v="2025-11-03"/>
    <s v="C015"/>
    <x v="17"/>
    <s v="D014"/>
    <n v="2"/>
    <n v="244"/>
    <s v="YES"/>
    <n v="122"/>
    <n v="144"/>
  </r>
  <r>
    <s v="O0287"/>
    <s v="2025-09-01"/>
    <s v="C043"/>
    <x v="6"/>
    <s v="D016"/>
    <n v="2"/>
    <n v="207"/>
    <s v="YES"/>
    <n v="103.5"/>
    <n v="69"/>
  </r>
  <r>
    <s v="O0288"/>
    <s v="2025-12-14"/>
    <s v="C034"/>
    <x v="37"/>
    <s v="D021"/>
    <n v="1"/>
    <n v="176"/>
    <s v="NO"/>
    <n v="176"/>
    <n v="113"/>
  </r>
  <r>
    <s v="O0289"/>
    <s v="2026-01-11"/>
    <s v="C015"/>
    <x v="55"/>
    <s v="D007"/>
    <n v="2"/>
    <n v="172"/>
    <s v="YES"/>
    <n v="86"/>
    <n v="38"/>
  </r>
  <r>
    <s v="O0290"/>
    <s v="2026-01-16"/>
    <s v="C063"/>
    <x v="32"/>
    <s v="D021"/>
    <n v="3"/>
    <n v="125"/>
    <s v="NO"/>
    <n v="125"/>
    <n v="186"/>
  </r>
  <r>
    <s v="O0291"/>
    <s v="2025-01-22"/>
    <s v="C063"/>
    <x v="7"/>
    <s v="D039"/>
    <n v="2"/>
    <n v="169"/>
    <s v="NO"/>
    <n v="169"/>
    <n v="248"/>
  </r>
  <r>
    <s v="O0292"/>
    <s v="2025-06-07"/>
    <s v="C016"/>
    <x v="45"/>
    <s v="D008"/>
    <n v="1"/>
    <n v="157"/>
    <s v="YES"/>
    <n v="78.5"/>
    <n v="4.5"/>
  </r>
  <r>
    <s v="O0293"/>
    <s v="2025-08-07"/>
    <s v="C010"/>
    <x v="19"/>
    <s v="D028"/>
    <n v="1"/>
    <n v="145"/>
    <s v="NO"/>
    <n v="145"/>
    <n v="70"/>
  </r>
  <r>
    <s v="O0294"/>
    <s v="2025-10-14"/>
    <s v="C100"/>
    <x v="56"/>
    <s v="D011"/>
    <n v="1"/>
    <n v="221"/>
    <s v="YES"/>
    <n v="110.5"/>
    <n v="53.5"/>
  </r>
  <r>
    <s v="O0295"/>
    <s v="2025-11-04"/>
    <s v="C084"/>
    <x v="15"/>
    <s v="D001"/>
    <n v="4"/>
    <n v="228"/>
    <s v="YES"/>
    <n v="114"/>
    <n v="200"/>
  </r>
  <r>
    <s v="O0296"/>
    <s v="2025-11-05"/>
    <s v="C057"/>
    <x v="94"/>
    <s v="D039"/>
    <n v="2"/>
    <n v="206"/>
    <s v="YES"/>
    <n v="103"/>
    <n v="116"/>
  </r>
  <r>
    <s v="O0297"/>
    <s v="2025-09-07"/>
    <s v="C010"/>
    <x v="71"/>
    <s v="D039"/>
    <n v="2"/>
    <n v="221"/>
    <s v="NO"/>
    <n v="221"/>
    <n v="352"/>
  </r>
  <r>
    <s v="O0298"/>
    <s v="2025-02-26"/>
    <s v="C039"/>
    <x v="83"/>
    <s v="D047"/>
    <n v="2"/>
    <n v="149"/>
    <s v="YES"/>
    <n v="74.5"/>
    <n v="-21"/>
  </r>
  <r>
    <s v="O0299"/>
    <s v="2025-12-04"/>
    <s v="C073"/>
    <x v="23"/>
    <s v="D042"/>
    <n v="3"/>
    <n v="110"/>
    <s v="YES"/>
    <n v="55"/>
    <n v="-102"/>
  </r>
  <r>
    <s v="O0300"/>
    <s v="2025-11-30"/>
    <s v="C076"/>
    <x v="23"/>
    <s v="D042"/>
    <n v="2"/>
    <n v="224"/>
    <s v="YES"/>
    <n v="112"/>
    <n v="46"/>
  </r>
  <r>
    <s v="O0301"/>
    <s v="2025-04-10"/>
    <s v="C037"/>
    <x v="41"/>
    <s v="D035"/>
    <n v="5"/>
    <n v="189"/>
    <s v="YES"/>
    <n v="94.5"/>
    <n v="117.5"/>
  </r>
  <r>
    <s v="O0302"/>
    <s v="2025-06-13"/>
    <s v="C093"/>
    <x v="67"/>
    <s v="D027"/>
    <n v="2"/>
    <n v="237"/>
    <s v="YES"/>
    <n v="118.5"/>
    <n v="137"/>
  </r>
  <r>
    <s v="O0303"/>
    <s v="2025-11-04"/>
    <s v="C011"/>
    <x v="22"/>
    <s v="D017"/>
    <n v="4"/>
    <n v="180"/>
    <s v="NO"/>
    <n v="180"/>
    <n v="480"/>
  </r>
  <r>
    <s v="O0304"/>
    <s v="2025-06-12"/>
    <s v="C036"/>
    <x v="61"/>
    <s v="D015"/>
    <n v="3"/>
    <n v="162"/>
    <s v="NO"/>
    <n v="162"/>
    <n v="249"/>
  </r>
  <r>
    <s v="O0305"/>
    <s v="2026-01-25"/>
    <s v="C010"/>
    <x v="41"/>
    <s v="D044"/>
    <n v="4"/>
    <n v="138"/>
    <s v="NO"/>
    <n v="138"/>
    <n v="272"/>
  </r>
  <r>
    <s v="O0306"/>
    <s v="2025-05-24"/>
    <s v="C002"/>
    <x v="67"/>
    <s v="D042"/>
    <n v="3"/>
    <n v="174"/>
    <s v="YES"/>
    <n v="87"/>
    <n v="-6"/>
  </r>
  <r>
    <s v="O0307"/>
    <s v="2025-05-01"/>
    <s v="C088"/>
    <x v="1"/>
    <s v="D047"/>
    <n v="3"/>
    <n v="119"/>
    <s v="NO"/>
    <n v="119"/>
    <n v="102"/>
  </r>
  <r>
    <s v="O0308"/>
    <s v="2025-06-27"/>
    <s v="C094"/>
    <x v="82"/>
    <s v="D046"/>
    <n v="5"/>
    <n v="111"/>
    <s v="NO"/>
    <n v="111"/>
    <n v="340"/>
  </r>
  <r>
    <s v="O0309"/>
    <s v="2025-05-15"/>
    <s v="C037"/>
    <x v="79"/>
    <s v="D045"/>
    <n v="2"/>
    <n v="147"/>
    <s v="YES"/>
    <n v="73.5"/>
    <n v="19"/>
  </r>
  <r>
    <s v="O0310"/>
    <s v="2025-05-21"/>
    <s v="C032"/>
    <x v="72"/>
    <s v="D048"/>
    <n v="4"/>
    <n v="156"/>
    <s v="NO"/>
    <n v="156"/>
    <n v="456"/>
  </r>
  <r>
    <s v="O0311"/>
    <s v="2025-05-06"/>
    <s v="C011"/>
    <x v="0"/>
    <s v="D001"/>
    <n v="1"/>
    <n v="225"/>
    <s v="NO"/>
    <n v="225"/>
    <n v="161"/>
  </r>
  <r>
    <s v="O0312"/>
    <s v="2025-02-23"/>
    <s v="C071"/>
    <x v="63"/>
    <s v="D040"/>
    <n v="2"/>
    <n v="213"/>
    <s v="YES"/>
    <n v="106.5"/>
    <n v="53"/>
  </r>
  <r>
    <s v="O0313"/>
    <s v="2025-12-31"/>
    <s v="C090"/>
    <x v="61"/>
    <s v="D007"/>
    <n v="1"/>
    <n v="247"/>
    <s v="NO"/>
    <n v="247"/>
    <n v="180"/>
  </r>
  <r>
    <s v="O0314"/>
    <s v="2025-06-02"/>
    <s v="C065"/>
    <x v="1"/>
    <s v="D020"/>
    <n v="2"/>
    <n v="245"/>
    <s v="NO"/>
    <n v="245"/>
    <n v="380"/>
  </r>
  <r>
    <s v="O0315"/>
    <s v="2025-12-18"/>
    <s v="C057"/>
    <x v="75"/>
    <s v="D020"/>
    <n v="2"/>
    <n v="130"/>
    <s v="YES"/>
    <n v="65"/>
    <n v="20"/>
  </r>
  <r>
    <s v="O0316"/>
    <s v="2025-07-18"/>
    <s v="C027"/>
    <x v="70"/>
    <s v="D028"/>
    <n v="1"/>
    <n v="200"/>
    <s v="YES"/>
    <n v="100"/>
    <n v="25"/>
  </r>
  <r>
    <s v="O0317"/>
    <s v="2025-12-05"/>
    <s v="C035"/>
    <x v="41"/>
    <s v="D028"/>
    <n v="3"/>
    <n v="244"/>
    <s v="YES"/>
    <n v="122"/>
    <n v="141"/>
  </r>
  <r>
    <s v="O0318"/>
    <s v="2025-06-08"/>
    <s v="C057"/>
    <x v="81"/>
    <s v="D042"/>
    <n v="5"/>
    <n v="246"/>
    <s v="YES"/>
    <n v="123"/>
    <n v="170"/>
  </r>
  <r>
    <s v="O0319"/>
    <s v="2025-02-03"/>
    <s v="C004"/>
    <x v="10"/>
    <s v="D039"/>
    <n v="4"/>
    <n v="119"/>
    <s v="NO"/>
    <n v="119"/>
    <n v="296"/>
  </r>
  <r>
    <s v="O0320"/>
    <s v="2025-05-20"/>
    <s v="C030"/>
    <x v="20"/>
    <s v="D029"/>
    <n v="4"/>
    <n v="121"/>
    <s v="NO"/>
    <n v="121"/>
    <n v="204"/>
  </r>
  <r>
    <s v="O0321"/>
    <s v="2025-10-15"/>
    <s v="C079"/>
    <x v="31"/>
    <s v="D029"/>
    <n v="3"/>
    <n v="155"/>
    <s v="NO"/>
    <n v="155"/>
    <n v="255"/>
  </r>
  <r>
    <s v="O0322"/>
    <s v="2026-02-02"/>
    <s v="C014"/>
    <x v="70"/>
    <s v="D032"/>
    <n v="2"/>
    <n v="250"/>
    <s v="YES"/>
    <n v="125"/>
    <n v="84"/>
  </r>
  <r>
    <s v="O0323"/>
    <s v="2025-03-02"/>
    <s v="C065"/>
    <x v="71"/>
    <s v="D014"/>
    <n v="5"/>
    <n v="224"/>
    <s v="NO"/>
    <n v="224"/>
    <n v="870"/>
  </r>
  <r>
    <s v="O0324"/>
    <s v="2025-04-24"/>
    <s v="C086"/>
    <x v="88"/>
    <s v="D020"/>
    <n v="2"/>
    <n v="203"/>
    <s v="NO"/>
    <n v="203"/>
    <n v="296"/>
  </r>
  <r>
    <s v="O0325"/>
    <s v="2025-06-10"/>
    <s v="C093"/>
    <x v="74"/>
    <s v="D035"/>
    <n v="3"/>
    <n v="159"/>
    <s v="YES"/>
    <n v="79.5"/>
    <n v="25.5"/>
  </r>
  <r>
    <s v="O0326"/>
    <s v="2025-05-25"/>
    <s v="C100"/>
    <x v="25"/>
    <s v="D044"/>
    <n v="5"/>
    <n v="139"/>
    <s v="YES"/>
    <n v="69.5"/>
    <n v="-2.5"/>
  </r>
  <r>
    <s v="O0327"/>
    <s v="2025-08-02"/>
    <s v="C026"/>
    <x v="57"/>
    <s v="D038"/>
    <n v="4"/>
    <n v="177"/>
    <s v="NO"/>
    <n v="177"/>
    <n v="428"/>
  </r>
  <r>
    <s v="O0328"/>
    <s v="2025-05-31"/>
    <s v="C091"/>
    <x v="72"/>
    <s v="D035"/>
    <n v="4"/>
    <n v="224"/>
    <s v="NO"/>
    <n v="224"/>
    <n v="612"/>
  </r>
  <r>
    <s v="O0329"/>
    <s v="2025-10-08"/>
    <s v="C030"/>
    <x v="70"/>
    <s v="D032"/>
    <n v="5"/>
    <n v="138"/>
    <s v="NO"/>
    <n v="138"/>
    <n v="275"/>
  </r>
  <r>
    <s v="O0330"/>
    <s v="2025-07-11"/>
    <s v="C035"/>
    <x v="45"/>
    <s v="D004"/>
    <n v="2"/>
    <n v="229"/>
    <s v="YES"/>
    <n v="114.5"/>
    <n v="143"/>
  </r>
  <r>
    <s v="O0331"/>
    <s v="2025-06-27"/>
    <s v="C093"/>
    <x v="18"/>
    <s v="D041"/>
    <n v="4"/>
    <n v="102"/>
    <s v="YES"/>
    <n v="51"/>
    <n v="-16"/>
  </r>
  <r>
    <s v="O0332"/>
    <s v="2025-01-11"/>
    <s v="C027"/>
    <x v="27"/>
    <s v="D008"/>
    <n v="5"/>
    <n v="222"/>
    <s v="YES"/>
    <n v="111"/>
    <n v="185"/>
  </r>
  <r>
    <s v="O0333"/>
    <s v="2025-06-01"/>
    <s v="C036"/>
    <x v="43"/>
    <s v="D027"/>
    <n v="3"/>
    <n v="229"/>
    <s v="NO"/>
    <n v="229"/>
    <n v="537"/>
  </r>
  <r>
    <s v="O0334"/>
    <s v="2025-04-23"/>
    <s v="C040"/>
    <x v="65"/>
    <s v="D037"/>
    <n v="2"/>
    <n v="246"/>
    <s v="NO"/>
    <n v="246"/>
    <n v="384"/>
  </r>
  <r>
    <s v="O0335"/>
    <s v="2025-06-14"/>
    <s v="C018"/>
    <x v="40"/>
    <s v="D005"/>
    <n v="5"/>
    <n v="145"/>
    <s v="NO"/>
    <n v="145"/>
    <n v="385"/>
  </r>
  <r>
    <s v="O0336"/>
    <s v="2026-01-07"/>
    <s v="C052"/>
    <x v="89"/>
    <s v="D014"/>
    <n v="5"/>
    <n v="222"/>
    <s v="NO"/>
    <n v="222"/>
    <n v="860"/>
  </r>
  <r>
    <s v="O0337"/>
    <s v="2026-01-17"/>
    <s v="C082"/>
    <x v="92"/>
    <s v="D019"/>
    <n v="4"/>
    <n v="149"/>
    <s v="YES"/>
    <n v="74.5"/>
    <n v="-38"/>
  </r>
  <r>
    <s v="O0338"/>
    <s v="2025-10-14"/>
    <s v="C029"/>
    <x v="91"/>
    <s v="D003"/>
    <n v="5"/>
    <n v="175"/>
    <s v="NO"/>
    <n v="175"/>
    <n v="455"/>
  </r>
  <r>
    <s v="O0339"/>
    <s v="2025-02-12"/>
    <s v="C098"/>
    <x v="18"/>
    <s v="D035"/>
    <n v="2"/>
    <n v="116"/>
    <s v="YES"/>
    <n v="58"/>
    <n v="-26"/>
  </r>
  <r>
    <s v="O0340"/>
    <s v="2025-05-16"/>
    <s v="C007"/>
    <x v="92"/>
    <s v="D021"/>
    <n v="1"/>
    <n v="138"/>
    <s v="YES"/>
    <n v="69"/>
    <n v="6"/>
  </r>
  <r>
    <s v="O0341"/>
    <s v="2025-07-27"/>
    <s v="C023"/>
    <x v="82"/>
    <s v="D040"/>
    <n v="3"/>
    <n v="186"/>
    <s v="NO"/>
    <n v="186"/>
    <n v="318"/>
  </r>
  <r>
    <s v="O0342"/>
    <s v="2025-08-16"/>
    <s v="C030"/>
    <x v="67"/>
    <s v="D005"/>
    <n v="1"/>
    <n v="143"/>
    <s v="NO"/>
    <n v="143"/>
    <n v="75"/>
  </r>
  <r>
    <s v="O0343"/>
    <s v="2025-07-02"/>
    <s v="C086"/>
    <x v="66"/>
    <s v="D044"/>
    <n v="3"/>
    <n v="130"/>
    <s v="NO"/>
    <n v="130"/>
    <n v="180"/>
  </r>
  <r>
    <s v="O0344"/>
    <s v="2025-09-19"/>
    <s v="C071"/>
    <x v="4"/>
    <s v="D032"/>
    <n v="5"/>
    <n v="207"/>
    <s v="YES"/>
    <n v="103.5"/>
    <n v="102.5"/>
  </r>
  <r>
    <s v="O0345"/>
    <s v="2025-08-12"/>
    <s v="C054"/>
    <x v="30"/>
    <s v="D015"/>
    <n v="3"/>
    <n v="120"/>
    <s v="NO"/>
    <n v="120"/>
    <n v="123"/>
  </r>
  <r>
    <s v="O0346"/>
    <s v="2025-02-07"/>
    <s v="C077"/>
    <x v="75"/>
    <s v="D012"/>
    <n v="4"/>
    <n v="237"/>
    <s v="NO"/>
    <n v="237"/>
    <n v="656"/>
  </r>
  <r>
    <s v="O0347"/>
    <s v="2025-11-01"/>
    <s v="C010"/>
    <x v="94"/>
    <s v="D019"/>
    <n v="2"/>
    <n v="189"/>
    <s v="NO"/>
    <n v="189"/>
    <n v="210"/>
  </r>
  <r>
    <s v="O0348"/>
    <s v="2025-11-06"/>
    <s v="C097"/>
    <x v="46"/>
    <s v="D007"/>
    <n v="3"/>
    <n v="204"/>
    <s v="NO"/>
    <n v="204"/>
    <n v="411"/>
  </r>
  <r>
    <s v="O0349"/>
    <s v="2025-02-18"/>
    <s v="C088"/>
    <x v="9"/>
    <s v="D030"/>
    <n v="1"/>
    <n v="157"/>
    <s v="NO"/>
    <n v="157"/>
    <n v="95"/>
  </r>
  <r>
    <s v="O0350"/>
    <s v="2025-10-28"/>
    <s v="C037"/>
    <x v="42"/>
    <s v="D011"/>
    <n v="5"/>
    <n v="107"/>
    <s v="YES"/>
    <n v="53.5"/>
    <n v="-17.5"/>
  </r>
  <r>
    <s v="O0351"/>
    <s v="2025-10-06"/>
    <s v="C090"/>
    <x v="77"/>
    <s v="D022"/>
    <n v="3"/>
    <n v="108"/>
    <s v="NO"/>
    <n v="108"/>
    <n v="129"/>
  </r>
  <r>
    <s v="O0352"/>
    <s v="2026-01-21"/>
    <s v="C022"/>
    <x v="3"/>
    <s v="D009"/>
    <n v="1"/>
    <n v="185"/>
    <s v="YES"/>
    <n v="92.5"/>
    <n v="8.5"/>
  </r>
  <r>
    <s v="O0353"/>
    <s v="2025-11-08"/>
    <s v="C091"/>
    <x v="95"/>
    <s v="D031"/>
    <n v="1"/>
    <n v="106"/>
    <s v="NO"/>
    <n v="106"/>
    <n v="17"/>
  </r>
  <r>
    <s v="O0354"/>
    <s v="2025-10-18"/>
    <s v="C048"/>
    <x v="10"/>
    <s v="D014"/>
    <n v="1"/>
    <n v="178"/>
    <s v="NO"/>
    <n v="178"/>
    <n v="128"/>
  </r>
  <r>
    <s v="O0355"/>
    <s v="2025-04-08"/>
    <s v="C053"/>
    <x v="76"/>
    <s v="D020"/>
    <n v="3"/>
    <n v="145"/>
    <s v="YES"/>
    <n v="72.5"/>
    <n v="52.5"/>
  </r>
  <r>
    <s v="O0356"/>
    <s v="2026-01-09"/>
    <s v="C043"/>
    <x v="67"/>
    <s v="D036"/>
    <n v="3"/>
    <n v="238"/>
    <s v="YES"/>
    <n v="119"/>
    <n v="171"/>
  </r>
  <r>
    <s v="O0357"/>
    <s v="2025-03-16"/>
    <s v="C093"/>
    <x v="16"/>
    <s v="D006"/>
    <n v="1"/>
    <n v="169"/>
    <s v="YES"/>
    <n v="84.5"/>
    <n v="-0.5"/>
  </r>
  <r>
    <s v="O0358"/>
    <s v="2025-09-02"/>
    <s v="C046"/>
    <x v="43"/>
    <s v="D049"/>
    <n v="1"/>
    <n v="180"/>
    <s v="YES"/>
    <n v="90"/>
    <n v="49"/>
  </r>
  <r>
    <s v="O0359"/>
    <s v="2025-04-29"/>
    <s v="C044"/>
    <x v="16"/>
    <s v="D011"/>
    <n v="4"/>
    <n v="164"/>
    <s v="NO"/>
    <n v="164"/>
    <n v="428"/>
  </r>
  <r>
    <s v="O0360"/>
    <s v="2025-11-26"/>
    <s v="C100"/>
    <x v="74"/>
    <s v="D039"/>
    <n v="1"/>
    <n v="177"/>
    <s v="YES"/>
    <n v="88.5"/>
    <n v="43.5"/>
  </r>
  <r>
    <s v="O0361"/>
    <s v="2025-10-21"/>
    <s v="C061"/>
    <x v="96"/>
    <s v="D046"/>
    <n v="4"/>
    <n v="153"/>
    <s v="NO"/>
    <n v="153"/>
    <n v="440"/>
  </r>
  <r>
    <s v="O0362"/>
    <s v="2025-09-10"/>
    <s v="C092"/>
    <x v="74"/>
    <s v="D048"/>
    <n v="1"/>
    <n v="183"/>
    <s v="NO"/>
    <n v="183"/>
    <n v="141"/>
  </r>
  <r>
    <s v="O0363"/>
    <s v="2025-01-23"/>
    <s v="C008"/>
    <x v="0"/>
    <s v="D032"/>
    <n v="1"/>
    <n v="153"/>
    <s v="YES"/>
    <n v="76.5"/>
    <n v="-6.5"/>
  </r>
  <r>
    <s v="O0364"/>
    <s v="2025-06-08"/>
    <s v="C092"/>
    <x v="55"/>
    <s v="D018"/>
    <n v="2"/>
    <n v="159"/>
    <s v="NO"/>
    <n v="159"/>
    <n v="168"/>
  </r>
  <r>
    <s v="O0365"/>
    <s v="2025-11-15"/>
    <s v="C040"/>
    <x v="11"/>
    <s v="D017"/>
    <n v="1"/>
    <n v="222"/>
    <s v="NO"/>
    <n v="222"/>
    <n v="162"/>
  </r>
  <r>
    <s v="O0366"/>
    <s v="2025-02-08"/>
    <s v="C065"/>
    <x v="74"/>
    <s v="D020"/>
    <n v="4"/>
    <n v="119"/>
    <s v="NO"/>
    <n v="119"/>
    <n v="256"/>
  </r>
  <r>
    <s v="O0367"/>
    <s v="2026-01-31"/>
    <s v="C032"/>
    <x v="49"/>
    <s v="D037"/>
    <n v="5"/>
    <n v="216"/>
    <s v="NO"/>
    <n v="216"/>
    <n v="810"/>
  </r>
  <r>
    <s v="O0368"/>
    <s v="2025-10-17"/>
    <s v="C099"/>
    <x v="93"/>
    <s v="D002"/>
    <n v="2"/>
    <n v="103"/>
    <s v="YES"/>
    <n v="51.5"/>
    <n v="-33"/>
  </r>
  <r>
    <s v="O0369"/>
    <s v="2025-05-10"/>
    <s v="C024"/>
    <x v="28"/>
    <s v="D032"/>
    <n v="4"/>
    <n v="248"/>
    <s v="YES"/>
    <n v="124"/>
    <n v="164"/>
  </r>
  <r>
    <s v="O0370"/>
    <s v="2025-06-13"/>
    <s v="C006"/>
    <x v="3"/>
    <s v="D034"/>
    <n v="2"/>
    <n v="248"/>
    <s v="YES"/>
    <n v="124"/>
    <n v="104"/>
  </r>
  <r>
    <s v="O0371"/>
    <s v="2025-11-16"/>
    <s v="C099"/>
    <x v="12"/>
    <s v="D040"/>
    <n v="3"/>
    <n v="215"/>
    <s v="YES"/>
    <n v="107.5"/>
    <n v="82.5"/>
  </r>
  <r>
    <s v="O0372"/>
    <s v="2025-01-17"/>
    <s v="C089"/>
    <x v="44"/>
    <s v="D046"/>
    <n v="4"/>
    <n v="185"/>
    <s v="NO"/>
    <n v="185"/>
    <n v="568"/>
  </r>
  <r>
    <s v="O0373"/>
    <s v="2025-05-16"/>
    <s v="C008"/>
    <x v="41"/>
    <s v="D010"/>
    <n v="3"/>
    <n v="122"/>
    <s v="YES"/>
    <n v="61"/>
    <n v="-3"/>
  </r>
  <r>
    <s v="O0374"/>
    <s v="2025-04-08"/>
    <s v="C017"/>
    <x v="69"/>
    <s v="D030"/>
    <n v="5"/>
    <n v="239"/>
    <s v="NO"/>
    <n v="239"/>
    <n v="885"/>
  </r>
  <r>
    <s v="O0375"/>
    <s v="2025-12-10"/>
    <s v="C042"/>
    <x v="8"/>
    <s v="D026"/>
    <n v="4"/>
    <n v="149"/>
    <s v="YES"/>
    <n v="74.5"/>
    <n v="134"/>
  </r>
  <r>
    <s v="O0376"/>
    <s v="2025-03-13"/>
    <s v="C080"/>
    <x v="41"/>
    <s v="D010"/>
    <n v="2"/>
    <n v="194"/>
    <s v="NO"/>
    <n v="194"/>
    <n v="264"/>
  </r>
  <r>
    <s v="O0377"/>
    <s v="2025-09-23"/>
    <s v="C080"/>
    <x v="11"/>
    <s v="D005"/>
    <n v="5"/>
    <n v="133"/>
    <s v="NO"/>
    <n v="133"/>
    <n v="325"/>
  </r>
  <r>
    <s v="O0378"/>
    <s v="2025-03-21"/>
    <s v="C017"/>
    <x v="59"/>
    <s v="D010"/>
    <n v="3"/>
    <n v="164"/>
    <s v="NO"/>
    <n v="164"/>
    <n v="306"/>
  </r>
  <r>
    <s v="O0379"/>
    <s v="2025-02-12"/>
    <s v="C036"/>
    <x v="16"/>
    <s v="D004"/>
    <n v="4"/>
    <n v="139"/>
    <s v="NO"/>
    <n v="139"/>
    <n v="384"/>
  </r>
  <r>
    <s v="O0380"/>
    <s v="2025-10-22"/>
    <s v="C077"/>
    <x v="46"/>
    <s v="D041"/>
    <n v="4"/>
    <n v="226"/>
    <s v="NO"/>
    <n v="226"/>
    <n v="684"/>
  </r>
  <r>
    <s v="O0381"/>
    <s v="2025-01-28"/>
    <s v="C033"/>
    <x v="56"/>
    <s v="D001"/>
    <n v="1"/>
    <n v="120"/>
    <s v="NO"/>
    <n v="120"/>
    <n v="56"/>
  </r>
  <r>
    <s v="O0382"/>
    <s v="2025-11-05"/>
    <s v="C009"/>
    <x v="55"/>
    <s v="D005"/>
    <n v="2"/>
    <n v="116"/>
    <s v="YES"/>
    <n v="58"/>
    <n v="-20"/>
  </r>
  <r>
    <s v="O0383"/>
    <s v="2025-09-06"/>
    <s v="C071"/>
    <x v="90"/>
    <s v="D010"/>
    <n v="3"/>
    <n v="121"/>
    <s v="YES"/>
    <n v="60.5"/>
    <n v="-4.5"/>
  </r>
  <r>
    <s v="O0384"/>
    <s v="2025-09-23"/>
    <s v="C076"/>
    <x v="0"/>
    <s v="D028"/>
    <n v="3"/>
    <n v="221"/>
    <s v="YES"/>
    <n v="110.5"/>
    <n v="106.5"/>
  </r>
  <r>
    <s v="O0385"/>
    <s v="2026-01-07"/>
    <s v="C095"/>
    <x v="10"/>
    <s v="D020"/>
    <n v="3"/>
    <n v="230"/>
    <s v="YES"/>
    <n v="115"/>
    <n v="180"/>
  </r>
  <r>
    <s v="O0386"/>
    <s v="2025-03-01"/>
    <s v="C059"/>
    <x v="87"/>
    <s v="D007"/>
    <n v="1"/>
    <n v="249"/>
    <s v="YES"/>
    <n v="124.5"/>
    <n v="57.5"/>
  </r>
  <r>
    <s v="O0387"/>
    <s v="2025-09-13"/>
    <s v="C022"/>
    <x v="43"/>
    <s v="D013"/>
    <n v="1"/>
    <n v="195"/>
    <s v="YES"/>
    <n v="97.5"/>
    <n v="52.5"/>
  </r>
  <r>
    <s v="O0388"/>
    <s v="2025-09-29"/>
    <s v="C073"/>
    <x v="76"/>
    <s v="D016"/>
    <n v="4"/>
    <n v="156"/>
    <s v="YES"/>
    <n v="78"/>
    <n v="36"/>
  </r>
  <r>
    <s v="O0389"/>
    <s v="2025-08-12"/>
    <s v="C055"/>
    <x v="97"/>
    <s v="D037"/>
    <n v="3"/>
    <n v="208"/>
    <s v="NO"/>
    <n v="208"/>
    <n v="462"/>
  </r>
  <r>
    <s v="O0390"/>
    <s v="2025-03-12"/>
    <s v="C004"/>
    <x v="19"/>
    <s v="D010"/>
    <n v="4"/>
    <n v="139"/>
    <s v="NO"/>
    <n v="139"/>
    <n v="308"/>
  </r>
  <r>
    <s v="O0391"/>
    <s v="2025-12-08"/>
    <s v="C012"/>
    <x v="12"/>
    <s v="D019"/>
    <n v="2"/>
    <n v="169"/>
    <s v="NO"/>
    <n v="169"/>
    <n v="170"/>
  </r>
  <r>
    <s v="O0392"/>
    <s v="2025-10-17"/>
    <s v="C024"/>
    <x v="72"/>
    <s v="D032"/>
    <n v="4"/>
    <n v="190"/>
    <s v="YES"/>
    <n v="95"/>
    <n v="48"/>
  </r>
  <r>
    <s v="O0393"/>
    <s v="2025-11-13"/>
    <s v="C004"/>
    <x v="27"/>
    <s v="D037"/>
    <n v="3"/>
    <n v="201"/>
    <s v="NO"/>
    <n v="201"/>
    <n v="441"/>
  </r>
  <r>
    <s v="O0394"/>
    <s v="2025-03-27"/>
    <s v="C093"/>
    <x v="27"/>
    <s v="D013"/>
    <n v="5"/>
    <n v="114"/>
    <s v="YES"/>
    <n v="57"/>
    <n v="60"/>
  </r>
  <r>
    <s v="O0395"/>
    <s v="2025-05-28"/>
    <s v="C076"/>
    <x v="50"/>
    <s v="D019"/>
    <n v="1"/>
    <n v="111"/>
    <s v="YES"/>
    <n v="55.5"/>
    <n v="-28.5"/>
  </r>
  <r>
    <s v="O0396"/>
    <s v="2025-06-21"/>
    <s v="C066"/>
    <x v="66"/>
    <s v="D020"/>
    <n v="3"/>
    <n v="123"/>
    <s v="YES"/>
    <n v="61.5"/>
    <n v="19.5"/>
  </r>
  <r>
    <s v="O0397"/>
    <s v="2025-06-01"/>
    <s v="C061"/>
    <x v="36"/>
    <s v="D016"/>
    <n v="3"/>
    <n v="113"/>
    <s v="NO"/>
    <n v="113"/>
    <n v="132"/>
  </r>
  <r>
    <s v="O0398"/>
    <s v="2026-01-27"/>
    <s v="C087"/>
    <x v="80"/>
    <s v="D033"/>
    <n v="4"/>
    <n v="218"/>
    <s v="NO"/>
    <n v="218"/>
    <n v="684"/>
  </r>
  <r>
    <s v="O0399"/>
    <s v="2025-08-06"/>
    <s v="C023"/>
    <x v="1"/>
    <s v="D011"/>
    <n v="1"/>
    <n v="197"/>
    <s v="NO"/>
    <n v="197"/>
    <n v="140"/>
  </r>
  <r>
    <s v="O0400"/>
    <s v="2025-06-24"/>
    <s v="C075"/>
    <x v="86"/>
    <s v="D040"/>
    <n v="2"/>
    <n v="163"/>
    <s v="YES"/>
    <n v="81.5"/>
    <n v="3"/>
  </r>
  <r>
    <s v="O0401"/>
    <s v="2025-07-13"/>
    <s v="C017"/>
    <x v="98"/>
    <s v="D048"/>
    <n v="5"/>
    <n v="203"/>
    <s v="NO"/>
    <n v="203"/>
    <n v="805"/>
  </r>
  <r>
    <s v="O0402"/>
    <s v="2025-09-16"/>
    <s v="C083"/>
    <x v="85"/>
    <s v="D002"/>
    <n v="3"/>
    <n v="131"/>
    <s v="YES"/>
    <n v="65.5"/>
    <n v="-7.5"/>
  </r>
  <r>
    <s v="O0403"/>
    <s v="2025-01-08"/>
    <s v="C026"/>
    <x v="51"/>
    <s v="D042"/>
    <n v="2"/>
    <n v="150"/>
    <s v="NO"/>
    <n v="150"/>
    <n v="122"/>
  </r>
  <r>
    <s v="O0404"/>
    <s v="2025-02-16"/>
    <s v="C068"/>
    <x v="6"/>
    <s v="D029"/>
    <n v="5"/>
    <n v="121"/>
    <s v="NO"/>
    <n v="121"/>
    <n v="255"/>
  </r>
  <r>
    <s v="O0405"/>
    <s v="2026-01-26"/>
    <s v="C074"/>
    <x v="91"/>
    <s v="D016"/>
    <n v="4"/>
    <n v="160"/>
    <s v="NO"/>
    <n v="160"/>
    <n v="364"/>
  </r>
  <r>
    <s v="O0406"/>
    <s v="2025-07-07"/>
    <s v="C095"/>
    <x v="30"/>
    <s v="D028"/>
    <n v="2"/>
    <n v="142"/>
    <s v="YES"/>
    <n v="71"/>
    <n v="-8"/>
  </r>
  <r>
    <s v="O0407"/>
    <s v="2026-01-02"/>
    <s v="C052"/>
    <x v="60"/>
    <s v="D050"/>
    <n v="4"/>
    <n v="181"/>
    <s v="NO"/>
    <n v="181"/>
    <n v="400"/>
  </r>
  <r>
    <s v="O0408"/>
    <s v="2025-01-16"/>
    <s v="C097"/>
    <x v="69"/>
    <s v="D015"/>
    <n v="1"/>
    <n v="141"/>
    <s v="NO"/>
    <n v="141"/>
    <n v="62"/>
  </r>
  <r>
    <s v="O0409"/>
    <s v="2025-05-15"/>
    <s v="C033"/>
    <x v="21"/>
    <s v="D035"/>
    <n v="4"/>
    <n v="246"/>
    <s v="NO"/>
    <n v="246"/>
    <n v="700"/>
  </r>
  <r>
    <s v="O0410"/>
    <s v="2025-05-22"/>
    <s v="C098"/>
    <x v="1"/>
    <s v="D020"/>
    <n v="3"/>
    <n v="202"/>
    <s v="YES"/>
    <n v="101"/>
    <n v="138"/>
  </r>
  <r>
    <s v="O0411"/>
    <s v="2025-06-05"/>
    <s v="C090"/>
    <x v="61"/>
    <s v="D048"/>
    <n v="3"/>
    <n v="100"/>
    <s v="NO"/>
    <n v="100"/>
    <n v="174"/>
  </r>
  <r>
    <s v="O0412"/>
    <s v="2025-12-26"/>
    <s v="C024"/>
    <x v="27"/>
    <s v="D015"/>
    <n v="3"/>
    <n v="141"/>
    <s v="YES"/>
    <n v="70.5"/>
    <n v="-25.5"/>
  </r>
  <r>
    <s v="O0413"/>
    <s v="2025-02-08"/>
    <s v="C086"/>
    <x v="97"/>
    <s v="D043"/>
    <n v="4"/>
    <n v="105"/>
    <s v="NO"/>
    <n v="105"/>
    <n v="172"/>
  </r>
  <r>
    <s v="O0414"/>
    <s v="2025-09-05"/>
    <s v="C084"/>
    <x v="83"/>
    <s v="D030"/>
    <n v="5"/>
    <n v="235"/>
    <s v="YES"/>
    <n v="117.5"/>
    <n v="277.5"/>
  </r>
  <r>
    <s v="O0415"/>
    <s v="2025-02-07"/>
    <s v="C015"/>
    <x v="91"/>
    <s v="D032"/>
    <n v="5"/>
    <n v="113"/>
    <s v="YES"/>
    <n v="56.5"/>
    <n v="-132.5"/>
  </r>
  <r>
    <s v="O0416"/>
    <s v="2025-08-22"/>
    <s v="C060"/>
    <x v="85"/>
    <s v="D047"/>
    <n v="5"/>
    <n v="176"/>
    <s v="NO"/>
    <n v="176"/>
    <n v="455"/>
  </r>
  <r>
    <s v="O0417"/>
    <s v="2025-06-12"/>
    <s v="C031"/>
    <x v="61"/>
    <s v="D045"/>
    <n v="3"/>
    <n v="225"/>
    <s v="NO"/>
    <n v="225"/>
    <n v="483"/>
  </r>
  <r>
    <s v="O0418"/>
    <s v="2025-02-20"/>
    <s v="C031"/>
    <x v="56"/>
    <s v="D031"/>
    <n v="1"/>
    <n v="183"/>
    <s v="NO"/>
    <n v="183"/>
    <n v="94"/>
  </r>
  <r>
    <s v="O0419"/>
    <s v="2025-11-29"/>
    <s v="C028"/>
    <x v="4"/>
    <s v="D019"/>
    <n v="1"/>
    <n v="217"/>
    <s v="NO"/>
    <n v="217"/>
    <n v="133"/>
  </r>
  <r>
    <s v="O0420"/>
    <s v="2025-06-11"/>
    <s v="C015"/>
    <x v="52"/>
    <s v="D025"/>
    <n v="4"/>
    <n v="233"/>
    <s v="YES"/>
    <n v="116.5"/>
    <n v="158"/>
  </r>
  <r>
    <s v="O0421"/>
    <s v="2025-11-20"/>
    <s v="C096"/>
    <x v="54"/>
    <s v="D004"/>
    <n v="1"/>
    <n v="134"/>
    <s v="NO"/>
    <n v="134"/>
    <n v="91"/>
  </r>
  <r>
    <s v="O0422"/>
    <s v="2025-11-24"/>
    <s v="C066"/>
    <x v="11"/>
    <s v="D005"/>
    <n v="1"/>
    <n v="220"/>
    <s v="YES"/>
    <n v="110"/>
    <n v="42"/>
  </r>
  <r>
    <s v="O0423"/>
    <s v="2025-09-22"/>
    <s v="C039"/>
    <x v="55"/>
    <s v="D032"/>
    <n v="1"/>
    <n v="102"/>
    <s v="YES"/>
    <n v="51"/>
    <n v="-32"/>
  </r>
  <r>
    <s v="O0424"/>
    <s v="2025-08-01"/>
    <s v="C056"/>
    <x v="9"/>
    <s v="D049"/>
    <n v="1"/>
    <n v="236"/>
    <s v="NO"/>
    <n v="236"/>
    <n v="195"/>
  </r>
  <r>
    <s v="O0425"/>
    <s v="2025-12-23"/>
    <s v="C085"/>
    <x v="15"/>
    <s v="D037"/>
    <n v="4"/>
    <n v="220"/>
    <s v="YES"/>
    <n v="110"/>
    <n v="224"/>
  </r>
  <r>
    <s v="O0426"/>
    <s v="2025-05-23"/>
    <s v="C006"/>
    <x v="65"/>
    <s v="D015"/>
    <n v="4"/>
    <n v="159"/>
    <s v="YES"/>
    <n v="79.5"/>
    <n v="2"/>
  </r>
  <r>
    <s v="O0427"/>
    <s v="2025-08-12"/>
    <s v="C062"/>
    <x v="26"/>
    <s v="D032"/>
    <n v="5"/>
    <n v="111"/>
    <s v="YES"/>
    <n v="55.5"/>
    <n v="-137.5"/>
  </r>
  <r>
    <s v="O0428"/>
    <s v="2025-02-01"/>
    <s v="C010"/>
    <x v="56"/>
    <s v="D010"/>
    <n v="1"/>
    <n v="137"/>
    <s v="NO"/>
    <n v="137"/>
    <n v="75"/>
  </r>
  <r>
    <s v="O0429"/>
    <s v="2026-01-15"/>
    <s v="C007"/>
    <x v="60"/>
    <s v="D020"/>
    <n v="1"/>
    <n v="241"/>
    <s v="YES"/>
    <n v="120.5"/>
    <n v="65.5"/>
  </r>
  <r>
    <s v="O0430"/>
    <s v="2025-07-31"/>
    <s v="C024"/>
    <x v="55"/>
    <s v="D022"/>
    <n v="2"/>
    <n v="151"/>
    <s v="YES"/>
    <n v="75.5"/>
    <n v="21"/>
  </r>
  <r>
    <s v="O0431"/>
    <s v="2025-05-29"/>
    <s v="C051"/>
    <x v="39"/>
    <s v="D035"/>
    <n v="4"/>
    <n v="140"/>
    <s v="YES"/>
    <n v="70"/>
    <n v="-4"/>
  </r>
  <r>
    <s v="O0432"/>
    <s v="2025-12-19"/>
    <s v="C030"/>
    <x v="43"/>
    <s v="D010"/>
    <n v="1"/>
    <n v="130"/>
    <s v="NO"/>
    <n v="130"/>
    <n v="68"/>
  </r>
  <r>
    <s v="O0433"/>
    <s v="2025-10-18"/>
    <s v="C012"/>
    <x v="8"/>
    <s v="D039"/>
    <n v="2"/>
    <n v="160"/>
    <s v="NO"/>
    <n v="160"/>
    <n v="230"/>
  </r>
  <r>
    <s v="O0434"/>
    <s v="2025-05-13"/>
    <s v="C070"/>
    <x v="68"/>
    <s v="D022"/>
    <n v="2"/>
    <n v="234"/>
    <s v="YES"/>
    <n v="117"/>
    <n v="104"/>
  </r>
  <r>
    <s v="O0435"/>
    <s v="2025-06-19"/>
    <s v="C061"/>
    <x v="37"/>
    <s v="D014"/>
    <n v="3"/>
    <n v="225"/>
    <s v="NO"/>
    <n v="225"/>
    <n v="525"/>
  </r>
  <r>
    <s v="O0436"/>
    <s v="2025-01-03"/>
    <s v="C084"/>
    <x v="31"/>
    <s v="D033"/>
    <n v="2"/>
    <n v="155"/>
    <s v="YES"/>
    <n v="77.5"/>
    <n v="61"/>
  </r>
  <r>
    <s v="O0437"/>
    <s v="2025-12-18"/>
    <s v="C056"/>
    <x v="85"/>
    <s v="D013"/>
    <n v="2"/>
    <n v="211"/>
    <s v="NO"/>
    <n v="211"/>
    <n v="332"/>
  </r>
  <r>
    <s v="O0438"/>
    <s v="2025-11-22"/>
    <s v="C072"/>
    <x v="54"/>
    <s v="D037"/>
    <n v="5"/>
    <n v="153"/>
    <s v="NO"/>
    <n v="153"/>
    <n v="495"/>
  </r>
  <r>
    <s v="O0439"/>
    <s v="2025-03-17"/>
    <s v="C060"/>
    <x v="59"/>
    <s v="D015"/>
    <n v="2"/>
    <n v="234"/>
    <s v="NO"/>
    <n v="234"/>
    <n v="310"/>
  </r>
  <r>
    <s v="O0440"/>
    <s v="2025-08-18"/>
    <s v="C044"/>
    <x v="88"/>
    <s v="D019"/>
    <n v="3"/>
    <n v="147"/>
    <s v="NO"/>
    <n v="147"/>
    <n v="189"/>
  </r>
  <r>
    <s v="O0441"/>
    <s v="2026-01-09"/>
    <s v="C080"/>
    <x v="96"/>
    <s v="D050"/>
    <n v="3"/>
    <n v="226"/>
    <s v="NO"/>
    <n v="226"/>
    <n v="435"/>
  </r>
  <r>
    <s v="O0442"/>
    <s v="2025-02-20"/>
    <s v="C020"/>
    <x v="18"/>
    <s v="D039"/>
    <n v="4"/>
    <n v="167"/>
    <s v="YES"/>
    <n v="83.5"/>
    <n v="154"/>
  </r>
  <r>
    <s v="O0443"/>
    <s v="2025-04-11"/>
    <s v="C015"/>
    <x v="52"/>
    <s v="D012"/>
    <n v="2"/>
    <n v="168"/>
    <s v="YES"/>
    <n v="84"/>
    <n v="22"/>
  </r>
  <r>
    <s v="O0444"/>
    <s v="2025-12-02"/>
    <s v="C091"/>
    <x v="85"/>
    <s v="D035"/>
    <n v="1"/>
    <n v="129"/>
    <s v="NO"/>
    <n v="129"/>
    <n v="58"/>
  </r>
  <r>
    <s v="O0445"/>
    <s v="2025-01-08"/>
    <s v="C054"/>
    <x v="20"/>
    <s v="D023"/>
    <n v="4"/>
    <n v="167"/>
    <s v="NO"/>
    <n v="167"/>
    <n v="504"/>
  </r>
  <r>
    <s v="O0446"/>
    <s v="2025-02-14"/>
    <s v="C022"/>
    <x v="14"/>
    <s v="D035"/>
    <n v="2"/>
    <n v="161"/>
    <s v="YES"/>
    <n v="80.5"/>
    <n v="19"/>
  </r>
  <r>
    <s v="O0447"/>
    <s v="2026-01-01"/>
    <s v="C076"/>
    <x v="59"/>
    <s v="D029"/>
    <n v="4"/>
    <n v="188"/>
    <s v="YES"/>
    <n v="94"/>
    <n v="96"/>
  </r>
  <r>
    <s v="O0448"/>
    <s v="2025-03-12"/>
    <s v="C050"/>
    <x v="98"/>
    <s v="D012"/>
    <n v="5"/>
    <n v="231"/>
    <s v="YES"/>
    <n v="115.5"/>
    <n v="212.5"/>
  </r>
  <r>
    <s v="O0449"/>
    <s v="2025-05-31"/>
    <s v="C012"/>
    <x v="41"/>
    <s v="D017"/>
    <n v="5"/>
    <n v="101"/>
    <s v="NO"/>
    <n v="101"/>
    <n v="205"/>
  </r>
  <r>
    <s v="O0450"/>
    <s v="2025-07-24"/>
    <s v="C076"/>
    <x v="84"/>
    <s v="D023"/>
    <n v="3"/>
    <n v="184"/>
    <s v="YES"/>
    <n v="92"/>
    <n v="153"/>
  </r>
  <r>
    <s v="O0451"/>
    <s v="2025-09-30"/>
    <s v="C088"/>
    <x v="89"/>
    <s v="D037"/>
    <n v="1"/>
    <n v="195"/>
    <s v="NO"/>
    <n v="195"/>
    <n v="141"/>
  </r>
  <r>
    <s v="O0452"/>
    <s v="2025-11-07"/>
    <s v="C057"/>
    <x v="66"/>
    <s v="D049"/>
    <n v="4"/>
    <n v="142"/>
    <s v="YES"/>
    <n v="71"/>
    <n v="120"/>
  </r>
  <r>
    <s v="O0453"/>
    <s v="2025-02-19"/>
    <s v="C095"/>
    <x v="67"/>
    <s v="D048"/>
    <n v="2"/>
    <n v="249"/>
    <s v="YES"/>
    <n v="124.5"/>
    <n v="165"/>
  </r>
  <r>
    <s v="O0454"/>
    <s v="2025-02-09"/>
    <s v="C011"/>
    <x v="19"/>
    <s v="D042"/>
    <n v="3"/>
    <n v="173"/>
    <s v="NO"/>
    <n v="173"/>
    <n v="252"/>
  </r>
  <r>
    <s v="O0455"/>
    <s v="2025-01-04"/>
    <s v="C026"/>
    <x v="42"/>
    <s v="D016"/>
    <n v="4"/>
    <n v="188"/>
    <s v="NO"/>
    <n v="188"/>
    <n v="476"/>
  </r>
  <r>
    <s v="O0456"/>
    <s v="2025-08-06"/>
    <s v="C008"/>
    <x v="60"/>
    <s v="D017"/>
    <n v="4"/>
    <n v="116"/>
    <s v="YES"/>
    <n v="58"/>
    <n v="-8"/>
  </r>
  <r>
    <s v="O0457"/>
    <s v="2025-01-09"/>
    <s v="C063"/>
    <x v="58"/>
    <s v="D039"/>
    <n v="5"/>
    <n v="124"/>
    <s v="NO"/>
    <n v="124"/>
    <n v="395"/>
  </r>
  <r>
    <s v="O0458"/>
    <s v="2025-05-05"/>
    <s v="C005"/>
    <x v="66"/>
    <s v="D001"/>
    <n v="4"/>
    <n v="242"/>
    <s v="NO"/>
    <n v="242"/>
    <n v="712"/>
  </r>
  <r>
    <s v="O0459"/>
    <s v="2025-11-06"/>
    <s v="C029"/>
    <x v="92"/>
    <s v="D047"/>
    <n v="3"/>
    <n v="136"/>
    <s v="NO"/>
    <n v="136"/>
    <n v="153"/>
  </r>
  <r>
    <s v="O0460"/>
    <s v="2025-01-29"/>
    <s v="C046"/>
    <x v="92"/>
    <s v="D033"/>
    <n v="3"/>
    <n v="246"/>
    <s v="YES"/>
    <n v="123"/>
    <n v="228"/>
  </r>
  <r>
    <s v="O0461"/>
    <s v="2025-07-14"/>
    <s v="C055"/>
    <x v="68"/>
    <s v="D022"/>
    <n v="5"/>
    <n v="108"/>
    <s v="NO"/>
    <n v="108"/>
    <n v="215"/>
  </r>
  <r>
    <s v="O0462"/>
    <s v="2025-02-21"/>
    <s v="C040"/>
    <x v="27"/>
    <s v="D040"/>
    <n v="3"/>
    <n v="168"/>
    <s v="NO"/>
    <n v="168"/>
    <n v="264"/>
  </r>
  <r>
    <s v="O0463"/>
    <s v="2025-10-26"/>
    <s v="C078"/>
    <x v="66"/>
    <s v="D018"/>
    <n v="5"/>
    <n v="249"/>
    <s v="NO"/>
    <n v="249"/>
    <n v="870"/>
  </r>
  <r>
    <s v="O0464"/>
    <s v="2025-05-05"/>
    <s v="C065"/>
    <x v="72"/>
    <s v="D009"/>
    <n v="4"/>
    <n v="221"/>
    <s v="NO"/>
    <n v="221"/>
    <n v="548"/>
  </r>
  <r>
    <s v="O0465"/>
    <s v="2025-02-28"/>
    <s v="C059"/>
    <x v="94"/>
    <s v="D038"/>
    <n v="3"/>
    <n v="199"/>
    <s v="YES"/>
    <n v="99.5"/>
    <n v="88.5"/>
  </r>
  <r>
    <s v="O0466"/>
    <s v="2025-04-07"/>
    <s v="C012"/>
    <x v="87"/>
    <s v="D035"/>
    <n v="4"/>
    <n v="135"/>
    <s v="NO"/>
    <n v="135"/>
    <n v="256"/>
  </r>
  <r>
    <s v="O0467"/>
    <s v="2025-05-23"/>
    <s v="C045"/>
    <x v="98"/>
    <s v="D014"/>
    <n v="3"/>
    <n v="190"/>
    <s v="YES"/>
    <n v="95"/>
    <n v="135"/>
  </r>
  <r>
    <s v="O0468"/>
    <s v="2025-01-04"/>
    <s v="C041"/>
    <x v="30"/>
    <s v="D049"/>
    <n v="2"/>
    <n v="172"/>
    <s v="NO"/>
    <n v="172"/>
    <n v="262"/>
  </r>
  <r>
    <s v="O0469"/>
    <s v="2025-06-25"/>
    <s v="C046"/>
    <x v="81"/>
    <s v="D011"/>
    <n v="2"/>
    <n v="239"/>
    <s v="YES"/>
    <n v="119.5"/>
    <n v="125"/>
  </r>
  <r>
    <s v="O0470"/>
    <s v="2025-05-11"/>
    <s v="C014"/>
    <x v="82"/>
    <s v="D009"/>
    <n v="1"/>
    <n v="221"/>
    <s v="YES"/>
    <n v="110.5"/>
    <n v="26.5"/>
  </r>
  <r>
    <s v="O0471"/>
    <s v="2025-09-02"/>
    <s v="C094"/>
    <x v="47"/>
    <s v="D003"/>
    <n v="1"/>
    <n v="207"/>
    <s v="NO"/>
    <n v="207"/>
    <n v="123"/>
  </r>
  <r>
    <s v="O0472"/>
    <s v="2026-01-11"/>
    <s v="C036"/>
    <x v="74"/>
    <s v="D025"/>
    <n v="5"/>
    <n v="137"/>
    <s v="NO"/>
    <n v="137"/>
    <n v="300"/>
  </r>
  <r>
    <s v="O0473"/>
    <s v="2025-10-12"/>
    <s v="C011"/>
    <x v="55"/>
    <s v="D049"/>
    <n v="2"/>
    <n v="185"/>
    <s v="NO"/>
    <n v="185"/>
    <n v="288"/>
  </r>
  <r>
    <s v="O0474"/>
    <s v="2026-01-19"/>
    <s v="C009"/>
    <x v="32"/>
    <s v="D025"/>
    <n v="3"/>
    <n v="146"/>
    <s v="YES"/>
    <n v="73"/>
    <n v="-12"/>
  </r>
  <r>
    <s v="O0475"/>
    <s v="2026-01-29"/>
    <s v="C036"/>
    <x v="9"/>
    <s v="D012"/>
    <n v="1"/>
    <n v="192"/>
    <s v="NO"/>
    <n v="192"/>
    <n v="119"/>
  </r>
  <r>
    <s v="O0476"/>
    <s v="2025-04-29"/>
    <s v="C016"/>
    <x v="57"/>
    <s v="D018"/>
    <n v="3"/>
    <n v="193"/>
    <s v="YES"/>
    <n v="96.5"/>
    <n v="64.5"/>
  </r>
  <r>
    <s v="O0477"/>
    <s v="2025-10-05"/>
    <s v="C014"/>
    <x v="71"/>
    <s v="D039"/>
    <n v="3"/>
    <n v="188"/>
    <s v="YES"/>
    <n v="94"/>
    <n v="147"/>
  </r>
  <r>
    <s v="O0478"/>
    <s v="2025-09-17"/>
    <s v="C054"/>
    <x v="4"/>
    <s v="D012"/>
    <n v="3"/>
    <n v="227"/>
    <s v="NO"/>
    <n v="227"/>
    <n v="462"/>
  </r>
  <r>
    <s v="O0479"/>
    <s v="2025-05-25"/>
    <s v="C027"/>
    <x v="83"/>
    <s v="D011"/>
    <n v="3"/>
    <n v="110"/>
    <s v="YES"/>
    <n v="55"/>
    <n v="-6"/>
  </r>
  <r>
    <s v="O0480"/>
    <s v="2025-06-18"/>
    <s v="C085"/>
    <x v="39"/>
    <s v="D046"/>
    <n v="4"/>
    <n v="101"/>
    <s v="YES"/>
    <n v="50.5"/>
    <n v="30"/>
  </r>
  <r>
    <s v="O0481"/>
    <s v="2025-10-16"/>
    <s v="C052"/>
    <x v="18"/>
    <s v="D027"/>
    <n v="4"/>
    <n v="162"/>
    <s v="NO"/>
    <n v="162"/>
    <n v="448"/>
  </r>
  <r>
    <s v="O0482"/>
    <s v="2025-12-28"/>
    <s v="C024"/>
    <x v="43"/>
    <s v="D008"/>
    <n v="2"/>
    <n v="168"/>
    <s v="YES"/>
    <n v="84"/>
    <n v="20"/>
  </r>
  <r>
    <s v="O0483"/>
    <s v="2025-11-04"/>
    <s v="C053"/>
    <x v="37"/>
    <s v="D013"/>
    <n v="4"/>
    <n v="123"/>
    <s v="YES"/>
    <n v="61.5"/>
    <n v="66"/>
  </r>
  <r>
    <s v="O0484"/>
    <s v="2025-05-07"/>
    <s v="C025"/>
    <x v="82"/>
    <s v="D044"/>
    <n v="5"/>
    <n v="232"/>
    <s v="NO"/>
    <n v="232"/>
    <n v="810"/>
  </r>
  <r>
    <s v="O0485"/>
    <s v="2025-10-26"/>
    <s v="C017"/>
    <x v="63"/>
    <s v="D050"/>
    <n v="2"/>
    <n v="199"/>
    <s v="NO"/>
    <n v="199"/>
    <n v="236"/>
  </r>
  <r>
    <s v="O0486"/>
    <s v="2025-09-14"/>
    <s v="C083"/>
    <x v="28"/>
    <s v="D023"/>
    <n v="1"/>
    <n v="172"/>
    <s v="YES"/>
    <n v="86"/>
    <n v="45"/>
  </r>
  <r>
    <s v="O0487"/>
    <s v="2025-04-09"/>
    <s v="C016"/>
    <x v="51"/>
    <s v="D002"/>
    <n v="3"/>
    <n v="191"/>
    <s v="YES"/>
    <n v="95.5"/>
    <n v="82.5"/>
  </r>
  <r>
    <s v="O0488"/>
    <s v="2025-02-24"/>
    <s v="C094"/>
    <x v="68"/>
    <s v="D025"/>
    <n v="1"/>
    <n v="102"/>
    <s v="NO"/>
    <n v="102"/>
    <n v="25"/>
  </r>
  <r>
    <s v="O0489"/>
    <s v="2025-01-13"/>
    <s v="C049"/>
    <x v="1"/>
    <s v="D032"/>
    <n v="4"/>
    <n v="152"/>
    <s v="YES"/>
    <n v="76"/>
    <n v="-28"/>
  </r>
  <r>
    <s v="O0490"/>
    <s v="2025-11-14"/>
    <s v="C037"/>
    <x v="14"/>
    <s v="D034"/>
    <n v="1"/>
    <n v="145"/>
    <s v="YES"/>
    <n v="72.5"/>
    <n v="0.5"/>
  </r>
  <r>
    <s v="O0491"/>
    <s v="2025-05-14"/>
    <s v="C034"/>
    <x v="8"/>
    <s v="D024"/>
    <n v="5"/>
    <n v="135"/>
    <s v="NO"/>
    <n v="135"/>
    <n v="395"/>
  </r>
  <r>
    <s v="O0492"/>
    <s v="2026-01-03"/>
    <s v="C069"/>
    <x v="21"/>
    <s v="D015"/>
    <n v="1"/>
    <n v="135"/>
    <s v="YES"/>
    <n v="67.5"/>
    <n v="-11.5"/>
  </r>
  <r>
    <s v="O0493"/>
    <s v="2025-04-21"/>
    <s v="C013"/>
    <x v="6"/>
    <s v="D002"/>
    <n v="3"/>
    <n v="158"/>
    <s v="YES"/>
    <n v="79"/>
    <n v="33"/>
  </r>
  <r>
    <s v="O0494"/>
    <s v="2025-08-19"/>
    <s v="C074"/>
    <x v="27"/>
    <s v="D023"/>
    <n v="3"/>
    <n v="104"/>
    <s v="NO"/>
    <n v="104"/>
    <n v="189"/>
  </r>
  <r>
    <s v="O0495"/>
    <s v="2025-04-26"/>
    <s v="C032"/>
    <x v="42"/>
    <s v="D049"/>
    <n v="1"/>
    <n v="130"/>
    <s v="NO"/>
    <n v="130"/>
    <n v="89"/>
  </r>
  <r>
    <s v="O0496"/>
    <s v="2025-03-06"/>
    <s v="C081"/>
    <x v="21"/>
    <s v="D010"/>
    <n v="3"/>
    <n v="155"/>
    <s v="YES"/>
    <n v="77.5"/>
    <n v="46.5"/>
  </r>
  <r>
    <s v="O0497"/>
    <s v="2025-05-07"/>
    <s v="C095"/>
    <x v="8"/>
    <s v="D047"/>
    <n v="4"/>
    <n v="114"/>
    <s v="YES"/>
    <n v="57"/>
    <n v="-112"/>
  </r>
  <r>
    <s v="O0498"/>
    <s v="2025-02-26"/>
    <s v="C083"/>
    <x v="36"/>
    <s v="D045"/>
    <n v="3"/>
    <n v="122"/>
    <s v="YES"/>
    <n v="61"/>
    <n v="-9"/>
  </r>
  <r>
    <s v="O0499"/>
    <s v="2025-12-13"/>
    <s v="C008"/>
    <x v="29"/>
    <s v="D033"/>
    <n v="2"/>
    <n v="236"/>
    <s v="YES"/>
    <n v="118"/>
    <n v="142"/>
  </r>
  <r>
    <s v="O0500"/>
    <s v="2025-11-10"/>
    <s v="C035"/>
    <x v="91"/>
    <s v="D003"/>
    <n v="2"/>
    <n v="159"/>
    <s v="YES"/>
    <n v="79.5"/>
    <n v="-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0001"/>
    <s v="2025-11-26"/>
    <s v="C016"/>
    <x v="0"/>
    <s v="D044"/>
    <n v="3"/>
    <n v="173"/>
    <x v="0"/>
    <n v="86.5"/>
    <n v="49.5"/>
  </r>
  <r>
    <s v="O0002"/>
    <s v="2025-07-06"/>
    <s v="C069"/>
    <x v="1"/>
    <s v="D001"/>
    <n v="4"/>
    <n v="135"/>
    <x v="0"/>
    <n v="67.5"/>
    <n v="14"/>
  </r>
  <r>
    <s v="O0003"/>
    <s v="2025-07-08"/>
    <s v="C079"/>
    <x v="2"/>
    <s v="D015"/>
    <n v="1"/>
    <n v="142"/>
    <x v="1"/>
    <n v="142"/>
    <n v="63"/>
  </r>
  <r>
    <s v="O0004"/>
    <s v="2025-06-29"/>
    <s v="C097"/>
    <x v="3"/>
    <s v="D042"/>
    <n v="4"/>
    <n v="188"/>
    <x v="1"/>
    <n v="188"/>
    <n v="396"/>
  </r>
  <r>
    <s v="O0005"/>
    <s v="2025-04-07"/>
    <s v="C021"/>
    <x v="4"/>
    <s v="D031"/>
    <n v="4"/>
    <n v="161"/>
    <x v="1"/>
    <n v="161"/>
    <n v="288"/>
  </r>
  <r>
    <s v="O0006"/>
    <s v="2025-09-01"/>
    <s v="C062"/>
    <x v="5"/>
    <s v="D034"/>
    <n v="2"/>
    <n v="158"/>
    <x v="0"/>
    <n v="79"/>
    <n v="14"/>
  </r>
  <r>
    <s v="O0007"/>
    <s v="2025-03-17"/>
    <s v="C074"/>
    <x v="6"/>
    <s v="D009"/>
    <n v="5"/>
    <n v="160"/>
    <x v="1"/>
    <n v="160"/>
    <n v="380"/>
  </r>
  <r>
    <s v="O0008"/>
    <s v="2025-02-11"/>
    <s v="C044"/>
    <x v="7"/>
    <s v="D023"/>
    <n v="4"/>
    <n v="179"/>
    <x v="1"/>
    <n v="179"/>
    <n v="552"/>
  </r>
  <r>
    <s v="O0009"/>
    <s v="2025-03-07"/>
    <s v="C100"/>
    <x v="8"/>
    <s v="D010"/>
    <n v="4"/>
    <n v="139"/>
    <x v="0"/>
    <n v="69.5"/>
    <n v="30"/>
  </r>
  <r>
    <s v="O0010"/>
    <s v="2025-10-21"/>
    <s v="C013"/>
    <x v="9"/>
    <s v="D030"/>
    <n v="5"/>
    <n v="248"/>
    <x v="0"/>
    <n v="124"/>
    <n v="310"/>
  </r>
  <r>
    <s v="O0011"/>
    <s v="2025-09-27"/>
    <s v="C051"/>
    <x v="9"/>
    <s v="D049"/>
    <n v="3"/>
    <n v="178"/>
    <x v="0"/>
    <n v="89"/>
    <n v="144"/>
  </r>
  <r>
    <s v="O0012"/>
    <s v="2025-09-27"/>
    <s v="C034"/>
    <x v="10"/>
    <s v="D004"/>
    <n v="2"/>
    <n v="240"/>
    <x v="1"/>
    <n v="240"/>
    <n v="394"/>
  </r>
  <r>
    <s v="O0013"/>
    <s v="2025-05-12"/>
    <s v="C092"/>
    <x v="11"/>
    <s v="D047"/>
    <n v="1"/>
    <n v="121"/>
    <x v="1"/>
    <n v="121"/>
    <n v="36"/>
  </r>
  <r>
    <s v="O0014"/>
    <s v="2025-08-03"/>
    <s v="C001"/>
    <x v="12"/>
    <s v="D029"/>
    <n v="2"/>
    <n v="233"/>
    <x v="1"/>
    <n v="233"/>
    <n v="326"/>
  </r>
  <r>
    <s v="O0015"/>
    <s v="2025-05-20"/>
    <s v="C063"/>
    <x v="5"/>
    <s v="D047"/>
    <n v="2"/>
    <n v="228"/>
    <x v="1"/>
    <n v="228"/>
    <n v="286"/>
  </r>
  <r>
    <s v="O0016"/>
    <s v="2025-09-19"/>
    <s v="C061"/>
    <x v="13"/>
    <s v="D039"/>
    <n v="3"/>
    <n v="202"/>
    <x v="1"/>
    <n v="202"/>
    <n v="471"/>
  </r>
  <r>
    <s v="O0017"/>
    <s v="2025-01-10"/>
    <s v="C094"/>
    <x v="5"/>
    <s v="D018"/>
    <n v="4"/>
    <n v="132"/>
    <x v="1"/>
    <n v="132"/>
    <n v="228"/>
  </r>
  <r>
    <s v="O0018"/>
    <s v="2025-06-24"/>
    <s v="C079"/>
    <x v="14"/>
    <s v="D042"/>
    <n v="5"/>
    <n v="226"/>
    <x v="1"/>
    <n v="226"/>
    <n v="685"/>
  </r>
  <r>
    <s v="O0019"/>
    <s v="2025-07-24"/>
    <s v="C017"/>
    <x v="15"/>
    <s v="D031"/>
    <n v="1"/>
    <n v="225"/>
    <x v="1"/>
    <n v="225"/>
    <n v="136"/>
  </r>
  <r>
    <s v="O0020"/>
    <s v="2025-08-20"/>
    <s v="C042"/>
    <x v="16"/>
    <s v="D003"/>
    <n v="2"/>
    <n v="221"/>
    <x v="0"/>
    <n v="110.5"/>
    <n v="53"/>
  </r>
  <r>
    <s v="O0021"/>
    <s v="2025-12-15"/>
    <s v="C059"/>
    <x v="17"/>
    <s v="D035"/>
    <n v="2"/>
    <n v="147"/>
    <x v="0"/>
    <n v="73.5"/>
    <n v="5"/>
  </r>
  <r>
    <s v="O0022"/>
    <s v="2025-04-09"/>
    <s v="C064"/>
    <x v="5"/>
    <s v="D025"/>
    <n v="2"/>
    <n v="213"/>
    <x v="0"/>
    <n v="106.5"/>
    <n v="59"/>
  </r>
  <r>
    <s v="O0023"/>
    <s v="2025-09-13"/>
    <s v="C096"/>
    <x v="18"/>
    <s v="D029"/>
    <n v="3"/>
    <n v="115"/>
    <x v="1"/>
    <n v="115"/>
    <n v="135"/>
  </r>
  <r>
    <s v="O0024"/>
    <s v="2026-01-20"/>
    <s v="C055"/>
    <x v="13"/>
    <s v="D036"/>
    <n v="4"/>
    <n v="241"/>
    <x v="1"/>
    <n v="241"/>
    <n v="716"/>
  </r>
  <r>
    <s v="O0025"/>
    <s v="2025-11-23"/>
    <s v="C076"/>
    <x v="19"/>
    <s v="D027"/>
    <n v="2"/>
    <n v="104"/>
    <x v="0"/>
    <n v="52"/>
    <n v="4"/>
  </r>
  <r>
    <s v="O0026"/>
    <s v="2025-11-05"/>
    <s v="C016"/>
    <x v="20"/>
    <s v="D015"/>
    <n v="5"/>
    <n v="206"/>
    <x v="0"/>
    <n v="103"/>
    <n v="120"/>
  </r>
  <r>
    <s v="O0027"/>
    <s v="2025-05-11"/>
    <s v="C083"/>
    <x v="21"/>
    <s v="D016"/>
    <n v="5"/>
    <n v="176"/>
    <x v="0"/>
    <n v="88"/>
    <n v="95"/>
  </r>
  <r>
    <s v="O0028"/>
    <s v="2025-01-09"/>
    <s v="C066"/>
    <x v="22"/>
    <s v="D036"/>
    <n v="2"/>
    <n v="201"/>
    <x v="0"/>
    <n v="100.5"/>
    <n v="77"/>
  </r>
  <r>
    <s v="O0029"/>
    <s v="2025-01-18"/>
    <s v="C031"/>
    <x v="23"/>
    <s v="D049"/>
    <n v="1"/>
    <n v="222"/>
    <x v="1"/>
    <n v="222"/>
    <n v="181"/>
  </r>
  <r>
    <s v="O0030"/>
    <s v="2025-03-11"/>
    <s v="C023"/>
    <x v="23"/>
    <s v="D001"/>
    <n v="4"/>
    <n v="156"/>
    <x v="1"/>
    <n v="156"/>
    <n v="368"/>
  </r>
  <r>
    <s v="O0031"/>
    <s v="2025-08-11"/>
    <s v="C030"/>
    <x v="24"/>
    <s v="D007"/>
    <n v="5"/>
    <n v="175"/>
    <x v="1"/>
    <n v="175"/>
    <n v="540"/>
  </r>
  <r>
    <s v="O0032"/>
    <s v="2025-06-14"/>
    <s v="C051"/>
    <x v="25"/>
    <s v="D017"/>
    <n v="2"/>
    <n v="154"/>
    <x v="0"/>
    <n v="77"/>
    <n v="34"/>
  </r>
  <r>
    <s v="O0033"/>
    <s v="2026-01-31"/>
    <s v="C016"/>
    <x v="26"/>
    <s v="D015"/>
    <n v="2"/>
    <n v="183"/>
    <x v="0"/>
    <n v="91.5"/>
    <n v="25"/>
  </r>
  <r>
    <s v="O0034"/>
    <s v="2025-09-01"/>
    <s v="C005"/>
    <x v="27"/>
    <s v="D007"/>
    <n v="3"/>
    <n v="222"/>
    <x v="1"/>
    <n v="222"/>
    <n v="465"/>
  </r>
  <r>
    <s v="O0035"/>
    <s v="2025-12-30"/>
    <s v="C059"/>
    <x v="28"/>
    <s v="D003"/>
    <n v="1"/>
    <n v="217"/>
    <x v="0"/>
    <n v="108.5"/>
    <n v="24.5"/>
  </r>
  <r>
    <s v="O0036"/>
    <s v="2025-02-11"/>
    <s v="C064"/>
    <x v="24"/>
    <s v="D029"/>
    <n v="5"/>
    <n v="126"/>
    <x v="0"/>
    <n v="63"/>
    <n v="-35"/>
  </r>
  <r>
    <s v="O0037"/>
    <s v="2025-06-11"/>
    <s v="C031"/>
    <x v="29"/>
    <s v="D042"/>
    <n v="5"/>
    <n v="139"/>
    <x v="1"/>
    <n v="139"/>
    <n v="250"/>
  </r>
  <r>
    <s v="O0038"/>
    <s v="2025-04-16"/>
    <s v="C023"/>
    <x v="30"/>
    <s v="D030"/>
    <n v="1"/>
    <n v="203"/>
    <x v="1"/>
    <n v="203"/>
    <n v="141"/>
  </r>
  <r>
    <s v="O0039"/>
    <s v="2025-04-01"/>
    <s v="C035"/>
    <x v="31"/>
    <s v="D004"/>
    <n v="2"/>
    <n v="174"/>
    <x v="0"/>
    <n v="87"/>
    <n v="88"/>
  </r>
  <r>
    <s v="O0040"/>
    <s v="2025-12-23"/>
    <s v="C033"/>
    <x v="32"/>
    <s v="D032"/>
    <n v="1"/>
    <n v="219"/>
    <x v="1"/>
    <n v="219"/>
    <n v="136"/>
  </r>
  <r>
    <s v="O0041"/>
    <s v="2025-05-05"/>
    <s v="C034"/>
    <x v="33"/>
    <s v="D032"/>
    <n v="3"/>
    <n v="243"/>
    <x v="1"/>
    <n v="243"/>
    <n v="480"/>
  </r>
  <r>
    <s v="O0042"/>
    <s v="2025-08-25"/>
    <s v="C026"/>
    <x v="33"/>
    <s v="D002"/>
    <n v="3"/>
    <n v="234"/>
    <x v="1"/>
    <n v="234"/>
    <n v="498"/>
  </r>
  <r>
    <s v="O0043"/>
    <s v="2025-03-07"/>
    <s v="C030"/>
    <x v="34"/>
    <s v="D024"/>
    <n v="5"/>
    <n v="115"/>
    <x v="1"/>
    <n v="115"/>
    <n v="295"/>
  </r>
  <r>
    <s v="O0044"/>
    <s v="2025-02-27"/>
    <s v="C071"/>
    <x v="20"/>
    <s v="D022"/>
    <n v="1"/>
    <n v="124"/>
    <x v="0"/>
    <n v="62"/>
    <n v="-3"/>
  </r>
  <r>
    <s v="O0045"/>
    <s v="2025-02-06"/>
    <s v="C062"/>
    <x v="35"/>
    <s v="D029"/>
    <n v="5"/>
    <n v="211"/>
    <x v="0"/>
    <n v="105.5"/>
    <n v="177.5"/>
  </r>
  <r>
    <s v="O0046"/>
    <s v="2025-01-18"/>
    <s v="C053"/>
    <x v="28"/>
    <s v="D001"/>
    <n v="5"/>
    <n v="161"/>
    <x v="0"/>
    <n v="80.5"/>
    <n v="82.5"/>
  </r>
  <r>
    <s v="O0047"/>
    <s v="2025-11-22"/>
    <s v="C058"/>
    <x v="36"/>
    <s v="D018"/>
    <n v="5"/>
    <n v="143"/>
    <x v="0"/>
    <n v="71.5"/>
    <n v="-17.5"/>
  </r>
  <r>
    <s v="O0048"/>
    <s v="2025-07-26"/>
    <s v="C077"/>
    <x v="23"/>
    <s v="D040"/>
    <n v="5"/>
    <n v="165"/>
    <x v="1"/>
    <n v="165"/>
    <n v="425"/>
  </r>
  <r>
    <s v="O0049"/>
    <s v="2025-12-07"/>
    <s v="C010"/>
    <x v="37"/>
    <s v="D008"/>
    <n v="4"/>
    <n v="108"/>
    <x v="1"/>
    <n v="108"/>
    <n v="136"/>
  </r>
  <r>
    <s v="O0050"/>
    <s v="2025-01-13"/>
    <s v="C043"/>
    <x v="38"/>
    <s v="D033"/>
    <n v="4"/>
    <n v="150"/>
    <x v="0"/>
    <n v="75"/>
    <n v="112"/>
  </r>
  <r>
    <s v="O0051"/>
    <s v="2025-07-27"/>
    <s v="C054"/>
    <x v="39"/>
    <s v="D039"/>
    <n v="3"/>
    <n v="121"/>
    <x v="1"/>
    <n v="121"/>
    <n v="228"/>
  </r>
  <r>
    <s v="O0052"/>
    <s v="2025-04-27"/>
    <s v="C097"/>
    <x v="40"/>
    <s v="D049"/>
    <n v="4"/>
    <n v="210"/>
    <x v="1"/>
    <n v="210"/>
    <n v="676"/>
  </r>
  <r>
    <s v="O0053"/>
    <s v="2025-05-17"/>
    <s v="C041"/>
    <x v="41"/>
    <s v="D024"/>
    <n v="4"/>
    <n v="232"/>
    <x v="1"/>
    <n v="232"/>
    <n v="704"/>
  </r>
  <r>
    <s v="O0054"/>
    <s v="2025-12-12"/>
    <s v="C073"/>
    <x v="2"/>
    <s v="D045"/>
    <n v="5"/>
    <n v="116"/>
    <x v="0"/>
    <n v="58"/>
    <n v="-30"/>
  </r>
  <r>
    <s v="O0055"/>
    <s v="2025-05-18"/>
    <s v="C090"/>
    <x v="42"/>
    <s v="D044"/>
    <n v="3"/>
    <n v="214"/>
    <x v="1"/>
    <n v="214"/>
    <n v="432"/>
  </r>
  <r>
    <s v="O0056"/>
    <s v="2025-09-18"/>
    <s v="C098"/>
    <x v="13"/>
    <s v="D008"/>
    <n v="2"/>
    <n v="246"/>
    <x v="0"/>
    <n v="123"/>
    <n v="98"/>
  </r>
  <r>
    <s v="O0057"/>
    <s v="2025-12-18"/>
    <s v="C085"/>
    <x v="43"/>
    <s v="D024"/>
    <n v="1"/>
    <n v="137"/>
    <x v="0"/>
    <n v="68.5"/>
    <n v="12.5"/>
  </r>
  <r>
    <s v="O0058"/>
    <s v="2025-03-13"/>
    <s v="C058"/>
    <x v="4"/>
    <s v="D045"/>
    <n v="4"/>
    <n v="206"/>
    <x v="0"/>
    <n v="103"/>
    <n v="156"/>
  </r>
  <r>
    <s v="O0059"/>
    <s v="2025-07-04"/>
    <s v="C029"/>
    <x v="42"/>
    <s v="D035"/>
    <n v="4"/>
    <n v="201"/>
    <x v="1"/>
    <n v="201"/>
    <n v="520"/>
  </r>
  <r>
    <s v="O0060"/>
    <s v="2025-11-01"/>
    <s v="C048"/>
    <x v="2"/>
    <s v="D022"/>
    <n v="4"/>
    <n v="243"/>
    <x v="1"/>
    <n v="243"/>
    <n v="712"/>
  </r>
  <r>
    <s v="O0061"/>
    <s v="2025-06-26"/>
    <s v="C002"/>
    <x v="11"/>
    <s v="D021"/>
    <n v="1"/>
    <n v="137"/>
    <x v="0"/>
    <n v="68.5"/>
    <n v="5.5"/>
  </r>
  <r>
    <s v="O0062"/>
    <s v="2025-04-03"/>
    <s v="C025"/>
    <x v="44"/>
    <s v="D042"/>
    <n v="2"/>
    <n v="122"/>
    <x v="1"/>
    <n v="122"/>
    <n v="66"/>
  </r>
  <r>
    <s v="O0063"/>
    <s v="2025-04-28"/>
    <s v="C005"/>
    <x v="9"/>
    <s v="D032"/>
    <n v="1"/>
    <n v="212"/>
    <x v="1"/>
    <n v="212"/>
    <n v="129"/>
  </r>
  <r>
    <s v="O0064"/>
    <s v="2025-12-24"/>
    <s v="C097"/>
    <x v="34"/>
    <s v="D048"/>
    <n v="2"/>
    <n v="248"/>
    <x v="1"/>
    <n v="248"/>
    <n v="412"/>
  </r>
  <r>
    <s v="O0065"/>
    <s v="2025-03-08"/>
    <s v="C047"/>
    <x v="28"/>
    <s v="D049"/>
    <n v="3"/>
    <n v="125"/>
    <x v="1"/>
    <n v="125"/>
    <n v="252"/>
  </r>
  <r>
    <s v="O0066"/>
    <s v="2025-03-02"/>
    <s v="C024"/>
    <x v="14"/>
    <s v="D030"/>
    <n v="2"/>
    <n v="113"/>
    <x v="0"/>
    <n v="56.5"/>
    <n v="-11"/>
  </r>
  <r>
    <s v="O0067"/>
    <s v="2025-03-21"/>
    <s v="C039"/>
    <x v="39"/>
    <s v="D021"/>
    <n v="3"/>
    <n v="230"/>
    <x v="0"/>
    <n v="115"/>
    <n v="156"/>
  </r>
  <r>
    <s v="O0068"/>
    <s v="2025-01-03"/>
    <s v="C015"/>
    <x v="30"/>
    <s v="D029"/>
    <n v="2"/>
    <n v="130"/>
    <x v="0"/>
    <n v="65"/>
    <n v="-10"/>
  </r>
  <r>
    <s v="O0069"/>
    <s v="2025-09-11"/>
    <s v="C026"/>
    <x v="20"/>
    <s v="D021"/>
    <n v="2"/>
    <n v="235"/>
    <x v="1"/>
    <n v="235"/>
    <n v="344"/>
  </r>
  <r>
    <s v="O0070"/>
    <s v="2025-06-10"/>
    <s v="C001"/>
    <x v="45"/>
    <s v="D046"/>
    <n v="1"/>
    <n v="169"/>
    <x v="1"/>
    <n v="169"/>
    <n v="126"/>
  </r>
  <r>
    <s v="O0071"/>
    <s v="2025-05-21"/>
    <s v="C091"/>
    <x v="46"/>
    <s v="D019"/>
    <n v="2"/>
    <n v="195"/>
    <x v="1"/>
    <n v="195"/>
    <n v="222"/>
  </r>
  <r>
    <s v="O0072"/>
    <s v="2025-07-16"/>
    <s v="C036"/>
    <x v="17"/>
    <s v="D037"/>
    <n v="2"/>
    <n v="200"/>
    <x v="1"/>
    <n v="200"/>
    <n v="292"/>
  </r>
  <r>
    <s v="O0073"/>
    <s v="2025-05-09"/>
    <s v="C049"/>
    <x v="17"/>
    <s v="D007"/>
    <n v="3"/>
    <n v="240"/>
    <x v="0"/>
    <n v="120"/>
    <n v="159"/>
  </r>
  <r>
    <s v="O0074"/>
    <s v="2026-01-26"/>
    <s v="C087"/>
    <x v="15"/>
    <s v="D023"/>
    <n v="1"/>
    <n v="156"/>
    <x v="1"/>
    <n v="156"/>
    <n v="115"/>
  </r>
  <r>
    <s v="O0075"/>
    <s v="2026-01-16"/>
    <s v="C089"/>
    <x v="47"/>
    <s v="D030"/>
    <n v="1"/>
    <n v="191"/>
    <x v="1"/>
    <n v="191"/>
    <n v="129"/>
  </r>
  <r>
    <s v="O0076"/>
    <s v="2026-02-03"/>
    <s v="C088"/>
    <x v="48"/>
    <s v="D020"/>
    <n v="3"/>
    <n v="140"/>
    <x v="1"/>
    <n v="140"/>
    <n v="255"/>
  </r>
  <r>
    <s v="O0077"/>
    <s v="2025-12-03"/>
    <s v="C081"/>
    <x v="29"/>
    <s v="D039"/>
    <n v="5"/>
    <n v="201"/>
    <x v="0"/>
    <n v="100.5"/>
    <n v="277.5"/>
  </r>
  <r>
    <s v="O0078"/>
    <s v="2025-04-29"/>
    <s v="C003"/>
    <x v="49"/>
    <s v="D028"/>
    <n v="2"/>
    <n v="235"/>
    <x v="1"/>
    <n v="235"/>
    <n v="320"/>
  </r>
  <r>
    <s v="O0079"/>
    <s v="2025-01-02"/>
    <s v="C071"/>
    <x v="3"/>
    <s v="D007"/>
    <n v="2"/>
    <n v="173"/>
    <x v="0"/>
    <n v="86.5"/>
    <n v="39"/>
  </r>
  <r>
    <s v="O0080"/>
    <s v="2025-08-17"/>
    <s v="C001"/>
    <x v="14"/>
    <s v="D048"/>
    <n v="3"/>
    <n v="193"/>
    <x v="1"/>
    <n v="193"/>
    <n v="453"/>
  </r>
  <r>
    <s v="O0081"/>
    <s v="2025-04-21"/>
    <s v="C003"/>
    <x v="50"/>
    <s v="D033"/>
    <n v="2"/>
    <n v="213"/>
    <x v="1"/>
    <n v="213"/>
    <n v="332"/>
  </r>
  <r>
    <s v="O0082"/>
    <s v="2025-01-14"/>
    <s v="C018"/>
    <x v="51"/>
    <s v="D021"/>
    <n v="1"/>
    <n v="145"/>
    <x v="1"/>
    <n v="145"/>
    <n v="82"/>
  </r>
  <r>
    <s v="O0083"/>
    <s v="2025-02-09"/>
    <s v="C097"/>
    <x v="52"/>
    <s v="D002"/>
    <n v="1"/>
    <n v="108"/>
    <x v="1"/>
    <n v="108"/>
    <n v="40"/>
  </r>
  <r>
    <s v="O0084"/>
    <s v="2025-03-14"/>
    <s v="C059"/>
    <x v="53"/>
    <s v="D023"/>
    <n v="2"/>
    <n v="211"/>
    <x v="0"/>
    <n v="105.5"/>
    <n v="129"/>
  </r>
  <r>
    <s v="O0085"/>
    <s v="2025-10-22"/>
    <s v="C049"/>
    <x v="54"/>
    <s v="D049"/>
    <n v="2"/>
    <n v="157"/>
    <x v="0"/>
    <n v="78.5"/>
    <n v="75"/>
  </r>
  <r>
    <s v="O0086"/>
    <s v="2025-02-19"/>
    <s v="C068"/>
    <x v="42"/>
    <s v="D029"/>
    <n v="2"/>
    <n v="114"/>
    <x v="1"/>
    <n v="114"/>
    <n v="88"/>
  </r>
  <r>
    <s v="O0087"/>
    <s v="2026-01-06"/>
    <s v="C013"/>
    <x v="55"/>
    <s v="D038"/>
    <n v="3"/>
    <n v="180"/>
    <x v="0"/>
    <n v="90"/>
    <n v="60"/>
  </r>
  <r>
    <s v="O0088"/>
    <s v="2025-06-10"/>
    <s v="C003"/>
    <x v="56"/>
    <s v="D004"/>
    <n v="1"/>
    <n v="181"/>
    <x v="1"/>
    <n v="181"/>
    <n v="138"/>
  </r>
  <r>
    <s v="O0089"/>
    <s v="2025-02-22"/>
    <s v="C008"/>
    <x v="57"/>
    <s v="D038"/>
    <n v="3"/>
    <n v="185"/>
    <x v="0"/>
    <n v="92.5"/>
    <n v="67.5"/>
  </r>
  <r>
    <s v="O0090"/>
    <s v="2025-08-02"/>
    <s v="C005"/>
    <x v="58"/>
    <s v="D034"/>
    <n v="4"/>
    <n v="236"/>
    <x v="1"/>
    <n v="236"/>
    <n v="656"/>
  </r>
  <r>
    <s v="O0091"/>
    <s v="2025-01-04"/>
    <s v="C046"/>
    <x v="59"/>
    <s v="D031"/>
    <n v="2"/>
    <n v="202"/>
    <x v="0"/>
    <n v="101"/>
    <n v="24"/>
  </r>
  <r>
    <s v="O0092"/>
    <s v="2025-07-17"/>
    <s v="C023"/>
    <x v="34"/>
    <s v="D007"/>
    <n v="1"/>
    <n v="241"/>
    <x v="1"/>
    <n v="241"/>
    <n v="174"/>
  </r>
  <r>
    <s v="O0093"/>
    <s v="2025-01-20"/>
    <s v="C064"/>
    <x v="31"/>
    <s v="D050"/>
    <n v="2"/>
    <n v="183"/>
    <x v="0"/>
    <n v="91.5"/>
    <n v="21"/>
  </r>
  <r>
    <s v="O0094"/>
    <s v="2025-01-26"/>
    <s v="C088"/>
    <x v="19"/>
    <s v="D038"/>
    <n v="2"/>
    <n v="196"/>
    <x v="1"/>
    <n v="196"/>
    <n v="252"/>
  </r>
  <r>
    <s v="O0095"/>
    <s v="2025-08-30"/>
    <s v="C008"/>
    <x v="60"/>
    <s v="D005"/>
    <n v="1"/>
    <n v="126"/>
    <x v="0"/>
    <n v="63"/>
    <n v="-5"/>
  </r>
  <r>
    <s v="O0096"/>
    <s v="2025-12-28"/>
    <s v="C052"/>
    <x v="51"/>
    <s v="D046"/>
    <n v="4"/>
    <n v="206"/>
    <x v="1"/>
    <n v="206"/>
    <n v="652"/>
  </r>
  <r>
    <s v="O0097"/>
    <s v="2025-03-30"/>
    <s v="C036"/>
    <x v="61"/>
    <s v="D013"/>
    <n v="1"/>
    <n v="198"/>
    <x v="1"/>
    <n v="198"/>
    <n v="153"/>
  </r>
  <r>
    <s v="O0098"/>
    <s v="2025-08-06"/>
    <s v="C035"/>
    <x v="28"/>
    <s v="D009"/>
    <n v="2"/>
    <n v="218"/>
    <x v="0"/>
    <n v="109"/>
    <n v="50"/>
  </r>
  <r>
    <s v="O0099"/>
    <s v="2025-12-29"/>
    <s v="C064"/>
    <x v="62"/>
    <s v="D044"/>
    <n v="4"/>
    <n v="193"/>
    <x v="0"/>
    <n v="96.5"/>
    <n v="106"/>
  </r>
  <r>
    <s v="O0100"/>
    <s v="2026-01-02"/>
    <s v="C048"/>
    <x v="32"/>
    <s v="D006"/>
    <n v="3"/>
    <n v="240"/>
    <x v="1"/>
    <n v="240"/>
    <n v="465"/>
  </r>
  <r>
    <s v="O0101"/>
    <s v="2025-03-10"/>
    <s v="C013"/>
    <x v="40"/>
    <s v="D011"/>
    <n v="5"/>
    <n v="107"/>
    <x v="0"/>
    <n v="53.5"/>
    <n v="-17.5"/>
  </r>
  <r>
    <s v="O0102"/>
    <s v="2025-10-20"/>
    <s v="C036"/>
    <x v="13"/>
    <s v="D041"/>
    <n v="3"/>
    <n v="158"/>
    <x v="1"/>
    <n v="158"/>
    <n v="309"/>
  </r>
  <r>
    <s v="O0103"/>
    <s v="2025-12-22"/>
    <s v="C025"/>
    <x v="8"/>
    <s v="D006"/>
    <n v="5"/>
    <n v="111"/>
    <x v="1"/>
    <n v="111"/>
    <n v="130"/>
  </r>
  <r>
    <s v="O0104"/>
    <s v="2025-04-13"/>
    <s v="C020"/>
    <x v="63"/>
    <s v="D035"/>
    <n v="4"/>
    <n v="124"/>
    <x v="0"/>
    <n v="62"/>
    <n v="-36"/>
  </r>
  <r>
    <s v="O0105"/>
    <s v="2025-07-23"/>
    <s v="C025"/>
    <x v="39"/>
    <s v="D005"/>
    <n v="3"/>
    <n v="181"/>
    <x v="1"/>
    <n v="181"/>
    <n v="339"/>
  </r>
  <r>
    <s v="O0106"/>
    <s v="2026-01-22"/>
    <s v="C055"/>
    <x v="57"/>
    <s v="D027"/>
    <n v="5"/>
    <n v="182"/>
    <x v="1"/>
    <n v="182"/>
    <n v="660"/>
  </r>
  <r>
    <s v="O0107"/>
    <s v="2025-01-01"/>
    <s v="C062"/>
    <x v="64"/>
    <s v="D030"/>
    <n v="3"/>
    <n v="124"/>
    <x v="0"/>
    <n v="62"/>
    <n v="0"/>
  </r>
  <r>
    <s v="O0108"/>
    <s v="2025-09-08"/>
    <s v="C071"/>
    <x v="7"/>
    <s v="D025"/>
    <n v="4"/>
    <n v="177"/>
    <x v="0"/>
    <n v="88.5"/>
    <n v="46"/>
  </r>
  <r>
    <s v="O0109"/>
    <s v="2025-04-09"/>
    <s v="C041"/>
    <x v="65"/>
    <s v="D047"/>
    <n v="3"/>
    <n v="112"/>
    <x v="1"/>
    <n v="112"/>
    <n v="81"/>
  </r>
  <r>
    <s v="O0110"/>
    <s v="2026-01-24"/>
    <s v="C014"/>
    <x v="66"/>
    <s v="D022"/>
    <n v="4"/>
    <n v="233"/>
    <x v="0"/>
    <n v="116.5"/>
    <n v="206"/>
  </r>
  <r>
    <s v="O0111"/>
    <s v="2025-03-04"/>
    <s v="C003"/>
    <x v="67"/>
    <s v="D009"/>
    <n v="3"/>
    <n v="182"/>
    <x v="1"/>
    <n v="182"/>
    <n v="294"/>
  </r>
  <r>
    <s v="O0112"/>
    <s v="2025-04-27"/>
    <s v="C095"/>
    <x v="68"/>
    <s v="D029"/>
    <n v="3"/>
    <n v="171"/>
    <x v="0"/>
    <n v="85.5"/>
    <n v="46.5"/>
  </r>
  <r>
    <s v="O0113"/>
    <s v="2025-07-29"/>
    <s v="C099"/>
    <x v="23"/>
    <s v="D030"/>
    <n v="2"/>
    <n v="154"/>
    <x v="0"/>
    <n v="77"/>
    <n v="30"/>
  </r>
  <r>
    <s v="O0114"/>
    <s v="2025-06-03"/>
    <s v="C061"/>
    <x v="69"/>
    <s v="D024"/>
    <n v="5"/>
    <n v="228"/>
    <x v="1"/>
    <n v="228"/>
    <n v="860"/>
  </r>
  <r>
    <s v="O0115"/>
    <s v="2025-04-01"/>
    <s v="C050"/>
    <x v="63"/>
    <s v="D027"/>
    <n v="2"/>
    <n v="131"/>
    <x v="0"/>
    <n v="65.5"/>
    <n v="31"/>
  </r>
  <r>
    <s v="O0116"/>
    <s v="2025-05-31"/>
    <s v="C013"/>
    <x v="70"/>
    <s v="D043"/>
    <n v="5"/>
    <n v="235"/>
    <x v="0"/>
    <n v="117.5"/>
    <n v="277.5"/>
  </r>
  <r>
    <s v="O0117"/>
    <s v="2025-02-15"/>
    <s v="C088"/>
    <x v="64"/>
    <s v="D041"/>
    <n v="2"/>
    <n v="250"/>
    <x v="1"/>
    <n v="250"/>
    <n v="390"/>
  </r>
  <r>
    <s v="O0118"/>
    <s v="2025-06-26"/>
    <s v="C055"/>
    <x v="29"/>
    <s v="D006"/>
    <n v="1"/>
    <n v="242"/>
    <x v="1"/>
    <n v="242"/>
    <n v="157"/>
  </r>
  <r>
    <s v="O0119"/>
    <s v="2025-10-26"/>
    <s v="C096"/>
    <x v="14"/>
    <s v="D041"/>
    <n v="5"/>
    <n v="148"/>
    <x v="1"/>
    <n v="148"/>
    <n v="465"/>
  </r>
  <r>
    <s v="O0120"/>
    <s v="2025-03-04"/>
    <s v="C045"/>
    <x v="71"/>
    <s v="D028"/>
    <n v="4"/>
    <n v="240"/>
    <x v="0"/>
    <n v="120"/>
    <n v="180"/>
  </r>
  <r>
    <s v="O0121"/>
    <s v="2025-01-03"/>
    <s v="C081"/>
    <x v="72"/>
    <s v="D044"/>
    <n v="4"/>
    <n v="109"/>
    <x v="0"/>
    <n v="54.5"/>
    <n v="-62"/>
  </r>
  <r>
    <s v="O0122"/>
    <s v="2025-04-25"/>
    <s v="C069"/>
    <x v="45"/>
    <s v="D026"/>
    <n v="5"/>
    <n v="218"/>
    <x v="0"/>
    <n v="109"/>
    <n v="340"/>
  </r>
  <r>
    <s v="O0123"/>
    <s v="2025-11-23"/>
    <s v="C091"/>
    <x v="22"/>
    <s v="D009"/>
    <n v="1"/>
    <n v="198"/>
    <x v="1"/>
    <n v="198"/>
    <n v="114"/>
  </r>
  <r>
    <s v="O0124"/>
    <s v="2025-06-20"/>
    <s v="C099"/>
    <x v="38"/>
    <s v="D050"/>
    <n v="5"/>
    <n v="117"/>
    <x v="0"/>
    <n v="58.5"/>
    <n v="-112.5"/>
  </r>
  <r>
    <s v="O0125"/>
    <s v="2025-07-03"/>
    <s v="C024"/>
    <x v="26"/>
    <s v="D014"/>
    <n v="1"/>
    <n v="131"/>
    <x v="0"/>
    <n v="65.5"/>
    <n v="15.5"/>
  </r>
  <r>
    <s v="O0126"/>
    <s v="2025-11-01"/>
    <s v="C093"/>
    <x v="21"/>
    <s v="D029"/>
    <n v="5"/>
    <n v="230"/>
    <x v="0"/>
    <n v="115"/>
    <n v="225"/>
  </r>
  <r>
    <s v="O0127"/>
    <s v="2025-05-08"/>
    <s v="C050"/>
    <x v="73"/>
    <s v="D012"/>
    <n v="3"/>
    <n v="114"/>
    <x v="0"/>
    <n v="57"/>
    <n v="-48"/>
  </r>
  <r>
    <s v="O0128"/>
    <s v="2025-04-29"/>
    <s v="C018"/>
    <x v="74"/>
    <s v="D013"/>
    <n v="2"/>
    <n v="180"/>
    <x v="1"/>
    <n v="180"/>
    <n v="270"/>
  </r>
  <r>
    <s v="O0129"/>
    <s v="2025-10-15"/>
    <s v="C032"/>
    <x v="35"/>
    <s v="D050"/>
    <n v="2"/>
    <n v="142"/>
    <x v="1"/>
    <n v="142"/>
    <n v="122"/>
  </r>
  <r>
    <s v="O0130"/>
    <s v="2025-11-12"/>
    <s v="C046"/>
    <x v="25"/>
    <s v="D014"/>
    <n v="1"/>
    <n v="193"/>
    <x v="0"/>
    <n v="96.5"/>
    <n v="46.5"/>
  </r>
  <r>
    <s v="O0131"/>
    <s v="2025-07-22"/>
    <s v="C083"/>
    <x v="75"/>
    <s v="D018"/>
    <n v="4"/>
    <n v="194"/>
    <x v="0"/>
    <n v="97"/>
    <n v="88"/>
  </r>
  <r>
    <s v="O0132"/>
    <s v="2025-08-13"/>
    <s v="C003"/>
    <x v="66"/>
    <s v="D004"/>
    <n v="2"/>
    <n v="235"/>
    <x v="1"/>
    <n v="235"/>
    <n v="384"/>
  </r>
  <r>
    <s v="O0133"/>
    <s v="2025-07-19"/>
    <s v="C031"/>
    <x v="53"/>
    <s v="D003"/>
    <n v="5"/>
    <n v="180"/>
    <x v="1"/>
    <n v="180"/>
    <n v="480"/>
  </r>
  <r>
    <s v="O0134"/>
    <s v="2025-11-22"/>
    <s v="C046"/>
    <x v="75"/>
    <s v="D039"/>
    <n v="4"/>
    <n v="184"/>
    <x v="0"/>
    <n v="92"/>
    <n v="188"/>
  </r>
  <r>
    <s v="O0135"/>
    <s v="2025-10-16"/>
    <s v="C035"/>
    <x v="76"/>
    <s v="D040"/>
    <n v="2"/>
    <n v="155"/>
    <x v="0"/>
    <n v="77.5"/>
    <n v="-5"/>
  </r>
  <r>
    <s v="O0136"/>
    <s v="2025-08-28"/>
    <s v="C019"/>
    <x v="2"/>
    <s v="D043"/>
    <n v="5"/>
    <n v="146"/>
    <x v="1"/>
    <n v="146"/>
    <n v="420"/>
  </r>
  <r>
    <s v="O0137"/>
    <s v="2025-12-08"/>
    <s v="C007"/>
    <x v="7"/>
    <s v="D020"/>
    <n v="5"/>
    <n v="250"/>
    <x v="0"/>
    <n v="125"/>
    <n v="350"/>
  </r>
  <r>
    <s v="O0138"/>
    <s v="2025-05-11"/>
    <s v="C034"/>
    <x v="77"/>
    <s v="D015"/>
    <n v="1"/>
    <n v="248"/>
    <x v="1"/>
    <n v="248"/>
    <n v="169"/>
  </r>
  <r>
    <s v="O0139"/>
    <s v="2025-07-17"/>
    <s v="C087"/>
    <x v="59"/>
    <s v="D014"/>
    <n v="1"/>
    <n v="132"/>
    <x v="1"/>
    <n v="132"/>
    <n v="82"/>
  </r>
  <r>
    <s v="O0140"/>
    <s v="2025-04-23"/>
    <s v="C078"/>
    <x v="38"/>
    <s v="D011"/>
    <n v="5"/>
    <n v="108"/>
    <x v="1"/>
    <n v="108"/>
    <n v="255"/>
  </r>
  <r>
    <s v="O0141"/>
    <s v="2025-08-19"/>
    <s v="C038"/>
    <x v="78"/>
    <s v="D027"/>
    <n v="1"/>
    <n v="209"/>
    <x v="0"/>
    <n v="104.5"/>
    <n v="54.5"/>
  </r>
  <r>
    <s v="O0142"/>
    <s v="2025-12-10"/>
    <s v="C079"/>
    <x v="52"/>
    <s v="D018"/>
    <n v="1"/>
    <n v="236"/>
    <x v="1"/>
    <n v="236"/>
    <n v="161"/>
  </r>
  <r>
    <s v="O0143"/>
    <s v="2025-09-16"/>
    <s v="C041"/>
    <x v="33"/>
    <s v="D048"/>
    <n v="5"/>
    <n v="112"/>
    <x v="1"/>
    <n v="112"/>
    <n v="350"/>
  </r>
  <r>
    <s v="O0144"/>
    <s v="2025-12-03"/>
    <s v="C055"/>
    <x v="3"/>
    <s v="D017"/>
    <n v="5"/>
    <n v="162"/>
    <x v="1"/>
    <n v="162"/>
    <n v="510"/>
  </r>
  <r>
    <s v="O0145"/>
    <s v="2025-01-16"/>
    <s v="C021"/>
    <x v="79"/>
    <s v="D032"/>
    <n v="1"/>
    <n v="100"/>
    <x v="1"/>
    <n v="100"/>
    <n v="17"/>
  </r>
  <r>
    <s v="O0146"/>
    <s v="2026-02-04"/>
    <s v="C094"/>
    <x v="37"/>
    <s v="D022"/>
    <n v="4"/>
    <n v="232"/>
    <x v="1"/>
    <n v="232"/>
    <n v="668"/>
  </r>
  <r>
    <s v="O0147"/>
    <s v="2025-02-23"/>
    <s v="C049"/>
    <x v="80"/>
    <s v="D001"/>
    <n v="2"/>
    <n v="117"/>
    <x v="0"/>
    <n v="58.5"/>
    <n v="-11"/>
  </r>
  <r>
    <s v="O0148"/>
    <s v="2025-12-11"/>
    <s v="C099"/>
    <x v="80"/>
    <s v="D043"/>
    <n v="2"/>
    <n v="138"/>
    <x v="0"/>
    <n v="69"/>
    <n v="14"/>
  </r>
  <r>
    <s v="O0149"/>
    <s v="2025-12-18"/>
    <s v="C031"/>
    <x v="31"/>
    <s v="D015"/>
    <n v="2"/>
    <n v="178"/>
    <x v="1"/>
    <n v="178"/>
    <n v="198"/>
  </r>
  <r>
    <s v="O0150"/>
    <s v="2025-05-07"/>
    <s v="C027"/>
    <x v="46"/>
    <s v="D045"/>
    <n v="1"/>
    <n v="188"/>
    <x v="0"/>
    <n v="94"/>
    <n v="30"/>
  </r>
  <r>
    <s v="O0151"/>
    <s v="2025-08-28"/>
    <s v="C061"/>
    <x v="13"/>
    <s v="D038"/>
    <n v="1"/>
    <n v="150"/>
    <x v="1"/>
    <n v="150"/>
    <n v="80"/>
  </r>
  <r>
    <s v="O0152"/>
    <s v="2025-12-18"/>
    <s v="C070"/>
    <x v="81"/>
    <s v="D003"/>
    <n v="3"/>
    <n v="121"/>
    <x v="0"/>
    <n v="60.5"/>
    <n v="-70.5"/>
  </r>
  <r>
    <s v="O0153"/>
    <s v="2025-02-14"/>
    <s v="C045"/>
    <x v="82"/>
    <s v="D024"/>
    <n v="3"/>
    <n v="162"/>
    <x v="0"/>
    <n v="81"/>
    <n v="75"/>
  </r>
  <r>
    <s v="O0154"/>
    <s v="2026-01-21"/>
    <s v="C013"/>
    <x v="28"/>
    <s v="D019"/>
    <n v="5"/>
    <n v="169"/>
    <x v="0"/>
    <n v="84.5"/>
    <n v="2.5"/>
  </r>
  <r>
    <s v="O0155"/>
    <s v="2025-07-08"/>
    <s v="C012"/>
    <x v="22"/>
    <s v="D025"/>
    <n v="5"/>
    <n v="219"/>
    <x v="1"/>
    <n v="219"/>
    <n v="710"/>
  </r>
  <r>
    <s v="O0156"/>
    <s v="2025-10-07"/>
    <s v="C008"/>
    <x v="72"/>
    <s v="D004"/>
    <n v="5"/>
    <n v="133"/>
    <x v="0"/>
    <n v="66.5"/>
    <n v="117.5"/>
  </r>
  <r>
    <s v="O0157"/>
    <s v="2025-06-23"/>
    <s v="C081"/>
    <x v="83"/>
    <s v="D031"/>
    <n v="4"/>
    <n v="240"/>
    <x v="0"/>
    <n v="120"/>
    <n v="124"/>
  </r>
  <r>
    <s v="O0158"/>
    <s v="2025-11-22"/>
    <s v="C045"/>
    <x v="84"/>
    <s v="D047"/>
    <n v="2"/>
    <n v="203"/>
    <x v="0"/>
    <n v="101.5"/>
    <n v="33"/>
  </r>
  <r>
    <s v="O0159"/>
    <s v="2025-12-24"/>
    <s v="C095"/>
    <x v="85"/>
    <s v="D040"/>
    <n v="5"/>
    <n v="236"/>
    <x v="0"/>
    <n v="118"/>
    <n v="190"/>
  </r>
  <r>
    <s v="O0160"/>
    <s v="2025-12-14"/>
    <s v="C030"/>
    <x v="38"/>
    <s v="D031"/>
    <n v="3"/>
    <n v="154"/>
    <x v="1"/>
    <n v="154"/>
    <n v="195"/>
  </r>
  <r>
    <s v="O0161"/>
    <s v="2025-06-25"/>
    <s v="C042"/>
    <x v="24"/>
    <s v="D022"/>
    <n v="2"/>
    <n v="213"/>
    <x v="0"/>
    <n v="106.5"/>
    <n v="83"/>
  </r>
  <r>
    <s v="O0162"/>
    <s v="2025-11-26"/>
    <s v="C058"/>
    <x v="81"/>
    <s v="D025"/>
    <n v="3"/>
    <n v="136"/>
    <x v="0"/>
    <n v="68"/>
    <n v="-27"/>
  </r>
  <r>
    <s v="O0163"/>
    <s v="2025-04-18"/>
    <s v="C070"/>
    <x v="83"/>
    <s v="D046"/>
    <n v="2"/>
    <n v="174"/>
    <x v="0"/>
    <n v="87"/>
    <n v="88"/>
  </r>
  <r>
    <s v="O0164"/>
    <s v="2025-11-01"/>
    <s v="C013"/>
    <x v="65"/>
    <s v="D037"/>
    <n v="1"/>
    <n v="227"/>
    <x v="0"/>
    <n v="113.5"/>
    <n v="59.5"/>
  </r>
  <r>
    <s v="O0165"/>
    <s v="2025-05-21"/>
    <s v="C028"/>
    <x v="66"/>
    <s v="D015"/>
    <n v="1"/>
    <n v="216"/>
    <x v="1"/>
    <n v="216"/>
    <n v="137"/>
  </r>
  <r>
    <s v="O0166"/>
    <s v="2025-03-19"/>
    <s v="C096"/>
    <x v="27"/>
    <s v="D017"/>
    <n v="2"/>
    <n v="245"/>
    <x v="1"/>
    <n v="245"/>
    <n v="370"/>
  </r>
  <r>
    <s v="O0167"/>
    <s v="2025-08-13"/>
    <s v="C064"/>
    <x v="86"/>
    <s v="D007"/>
    <n v="2"/>
    <n v="236"/>
    <x v="0"/>
    <n v="118"/>
    <n v="102"/>
  </r>
  <r>
    <s v="O0168"/>
    <s v="2025-03-08"/>
    <s v="C056"/>
    <x v="40"/>
    <s v="D019"/>
    <n v="5"/>
    <n v="123"/>
    <x v="1"/>
    <n v="123"/>
    <n v="195"/>
  </r>
  <r>
    <s v="O0169"/>
    <s v="2025-09-30"/>
    <s v="C003"/>
    <x v="31"/>
    <s v="D014"/>
    <n v="4"/>
    <n v="105"/>
    <x v="1"/>
    <n v="105"/>
    <n v="220"/>
  </r>
  <r>
    <s v="O0170"/>
    <s v="2025-06-24"/>
    <s v="C098"/>
    <x v="37"/>
    <s v="D018"/>
    <n v="2"/>
    <n v="235"/>
    <x v="0"/>
    <n v="117.5"/>
    <n v="85"/>
  </r>
  <r>
    <s v="O0171"/>
    <s v="2025-07-29"/>
    <s v="C039"/>
    <x v="62"/>
    <s v="D021"/>
    <n v="3"/>
    <n v="212"/>
    <x v="0"/>
    <n v="106"/>
    <n v="129"/>
  </r>
  <r>
    <s v="O0172"/>
    <s v="2025-10-05"/>
    <s v="C100"/>
    <x v="73"/>
    <s v="D037"/>
    <n v="2"/>
    <n v="140"/>
    <x v="0"/>
    <n v="70"/>
    <n v="32"/>
  </r>
  <r>
    <s v="O0173"/>
    <s v="2025-09-25"/>
    <s v="C096"/>
    <x v="35"/>
    <s v="D001"/>
    <n v="1"/>
    <n v="186"/>
    <x v="1"/>
    <n v="186"/>
    <n v="122"/>
  </r>
  <r>
    <s v="O0174"/>
    <s v="2025-11-13"/>
    <s v="C062"/>
    <x v="29"/>
    <s v="D019"/>
    <n v="1"/>
    <n v="109"/>
    <x v="0"/>
    <n v="54.5"/>
    <n v="-29.5"/>
  </r>
  <r>
    <s v="O0175"/>
    <s v="2025-05-26"/>
    <s v="C088"/>
    <x v="34"/>
    <s v="D049"/>
    <n v="2"/>
    <n v="197"/>
    <x v="1"/>
    <n v="197"/>
    <n v="312"/>
  </r>
  <r>
    <s v="O0176"/>
    <s v="2025-12-28"/>
    <s v="C038"/>
    <x v="3"/>
    <s v="D006"/>
    <n v="5"/>
    <n v="193"/>
    <x v="0"/>
    <n v="96.5"/>
    <n v="57.5"/>
  </r>
  <r>
    <s v="O0177"/>
    <s v="2025-12-03"/>
    <s v="C059"/>
    <x v="41"/>
    <s v="D012"/>
    <n v="4"/>
    <n v="164"/>
    <x v="0"/>
    <n v="82"/>
    <n v="36"/>
  </r>
  <r>
    <s v="O0178"/>
    <s v="2025-07-12"/>
    <s v="C043"/>
    <x v="73"/>
    <s v="D007"/>
    <n v="2"/>
    <n v="129"/>
    <x v="0"/>
    <n v="64.5"/>
    <n v="-5"/>
  </r>
  <r>
    <s v="O0179"/>
    <s v="2025-09-03"/>
    <s v="C091"/>
    <x v="42"/>
    <s v="D041"/>
    <n v="5"/>
    <n v="208"/>
    <x v="1"/>
    <n v="208"/>
    <n v="765"/>
  </r>
  <r>
    <s v="O0180"/>
    <s v="2025-03-29"/>
    <s v="C026"/>
    <x v="80"/>
    <s v="D013"/>
    <n v="3"/>
    <n v="138"/>
    <x v="1"/>
    <n v="138"/>
    <n v="279"/>
  </r>
  <r>
    <s v="O0181"/>
    <s v="2025-11-28"/>
    <s v="C083"/>
    <x v="34"/>
    <s v="D029"/>
    <n v="1"/>
    <n v="240"/>
    <x v="0"/>
    <n v="120"/>
    <n v="50"/>
  </r>
  <r>
    <s v="O0182"/>
    <s v="2025-11-22"/>
    <s v="C043"/>
    <x v="9"/>
    <s v="D012"/>
    <n v="5"/>
    <n v="209"/>
    <x v="0"/>
    <n v="104.5"/>
    <n v="157.5"/>
  </r>
  <r>
    <s v="O0183"/>
    <s v="2025-07-18"/>
    <s v="C062"/>
    <x v="86"/>
    <s v="D014"/>
    <n v="5"/>
    <n v="122"/>
    <x v="0"/>
    <n v="61"/>
    <n v="55"/>
  </r>
  <r>
    <s v="O0184"/>
    <s v="2025-06-07"/>
    <s v="C007"/>
    <x v="87"/>
    <s v="D044"/>
    <n v="2"/>
    <n v="106"/>
    <x v="0"/>
    <n v="53"/>
    <n v="-34"/>
  </r>
  <r>
    <s v="O0185"/>
    <s v="2025-02-03"/>
    <s v="C027"/>
    <x v="57"/>
    <s v="D006"/>
    <n v="5"/>
    <n v="219"/>
    <x v="0"/>
    <n v="109.5"/>
    <n v="122.5"/>
  </r>
  <r>
    <s v="O0186"/>
    <s v="2025-12-23"/>
    <s v="C060"/>
    <x v="15"/>
    <s v="D012"/>
    <n v="3"/>
    <n v="130"/>
    <x v="1"/>
    <n v="130"/>
    <n v="171"/>
  </r>
  <r>
    <s v="O0187"/>
    <s v="2025-02-24"/>
    <s v="C050"/>
    <x v="30"/>
    <s v="D001"/>
    <n v="4"/>
    <n v="171"/>
    <x v="0"/>
    <n v="85.5"/>
    <n v="86"/>
  </r>
  <r>
    <s v="O0188"/>
    <s v="2025-06-26"/>
    <s v="C032"/>
    <x v="88"/>
    <s v="D018"/>
    <n v="5"/>
    <n v="233"/>
    <x v="1"/>
    <n v="233"/>
    <n v="790"/>
  </r>
  <r>
    <s v="O0189"/>
    <s v="2025-12-06"/>
    <s v="C040"/>
    <x v="68"/>
    <s v="D042"/>
    <n v="3"/>
    <n v="171"/>
    <x v="1"/>
    <n v="171"/>
    <n v="246"/>
  </r>
  <r>
    <s v="O0190"/>
    <s v="2025-12-11"/>
    <s v="C044"/>
    <x v="84"/>
    <s v="D037"/>
    <n v="3"/>
    <n v="137"/>
    <x v="1"/>
    <n v="137"/>
    <n v="249"/>
  </r>
  <r>
    <s v="O0191"/>
    <s v="2025-08-07"/>
    <s v="C059"/>
    <x v="80"/>
    <s v="D014"/>
    <n v="1"/>
    <n v="227"/>
    <x v="0"/>
    <n v="113.5"/>
    <n v="63.5"/>
  </r>
  <r>
    <s v="O0192"/>
    <s v="2025-08-21"/>
    <s v="C068"/>
    <x v="29"/>
    <s v="D025"/>
    <n v="2"/>
    <n v="146"/>
    <x v="1"/>
    <n v="146"/>
    <n v="138"/>
  </r>
  <r>
    <s v="O0193"/>
    <s v="2026-02-05"/>
    <s v="C029"/>
    <x v="64"/>
    <s v="D014"/>
    <n v="2"/>
    <n v="189"/>
    <x v="1"/>
    <n v="189"/>
    <n v="278"/>
  </r>
  <r>
    <s v="O0194"/>
    <s v="2025-10-24"/>
    <s v="C097"/>
    <x v="55"/>
    <s v="D022"/>
    <n v="3"/>
    <n v="240"/>
    <x v="1"/>
    <n v="240"/>
    <n v="525"/>
  </r>
  <r>
    <s v="O0195"/>
    <s v="2025-05-16"/>
    <s v="C089"/>
    <x v="20"/>
    <s v="D037"/>
    <n v="5"/>
    <n v="127"/>
    <x v="1"/>
    <n v="127"/>
    <n v="365"/>
  </r>
  <r>
    <s v="O0196"/>
    <s v="2025-05-22"/>
    <s v="C016"/>
    <x v="33"/>
    <s v="D031"/>
    <n v="5"/>
    <n v="215"/>
    <x v="0"/>
    <n v="107.5"/>
    <n v="92.5"/>
  </r>
  <r>
    <s v="O0197"/>
    <s v="2025-02-22"/>
    <s v="C072"/>
    <x v="41"/>
    <s v="D022"/>
    <n v="3"/>
    <n v="224"/>
    <x v="1"/>
    <n v="224"/>
    <n v="477"/>
  </r>
  <r>
    <s v="O0198"/>
    <s v="2025-02-05"/>
    <s v="C037"/>
    <x v="11"/>
    <s v="D035"/>
    <n v="5"/>
    <n v="135"/>
    <x v="0"/>
    <n v="67.5"/>
    <n v="-17.5"/>
  </r>
  <r>
    <s v="O0199"/>
    <s v="2025-04-07"/>
    <s v="C004"/>
    <x v="18"/>
    <s v="D029"/>
    <n v="3"/>
    <n v="180"/>
    <x v="1"/>
    <n v="180"/>
    <n v="330"/>
  </r>
  <r>
    <s v="O0200"/>
    <s v="2025-10-16"/>
    <s v="C007"/>
    <x v="70"/>
    <s v="D005"/>
    <n v="5"/>
    <n v="211"/>
    <x v="0"/>
    <n v="105.5"/>
    <n v="187.5"/>
  </r>
  <r>
    <s v="O0201"/>
    <s v="2025-11-15"/>
    <s v="C045"/>
    <x v="76"/>
    <s v="D035"/>
    <n v="4"/>
    <n v="153"/>
    <x v="0"/>
    <n v="76.5"/>
    <n v="22"/>
  </r>
  <r>
    <s v="O0202"/>
    <s v="2025-09-08"/>
    <s v="C017"/>
    <x v="84"/>
    <s v="D036"/>
    <n v="1"/>
    <n v="250"/>
    <x v="1"/>
    <n v="250"/>
    <n v="188"/>
  </r>
  <r>
    <s v="O0203"/>
    <s v="2025-11-04"/>
    <s v="C061"/>
    <x v="31"/>
    <s v="D016"/>
    <n v="1"/>
    <n v="112"/>
    <x v="1"/>
    <n v="112"/>
    <n v="43"/>
  </r>
  <r>
    <s v="O0204"/>
    <s v="2025-04-22"/>
    <s v="C049"/>
    <x v="65"/>
    <s v="D022"/>
    <n v="2"/>
    <n v="138"/>
    <x v="0"/>
    <n v="69"/>
    <n v="8"/>
  </r>
  <r>
    <s v="O0205"/>
    <s v="2025-02-07"/>
    <s v="C096"/>
    <x v="67"/>
    <s v="D035"/>
    <n v="3"/>
    <n v="128"/>
    <x v="1"/>
    <n v="128"/>
    <n v="171"/>
  </r>
  <r>
    <s v="O0206"/>
    <s v="2025-04-05"/>
    <s v="C038"/>
    <x v="79"/>
    <s v="D001"/>
    <n v="3"/>
    <n v="147"/>
    <x v="0"/>
    <n v="73.5"/>
    <n v="28.5"/>
  </r>
  <r>
    <s v="O0207"/>
    <s v="2025-10-18"/>
    <s v="C067"/>
    <x v="51"/>
    <s v="D025"/>
    <n v="2"/>
    <n v="188"/>
    <x v="0"/>
    <n v="94"/>
    <n v="34"/>
  </r>
  <r>
    <s v="O0208"/>
    <s v="2025-05-25"/>
    <s v="C100"/>
    <x v="75"/>
    <s v="D004"/>
    <n v="3"/>
    <n v="223"/>
    <x v="0"/>
    <n v="111.5"/>
    <n v="205.5"/>
  </r>
  <r>
    <s v="O0209"/>
    <s v="2025-06-18"/>
    <s v="C007"/>
    <x v="2"/>
    <s v="D036"/>
    <n v="3"/>
    <n v="145"/>
    <x v="0"/>
    <n v="72.5"/>
    <n v="31.5"/>
  </r>
  <r>
    <s v="O0210"/>
    <s v="2025-03-11"/>
    <s v="C061"/>
    <x v="77"/>
    <s v="D004"/>
    <n v="1"/>
    <n v="128"/>
    <x v="1"/>
    <n v="128"/>
    <n v="85"/>
  </r>
  <r>
    <s v="O0211"/>
    <s v="2025-09-19"/>
    <s v="C004"/>
    <x v="59"/>
    <s v="D007"/>
    <n v="3"/>
    <n v="108"/>
    <x v="1"/>
    <n v="108"/>
    <n v="123"/>
  </r>
  <r>
    <s v="O0212"/>
    <s v="2025-03-26"/>
    <s v="C010"/>
    <x v="41"/>
    <s v="D040"/>
    <n v="3"/>
    <n v="143"/>
    <x v="1"/>
    <n v="143"/>
    <n v="189"/>
  </r>
  <r>
    <s v="O0213"/>
    <s v="2025-09-20"/>
    <s v="C086"/>
    <x v="85"/>
    <s v="D015"/>
    <n v="1"/>
    <n v="231"/>
    <x v="1"/>
    <n v="231"/>
    <n v="152"/>
  </r>
  <r>
    <s v="O0214"/>
    <s v="2025-03-25"/>
    <s v="C014"/>
    <x v="56"/>
    <s v="D033"/>
    <n v="2"/>
    <n v="232"/>
    <x v="0"/>
    <n v="116"/>
    <n v="138"/>
  </r>
  <r>
    <s v="O0215"/>
    <s v="2025-09-27"/>
    <s v="C049"/>
    <x v="82"/>
    <s v="D037"/>
    <n v="4"/>
    <n v="228"/>
    <x v="0"/>
    <n v="114"/>
    <n v="240"/>
  </r>
  <r>
    <s v="O0216"/>
    <s v="2025-11-26"/>
    <s v="C071"/>
    <x v="51"/>
    <s v="D035"/>
    <n v="4"/>
    <n v="202"/>
    <x v="0"/>
    <n v="101"/>
    <n v="120"/>
  </r>
  <r>
    <s v="O0217"/>
    <s v="2025-05-08"/>
    <s v="C027"/>
    <x v="1"/>
    <s v="D024"/>
    <n v="2"/>
    <n v="228"/>
    <x v="0"/>
    <n v="114"/>
    <n v="116"/>
  </r>
  <r>
    <s v="O0218"/>
    <s v="2025-08-08"/>
    <s v="C072"/>
    <x v="38"/>
    <s v="D005"/>
    <n v="3"/>
    <n v="175"/>
    <x v="1"/>
    <n v="175"/>
    <n v="321"/>
  </r>
  <r>
    <s v="O0219"/>
    <s v="2025-02-22"/>
    <s v="C063"/>
    <x v="76"/>
    <s v="D018"/>
    <n v="4"/>
    <n v="138"/>
    <x v="1"/>
    <n v="138"/>
    <n v="252"/>
  </r>
  <r>
    <s v="O0220"/>
    <s v="2025-09-02"/>
    <s v="C002"/>
    <x v="7"/>
    <s v="D027"/>
    <n v="3"/>
    <n v="210"/>
    <x v="0"/>
    <n v="105"/>
    <n v="165"/>
  </r>
  <r>
    <s v="O0221"/>
    <s v="2025-03-30"/>
    <s v="C003"/>
    <x v="49"/>
    <s v="D047"/>
    <n v="5"/>
    <n v="170"/>
    <x v="1"/>
    <n v="170"/>
    <n v="425"/>
  </r>
  <r>
    <s v="O0222"/>
    <s v="2025-05-03"/>
    <s v="C099"/>
    <x v="18"/>
    <s v="D049"/>
    <n v="5"/>
    <n v="140"/>
    <x v="0"/>
    <n v="70"/>
    <n v="145"/>
  </r>
  <r>
    <s v="O0223"/>
    <s v="2026-01-13"/>
    <s v="C097"/>
    <x v="61"/>
    <s v="D048"/>
    <n v="1"/>
    <n v="184"/>
    <x v="1"/>
    <n v="184"/>
    <n v="142"/>
  </r>
  <r>
    <s v="O0224"/>
    <s v="2025-10-30"/>
    <s v="C021"/>
    <x v="54"/>
    <s v="D043"/>
    <n v="4"/>
    <n v="164"/>
    <x v="1"/>
    <n v="164"/>
    <n v="408"/>
  </r>
  <r>
    <s v="O0225"/>
    <s v="2025-08-10"/>
    <s v="C092"/>
    <x v="53"/>
    <s v="D028"/>
    <n v="2"/>
    <n v="141"/>
    <x v="1"/>
    <n v="141"/>
    <n v="132"/>
  </r>
  <r>
    <s v="O0226"/>
    <s v="2025-11-15"/>
    <s v="C017"/>
    <x v="61"/>
    <s v="D019"/>
    <n v="3"/>
    <n v="144"/>
    <x v="1"/>
    <n v="144"/>
    <n v="180"/>
  </r>
  <r>
    <s v="O0227"/>
    <s v="2025-10-22"/>
    <s v="C058"/>
    <x v="84"/>
    <s v="D044"/>
    <n v="2"/>
    <n v="175"/>
    <x v="0"/>
    <n v="87.5"/>
    <n v="35"/>
  </r>
  <r>
    <s v="O0228"/>
    <s v="2025-10-25"/>
    <s v="C017"/>
    <x v="86"/>
    <s v="D020"/>
    <n v="2"/>
    <n v="186"/>
    <x v="1"/>
    <n v="186"/>
    <n v="262"/>
  </r>
  <r>
    <s v="O0229"/>
    <s v="2025-12-01"/>
    <s v="C056"/>
    <x v="40"/>
    <s v="D041"/>
    <n v="1"/>
    <n v="166"/>
    <x v="1"/>
    <n v="166"/>
    <n v="111"/>
  </r>
  <r>
    <s v="O0230"/>
    <s v="2025-04-21"/>
    <s v="C100"/>
    <x v="72"/>
    <s v="D007"/>
    <n v="5"/>
    <n v="167"/>
    <x v="0"/>
    <n v="83.5"/>
    <n v="82.5"/>
  </r>
  <r>
    <s v="O0231"/>
    <s v="2025-10-27"/>
    <s v="C096"/>
    <x v="41"/>
    <s v="D012"/>
    <n v="2"/>
    <n v="216"/>
    <x v="1"/>
    <n v="216"/>
    <n v="286"/>
  </r>
  <r>
    <s v="O0232"/>
    <s v="2025-01-29"/>
    <s v="C059"/>
    <x v="50"/>
    <s v="D023"/>
    <n v="3"/>
    <n v="160"/>
    <x v="0"/>
    <n v="80"/>
    <n v="117"/>
  </r>
  <r>
    <s v="O0233"/>
    <s v="2025-09-04"/>
    <s v="C043"/>
    <x v="20"/>
    <s v="D037"/>
    <n v="4"/>
    <n v="110"/>
    <x v="0"/>
    <n v="55"/>
    <n v="4"/>
  </r>
  <r>
    <s v="O0234"/>
    <s v="2025-06-24"/>
    <s v="C008"/>
    <x v="2"/>
    <s v="D021"/>
    <n v="3"/>
    <n v="103"/>
    <x v="0"/>
    <n v="51.5"/>
    <n v="-34.5"/>
  </r>
  <r>
    <s v="O0235"/>
    <s v="2026-01-13"/>
    <s v="C092"/>
    <x v="29"/>
    <s v="D038"/>
    <n v="1"/>
    <n v="207"/>
    <x v="1"/>
    <n v="207"/>
    <n v="137"/>
  </r>
  <r>
    <s v="O0236"/>
    <s v="2025-10-30"/>
    <s v="C048"/>
    <x v="86"/>
    <s v="D017"/>
    <n v="5"/>
    <n v="145"/>
    <x v="1"/>
    <n v="145"/>
    <n v="425"/>
  </r>
  <r>
    <s v="O0237"/>
    <s v="2025-10-03"/>
    <s v="C061"/>
    <x v="89"/>
    <s v="D011"/>
    <n v="1"/>
    <n v="179"/>
    <x v="1"/>
    <n v="179"/>
    <n v="122"/>
  </r>
  <r>
    <s v="O0238"/>
    <s v="2025-06-29"/>
    <s v="C090"/>
    <x v="61"/>
    <s v="D019"/>
    <n v="4"/>
    <n v="243"/>
    <x v="1"/>
    <n v="243"/>
    <n v="636"/>
  </r>
  <r>
    <s v="O0239"/>
    <s v="2025-06-23"/>
    <s v="C093"/>
    <x v="81"/>
    <s v="D049"/>
    <n v="3"/>
    <n v="242"/>
    <x v="0"/>
    <n v="121"/>
    <n v="240"/>
  </r>
  <r>
    <s v="O0240"/>
    <s v="2025-08-05"/>
    <s v="C042"/>
    <x v="80"/>
    <s v="D022"/>
    <n v="3"/>
    <n v="238"/>
    <x v="0"/>
    <n v="119"/>
    <n v="162"/>
  </r>
  <r>
    <s v="O0241"/>
    <s v="2025-09-21"/>
    <s v="C068"/>
    <x v="90"/>
    <s v="D011"/>
    <n v="4"/>
    <n v="196"/>
    <x v="1"/>
    <n v="196"/>
    <n v="556"/>
  </r>
  <r>
    <s v="O0242"/>
    <s v="2025-07-25"/>
    <s v="C061"/>
    <x v="11"/>
    <s v="D035"/>
    <n v="3"/>
    <n v="204"/>
    <x v="1"/>
    <n v="204"/>
    <n v="399"/>
  </r>
  <r>
    <s v="O0243"/>
    <s v="2025-05-11"/>
    <s v="C042"/>
    <x v="73"/>
    <s v="D047"/>
    <n v="1"/>
    <n v="224"/>
    <x v="0"/>
    <n v="112"/>
    <n v="27"/>
  </r>
  <r>
    <s v="O0244"/>
    <s v="2025-10-10"/>
    <s v="C030"/>
    <x v="87"/>
    <s v="D013"/>
    <n v="5"/>
    <n v="232"/>
    <x v="1"/>
    <n v="232"/>
    <n v="935"/>
  </r>
  <r>
    <s v="O0245"/>
    <s v="2025-05-17"/>
    <s v="C092"/>
    <x v="34"/>
    <s v="D048"/>
    <n v="5"/>
    <n v="141"/>
    <x v="1"/>
    <n v="141"/>
    <n v="495"/>
  </r>
  <r>
    <s v="O0246"/>
    <s v="2025-09-11"/>
    <s v="C021"/>
    <x v="55"/>
    <s v="D038"/>
    <n v="2"/>
    <n v="179"/>
    <x v="1"/>
    <n v="179"/>
    <n v="218"/>
  </r>
  <r>
    <s v="O0247"/>
    <s v="2025-11-22"/>
    <s v="C058"/>
    <x v="68"/>
    <s v="D032"/>
    <n v="2"/>
    <n v="156"/>
    <x v="0"/>
    <n v="78"/>
    <n v="-10"/>
  </r>
  <r>
    <s v="O0248"/>
    <s v="2025-05-28"/>
    <s v="C056"/>
    <x v="25"/>
    <s v="D002"/>
    <n v="3"/>
    <n v="219"/>
    <x v="1"/>
    <n v="219"/>
    <n v="453"/>
  </r>
  <r>
    <s v="O0249"/>
    <s v="2025-12-06"/>
    <s v="C094"/>
    <x v="90"/>
    <s v="D050"/>
    <n v="4"/>
    <n v="109"/>
    <x v="1"/>
    <n v="109"/>
    <n v="112"/>
  </r>
  <r>
    <s v="O0250"/>
    <s v="2025-10-06"/>
    <s v="C078"/>
    <x v="60"/>
    <s v="D016"/>
    <n v="3"/>
    <n v="103"/>
    <x v="1"/>
    <n v="103"/>
    <n v="102"/>
  </r>
  <r>
    <s v="O0251"/>
    <s v="2025-05-29"/>
    <s v="C094"/>
    <x v="46"/>
    <s v="D017"/>
    <n v="1"/>
    <n v="223"/>
    <x v="1"/>
    <n v="223"/>
    <n v="163"/>
  </r>
  <r>
    <s v="O0252"/>
    <s v="2025-04-20"/>
    <s v="C041"/>
    <x v="44"/>
    <s v="D004"/>
    <n v="2"/>
    <n v="101"/>
    <x v="1"/>
    <n v="101"/>
    <n v="116"/>
  </r>
  <r>
    <s v="O0253"/>
    <s v="2025-12-19"/>
    <s v="C026"/>
    <x v="16"/>
    <s v="D028"/>
    <n v="1"/>
    <n v="160"/>
    <x v="1"/>
    <n v="160"/>
    <n v="85"/>
  </r>
  <r>
    <s v="O0254"/>
    <s v="2025-08-07"/>
    <s v="C022"/>
    <x v="34"/>
    <s v="D039"/>
    <n v="4"/>
    <n v="110"/>
    <x v="0"/>
    <n v="55"/>
    <n v="40"/>
  </r>
  <r>
    <s v="O0255"/>
    <s v="2026-01-30"/>
    <s v="C037"/>
    <x v="90"/>
    <s v="D043"/>
    <n v="5"/>
    <n v="155"/>
    <x v="0"/>
    <n v="77.5"/>
    <n v="77.5"/>
  </r>
  <r>
    <s v="O0256"/>
    <s v="2025-11-25"/>
    <s v="C096"/>
    <x v="47"/>
    <s v="D040"/>
    <n v="3"/>
    <n v="236"/>
    <x v="1"/>
    <n v="236"/>
    <n v="468"/>
  </r>
  <r>
    <s v="O0257"/>
    <s v="2025-08-29"/>
    <s v="C045"/>
    <x v="29"/>
    <s v="D006"/>
    <n v="1"/>
    <n v="186"/>
    <x v="0"/>
    <n v="93"/>
    <n v="8"/>
  </r>
  <r>
    <s v="O0258"/>
    <s v="2025-09-18"/>
    <s v="C093"/>
    <x v="1"/>
    <s v="D024"/>
    <n v="4"/>
    <n v="153"/>
    <x v="0"/>
    <n v="76.5"/>
    <n v="82"/>
  </r>
  <r>
    <s v="O0259"/>
    <s v="2025-02-18"/>
    <s v="C093"/>
    <x v="51"/>
    <s v="D012"/>
    <n v="2"/>
    <n v="185"/>
    <x v="0"/>
    <n v="92.5"/>
    <n v="39"/>
  </r>
  <r>
    <s v="O0260"/>
    <s v="2025-11-28"/>
    <s v="C038"/>
    <x v="82"/>
    <s v="D048"/>
    <n v="5"/>
    <n v="110"/>
    <x v="0"/>
    <n v="55"/>
    <n v="65"/>
  </r>
  <r>
    <s v="O0261"/>
    <s v="2025-09-17"/>
    <s v="C070"/>
    <x v="91"/>
    <s v="D003"/>
    <n v="5"/>
    <n v="164"/>
    <x v="0"/>
    <n v="82"/>
    <n v="-10"/>
  </r>
  <r>
    <s v="O0262"/>
    <s v="2025-12-11"/>
    <s v="C070"/>
    <x v="37"/>
    <s v="D028"/>
    <n v="5"/>
    <n v="232"/>
    <x v="0"/>
    <n v="116"/>
    <n v="205"/>
  </r>
  <r>
    <s v="O0263"/>
    <s v="2025-11-25"/>
    <s v="C032"/>
    <x v="0"/>
    <s v="D025"/>
    <n v="3"/>
    <n v="227"/>
    <x v="1"/>
    <n v="227"/>
    <n v="450"/>
  </r>
  <r>
    <s v="O0264"/>
    <s v="2025-03-09"/>
    <s v="C021"/>
    <x v="92"/>
    <s v="D049"/>
    <n v="3"/>
    <n v="248"/>
    <x v="1"/>
    <n v="248"/>
    <n v="621"/>
  </r>
  <r>
    <s v="O0265"/>
    <s v="2025-05-08"/>
    <s v="C062"/>
    <x v="16"/>
    <s v="D024"/>
    <n v="2"/>
    <n v="136"/>
    <x v="0"/>
    <n v="68"/>
    <n v="24"/>
  </r>
  <r>
    <s v="O0266"/>
    <s v="2025-01-13"/>
    <s v="C018"/>
    <x v="70"/>
    <s v="D049"/>
    <n v="5"/>
    <n v="181"/>
    <x v="1"/>
    <n v="181"/>
    <n v="700"/>
  </r>
  <r>
    <s v="O0267"/>
    <s v="2025-09-25"/>
    <s v="C098"/>
    <x v="34"/>
    <s v="D033"/>
    <n v="4"/>
    <n v="128"/>
    <x v="0"/>
    <n v="64"/>
    <n v="68"/>
  </r>
  <r>
    <s v="O0268"/>
    <s v="2025-03-12"/>
    <s v="C065"/>
    <x v="93"/>
    <s v="D031"/>
    <n v="5"/>
    <n v="145"/>
    <x v="1"/>
    <n v="145"/>
    <n v="280"/>
  </r>
  <r>
    <s v="O0269"/>
    <s v="2025-11-05"/>
    <s v="C077"/>
    <x v="15"/>
    <s v="D039"/>
    <n v="5"/>
    <n v="196"/>
    <x v="1"/>
    <n v="196"/>
    <n v="755"/>
  </r>
  <r>
    <s v="O0270"/>
    <s v="2025-09-02"/>
    <s v="C097"/>
    <x v="46"/>
    <s v="D005"/>
    <n v="4"/>
    <n v="182"/>
    <x v="1"/>
    <n v="182"/>
    <n v="456"/>
  </r>
  <r>
    <s v="O0271"/>
    <s v="2025-04-06"/>
    <s v="C066"/>
    <x v="22"/>
    <s v="D032"/>
    <n v="3"/>
    <n v="187"/>
    <x v="0"/>
    <n v="93.5"/>
    <n v="31.5"/>
  </r>
  <r>
    <s v="O0272"/>
    <s v="2025-09-29"/>
    <s v="C056"/>
    <x v="44"/>
    <s v="D048"/>
    <n v="5"/>
    <n v="185"/>
    <x v="1"/>
    <n v="185"/>
    <n v="715"/>
  </r>
  <r>
    <s v="O0273"/>
    <s v="2025-09-10"/>
    <s v="C007"/>
    <x v="90"/>
    <s v="D037"/>
    <n v="4"/>
    <n v="185"/>
    <x v="0"/>
    <n v="92.5"/>
    <n v="154"/>
  </r>
  <r>
    <s v="O0274"/>
    <s v="2025-04-06"/>
    <s v="C051"/>
    <x v="69"/>
    <s v="D020"/>
    <n v="5"/>
    <n v="218"/>
    <x v="0"/>
    <n v="109"/>
    <n v="270"/>
  </r>
  <r>
    <s v="O0275"/>
    <s v="2025-02-11"/>
    <s v="C065"/>
    <x v="4"/>
    <s v="D045"/>
    <n v="5"/>
    <n v="195"/>
    <x v="1"/>
    <n v="195"/>
    <n v="655"/>
  </r>
  <r>
    <s v="O0276"/>
    <s v="2025-07-15"/>
    <s v="C068"/>
    <x v="92"/>
    <s v="D026"/>
    <n v="1"/>
    <n v="244"/>
    <x v="1"/>
    <n v="244"/>
    <n v="203"/>
  </r>
  <r>
    <s v="O0277"/>
    <s v="2025-07-07"/>
    <s v="C065"/>
    <x v="65"/>
    <s v="D041"/>
    <n v="3"/>
    <n v="247"/>
    <x v="1"/>
    <n v="247"/>
    <n v="576"/>
  </r>
  <r>
    <s v="O0278"/>
    <s v="2025-10-16"/>
    <s v="C046"/>
    <x v="23"/>
    <s v="D014"/>
    <n v="2"/>
    <n v="115"/>
    <x v="0"/>
    <n v="57.5"/>
    <n v="15"/>
  </r>
  <r>
    <s v="O0279"/>
    <s v="2025-07-20"/>
    <s v="C095"/>
    <x v="22"/>
    <s v="D033"/>
    <n v="1"/>
    <n v="240"/>
    <x v="0"/>
    <n v="120"/>
    <n v="73"/>
  </r>
  <r>
    <s v="O0280"/>
    <s v="2025-02-23"/>
    <s v="C006"/>
    <x v="29"/>
    <s v="D045"/>
    <n v="5"/>
    <n v="215"/>
    <x v="0"/>
    <n v="107.5"/>
    <n v="217.5"/>
  </r>
  <r>
    <s v="O0281"/>
    <s v="2026-01-28"/>
    <s v="C057"/>
    <x v="5"/>
    <s v="D028"/>
    <n v="4"/>
    <n v="220"/>
    <x v="0"/>
    <n v="110"/>
    <n v="140"/>
  </r>
  <r>
    <s v="O0282"/>
    <s v="2025-10-21"/>
    <s v="C100"/>
    <x v="42"/>
    <s v="D013"/>
    <n v="5"/>
    <n v="168"/>
    <x v="0"/>
    <n v="84"/>
    <n v="195"/>
  </r>
  <r>
    <s v="O0283"/>
    <s v="2025-11-20"/>
    <s v="C049"/>
    <x v="47"/>
    <s v="D020"/>
    <n v="2"/>
    <n v="115"/>
    <x v="0"/>
    <n v="57.5"/>
    <n v="5"/>
  </r>
  <r>
    <s v="O0284"/>
    <s v="2026-01-22"/>
    <s v="C048"/>
    <x v="54"/>
    <s v="D009"/>
    <n v="4"/>
    <n v="127"/>
    <x v="1"/>
    <n v="127"/>
    <n v="172"/>
  </r>
  <r>
    <s v="O0285"/>
    <s v="2025-03-04"/>
    <s v="C095"/>
    <x v="61"/>
    <s v="D029"/>
    <n v="5"/>
    <n v="192"/>
    <x v="0"/>
    <n v="96"/>
    <n v="130"/>
  </r>
  <r>
    <s v="O0286"/>
    <s v="2025-11-03"/>
    <s v="C015"/>
    <x v="17"/>
    <s v="D014"/>
    <n v="2"/>
    <n v="244"/>
    <x v="0"/>
    <n v="122"/>
    <n v="144"/>
  </r>
  <r>
    <s v="O0287"/>
    <s v="2025-09-01"/>
    <s v="C043"/>
    <x v="6"/>
    <s v="D016"/>
    <n v="2"/>
    <n v="207"/>
    <x v="0"/>
    <n v="103.5"/>
    <n v="69"/>
  </r>
  <r>
    <s v="O0288"/>
    <s v="2025-12-14"/>
    <s v="C034"/>
    <x v="37"/>
    <s v="D021"/>
    <n v="1"/>
    <n v="176"/>
    <x v="1"/>
    <n v="176"/>
    <n v="113"/>
  </r>
  <r>
    <s v="O0289"/>
    <s v="2026-01-11"/>
    <s v="C015"/>
    <x v="55"/>
    <s v="D007"/>
    <n v="2"/>
    <n v="172"/>
    <x v="0"/>
    <n v="86"/>
    <n v="38"/>
  </r>
  <r>
    <s v="O0290"/>
    <s v="2026-01-16"/>
    <s v="C063"/>
    <x v="32"/>
    <s v="D021"/>
    <n v="3"/>
    <n v="125"/>
    <x v="1"/>
    <n v="125"/>
    <n v="186"/>
  </r>
  <r>
    <s v="O0291"/>
    <s v="2025-01-22"/>
    <s v="C063"/>
    <x v="7"/>
    <s v="D039"/>
    <n v="2"/>
    <n v="169"/>
    <x v="1"/>
    <n v="169"/>
    <n v="248"/>
  </r>
  <r>
    <s v="O0292"/>
    <s v="2025-06-07"/>
    <s v="C016"/>
    <x v="45"/>
    <s v="D008"/>
    <n v="1"/>
    <n v="157"/>
    <x v="0"/>
    <n v="78.5"/>
    <n v="4.5"/>
  </r>
  <r>
    <s v="O0293"/>
    <s v="2025-08-07"/>
    <s v="C010"/>
    <x v="19"/>
    <s v="D028"/>
    <n v="1"/>
    <n v="145"/>
    <x v="1"/>
    <n v="145"/>
    <n v="70"/>
  </r>
  <r>
    <s v="O0294"/>
    <s v="2025-10-14"/>
    <s v="C100"/>
    <x v="56"/>
    <s v="D011"/>
    <n v="1"/>
    <n v="221"/>
    <x v="0"/>
    <n v="110.5"/>
    <n v="53.5"/>
  </r>
  <r>
    <s v="O0295"/>
    <s v="2025-11-04"/>
    <s v="C084"/>
    <x v="15"/>
    <s v="D001"/>
    <n v="4"/>
    <n v="228"/>
    <x v="0"/>
    <n v="114"/>
    <n v="200"/>
  </r>
  <r>
    <s v="O0296"/>
    <s v="2025-11-05"/>
    <s v="C057"/>
    <x v="94"/>
    <s v="D039"/>
    <n v="2"/>
    <n v="206"/>
    <x v="0"/>
    <n v="103"/>
    <n v="116"/>
  </r>
  <r>
    <s v="O0297"/>
    <s v="2025-09-07"/>
    <s v="C010"/>
    <x v="71"/>
    <s v="D039"/>
    <n v="2"/>
    <n v="221"/>
    <x v="1"/>
    <n v="221"/>
    <n v="352"/>
  </r>
  <r>
    <s v="O0298"/>
    <s v="2025-02-26"/>
    <s v="C039"/>
    <x v="83"/>
    <s v="D047"/>
    <n v="2"/>
    <n v="149"/>
    <x v="0"/>
    <n v="74.5"/>
    <n v="-21"/>
  </r>
  <r>
    <s v="O0299"/>
    <s v="2025-12-04"/>
    <s v="C073"/>
    <x v="23"/>
    <s v="D042"/>
    <n v="3"/>
    <n v="110"/>
    <x v="0"/>
    <n v="55"/>
    <n v="-102"/>
  </r>
  <r>
    <s v="O0300"/>
    <s v="2025-11-30"/>
    <s v="C076"/>
    <x v="23"/>
    <s v="D042"/>
    <n v="2"/>
    <n v="224"/>
    <x v="0"/>
    <n v="112"/>
    <n v="46"/>
  </r>
  <r>
    <s v="O0301"/>
    <s v="2025-04-10"/>
    <s v="C037"/>
    <x v="41"/>
    <s v="D035"/>
    <n v="5"/>
    <n v="189"/>
    <x v="0"/>
    <n v="94.5"/>
    <n v="117.5"/>
  </r>
  <r>
    <s v="O0302"/>
    <s v="2025-06-13"/>
    <s v="C093"/>
    <x v="67"/>
    <s v="D027"/>
    <n v="2"/>
    <n v="237"/>
    <x v="0"/>
    <n v="118.5"/>
    <n v="137"/>
  </r>
  <r>
    <s v="O0303"/>
    <s v="2025-11-04"/>
    <s v="C011"/>
    <x v="22"/>
    <s v="D017"/>
    <n v="4"/>
    <n v="180"/>
    <x v="1"/>
    <n v="180"/>
    <n v="480"/>
  </r>
  <r>
    <s v="O0304"/>
    <s v="2025-06-12"/>
    <s v="C036"/>
    <x v="61"/>
    <s v="D015"/>
    <n v="3"/>
    <n v="162"/>
    <x v="1"/>
    <n v="162"/>
    <n v="249"/>
  </r>
  <r>
    <s v="O0305"/>
    <s v="2026-01-25"/>
    <s v="C010"/>
    <x v="41"/>
    <s v="D044"/>
    <n v="4"/>
    <n v="138"/>
    <x v="1"/>
    <n v="138"/>
    <n v="272"/>
  </r>
  <r>
    <s v="O0306"/>
    <s v="2025-05-24"/>
    <s v="C002"/>
    <x v="67"/>
    <s v="D042"/>
    <n v="3"/>
    <n v="174"/>
    <x v="0"/>
    <n v="87"/>
    <n v="-6"/>
  </r>
  <r>
    <s v="O0307"/>
    <s v="2025-05-01"/>
    <s v="C088"/>
    <x v="1"/>
    <s v="D047"/>
    <n v="3"/>
    <n v="119"/>
    <x v="1"/>
    <n v="119"/>
    <n v="102"/>
  </r>
  <r>
    <s v="O0308"/>
    <s v="2025-06-27"/>
    <s v="C094"/>
    <x v="82"/>
    <s v="D046"/>
    <n v="5"/>
    <n v="111"/>
    <x v="1"/>
    <n v="111"/>
    <n v="340"/>
  </r>
  <r>
    <s v="O0309"/>
    <s v="2025-05-15"/>
    <s v="C037"/>
    <x v="79"/>
    <s v="D045"/>
    <n v="2"/>
    <n v="147"/>
    <x v="0"/>
    <n v="73.5"/>
    <n v="19"/>
  </r>
  <r>
    <s v="O0310"/>
    <s v="2025-05-21"/>
    <s v="C032"/>
    <x v="72"/>
    <s v="D048"/>
    <n v="4"/>
    <n v="156"/>
    <x v="1"/>
    <n v="156"/>
    <n v="456"/>
  </r>
  <r>
    <s v="O0311"/>
    <s v="2025-05-06"/>
    <s v="C011"/>
    <x v="0"/>
    <s v="D001"/>
    <n v="1"/>
    <n v="225"/>
    <x v="1"/>
    <n v="225"/>
    <n v="161"/>
  </r>
  <r>
    <s v="O0312"/>
    <s v="2025-02-23"/>
    <s v="C071"/>
    <x v="63"/>
    <s v="D040"/>
    <n v="2"/>
    <n v="213"/>
    <x v="0"/>
    <n v="106.5"/>
    <n v="53"/>
  </r>
  <r>
    <s v="O0313"/>
    <s v="2025-12-31"/>
    <s v="C090"/>
    <x v="61"/>
    <s v="D007"/>
    <n v="1"/>
    <n v="247"/>
    <x v="1"/>
    <n v="247"/>
    <n v="180"/>
  </r>
  <r>
    <s v="O0314"/>
    <s v="2025-06-02"/>
    <s v="C065"/>
    <x v="1"/>
    <s v="D020"/>
    <n v="2"/>
    <n v="245"/>
    <x v="1"/>
    <n v="245"/>
    <n v="380"/>
  </r>
  <r>
    <s v="O0315"/>
    <s v="2025-12-18"/>
    <s v="C057"/>
    <x v="75"/>
    <s v="D020"/>
    <n v="2"/>
    <n v="130"/>
    <x v="0"/>
    <n v="65"/>
    <n v="20"/>
  </r>
  <r>
    <s v="O0316"/>
    <s v="2025-07-18"/>
    <s v="C027"/>
    <x v="70"/>
    <s v="D028"/>
    <n v="1"/>
    <n v="200"/>
    <x v="0"/>
    <n v="100"/>
    <n v="25"/>
  </r>
  <r>
    <s v="O0317"/>
    <s v="2025-12-05"/>
    <s v="C035"/>
    <x v="41"/>
    <s v="D028"/>
    <n v="3"/>
    <n v="244"/>
    <x v="0"/>
    <n v="122"/>
    <n v="141"/>
  </r>
  <r>
    <s v="O0318"/>
    <s v="2025-06-08"/>
    <s v="C057"/>
    <x v="81"/>
    <s v="D042"/>
    <n v="5"/>
    <n v="246"/>
    <x v="0"/>
    <n v="123"/>
    <n v="170"/>
  </r>
  <r>
    <s v="O0319"/>
    <s v="2025-02-03"/>
    <s v="C004"/>
    <x v="10"/>
    <s v="D039"/>
    <n v="4"/>
    <n v="119"/>
    <x v="1"/>
    <n v="119"/>
    <n v="296"/>
  </r>
  <r>
    <s v="O0320"/>
    <s v="2025-05-20"/>
    <s v="C030"/>
    <x v="20"/>
    <s v="D029"/>
    <n v="4"/>
    <n v="121"/>
    <x v="1"/>
    <n v="121"/>
    <n v="204"/>
  </r>
  <r>
    <s v="O0321"/>
    <s v="2025-10-15"/>
    <s v="C079"/>
    <x v="31"/>
    <s v="D029"/>
    <n v="3"/>
    <n v="155"/>
    <x v="1"/>
    <n v="155"/>
    <n v="255"/>
  </r>
  <r>
    <s v="O0322"/>
    <s v="2026-02-02"/>
    <s v="C014"/>
    <x v="70"/>
    <s v="D032"/>
    <n v="2"/>
    <n v="250"/>
    <x v="0"/>
    <n v="125"/>
    <n v="84"/>
  </r>
  <r>
    <s v="O0323"/>
    <s v="2025-03-02"/>
    <s v="C065"/>
    <x v="71"/>
    <s v="D014"/>
    <n v="5"/>
    <n v="224"/>
    <x v="1"/>
    <n v="224"/>
    <n v="870"/>
  </r>
  <r>
    <s v="O0324"/>
    <s v="2025-04-24"/>
    <s v="C086"/>
    <x v="88"/>
    <s v="D020"/>
    <n v="2"/>
    <n v="203"/>
    <x v="1"/>
    <n v="203"/>
    <n v="296"/>
  </r>
  <r>
    <s v="O0325"/>
    <s v="2025-06-10"/>
    <s v="C093"/>
    <x v="74"/>
    <s v="D035"/>
    <n v="3"/>
    <n v="159"/>
    <x v="0"/>
    <n v="79.5"/>
    <n v="25.5"/>
  </r>
  <r>
    <s v="O0326"/>
    <s v="2025-05-25"/>
    <s v="C100"/>
    <x v="25"/>
    <s v="D044"/>
    <n v="5"/>
    <n v="139"/>
    <x v="0"/>
    <n v="69.5"/>
    <n v="-2.5"/>
  </r>
  <r>
    <s v="O0327"/>
    <s v="2025-08-02"/>
    <s v="C026"/>
    <x v="57"/>
    <s v="D038"/>
    <n v="4"/>
    <n v="177"/>
    <x v="1"/>
    <n v="177"/>
    <n v="428"/>
  </r>
  <r>
    <s v="O0328"/>
    <s v="2025-05-31"/>
    <s v="C091"/>
    <x v="72"/>
    <s v="D035"/>
    <n v="4"/>
    <n v="224"/>
    <x v="1"/>
    <n v="224"/>
    <n v="612"/>
  </r>
  <r>
    <s v="O0329"/>
    <s v="2025-10-08"/>
    <s v="C030"/>
    <x v="70"/>
    <s v="D032"/>
    <n v="5"/>
    <n v="138"/>
    <x v="1"/>
    <n v="138"/>
    <n v="275"/>
  </r>
  <r>
    <s v="O0330"/>
    <s v="2025-07-11"/>
    <s v="C035"/>
    <x v="45"/>
    <s v="D004"/>
    <n v="2"/>
    <n v="229"/>
    <x v="0"/>
    <n v="114.5"/>
    <n v="143"/>
  </r>
  <r>
    <s v="O0331"/>
    <s v="2025-06-27"/>
    <s v="C093"/>
    <x v="18"/>
    <s v="D041"/>
    <n v="4"/>
    <n v="102"/>
    <x v="0"/>
    <n v="51"/>
    <n v="-16"/>
  </r>
  <r>
    <s v="O0332"/>
    <s v="2025-01-11"/>
    <s v="C027"/>
    <x v="27"/>
    <s v="D008"/>
    <n v="5"/>
    <n v="222"/>
    <x v="0"/>
    <n v="111"/>
    <n v="185"/>
  </r>
  <r>
    <s v="O0333"/>
    <s v="2025-06-01"/>
    <s v="C036"/>
    <x v="43"/>
    <s v="D027"/>
    <n v="3"/>
    <n v="229"/>
    <x v="1"/>
    <n v="229"/>
    <n v="537"/>
  </r>
  <r>
    <s v="O0334"/>
    <s v="2025-04-23"/>
    <s v="C040"/>
    <x v="65"/>
    <s v="D037"/>
    <n v="2"/>
    <n v="246"/>
    <x v="1"/>
    <n v="246"/>
    <n v="384"/>
  </r>
  <r>
    <s v="O0335"/>
    <s v="2025-06-14"/>
    <s v="C018"/>
    <x v="40"/>
    <s v="D005"/>
    <n v="5"/>
    <n v="145"/>
    <x v="1"/>
    <n v="145"/>
    <n v="385"/>
  </r>
  <r>
    <s v="O0336"/>
    <s v="2026-01-07"/>
    <s v="C052"/>
    <x v="89"/>
    <s v="D014"/>
    <n v="5"/>
    <n v="222"/>
    <x v="1"/>
    <n v="222"/>
    <n v="860"/>
  </r>
  <r>
    <s v="O0337"/>
    <s v="2026-01-17"/>
    <s v="C082"/>
    <x v="92"/>
    <s v="D019"/>
    <n v="4"/>
    <n v="149"/>
    <x v="0"/>
    <n v="74.5"/>
    <n v="-38"/>
  </r>
  <r>
    <s v="O0338"/>
    <s v="2025-10-14"/>
    <s v="C029"/>
    <x v="91"/>
    <s v="D003"/>
    <n v="5"/>
    <n v="175"/>
    <x v="1"/>
    <n v="175"/>
    <n v="455"/>
  </r>
  <r>
    <s v="O0339"/>
    <s v="2025-02-12"/>
    <s v="C098"/>
    <x v="18"/>
    <s v="D035"/>
    <n v="2"/>
    <n v="116"/>
    <x v="0"/>
    <n v="58"/>
    <n v="-26"/>
  </r>
  <r>
    <s v="O0340"/>
    <s v="2025-05-16"/>
    <s v="C007"/>
    <x v="92"/>
    <s v="D021"/>
    <n v="1"/>
    <n v="138"/>
    <x v="0"/>
    <n v="69"/>
    <n v="6"/>
  </r>
  <r>
    <s v="O0341"/>
    <s v="2025-07-27"/>
    <s v="C023"/>
    <x v="82"/>
    <s v="D040"/>
    <n v="3"/>
    <n v="186"/>
    <x v="1"/>
    <n v="186"/>
    <n v="318"/>
  </r>
  <r>
    <s v="O0342"/>
    <s v="2025-08-16"/>
    <s v="C030"/>
    <x v="67"/>
    <s v="D005"/>
    <n v="1"/>
    <n v="143"/>
    <x v="1"/>
    <n v="143"/>
    <n v="75"/>
  </r>
  <r>
    <s v="O0343"/>
    <s v="2025-07-02"/>
    <s v="C086"/>
    <x v="66"/>
    <s v="D044"/>
    <n v="3"/>
    <n v="130"/>
    <x v="1"/>
    <n v="130"/>
    <n v="180"/>
  </r>
  <r>
    <s v="O0344"/>
    <s v="2025-09-19"/>
    <s v="C071"/>
    <x v="4"/>
    <s v="D032"/>
    <n v="5"/>
    <n v="207"/>
    <x v="0"/>
    <n v="103.5"/>
    <n v="102.5"/>
  </r>
  <r>
    <s v="O0345"/>
    <s v="2025-08-12"/>
    <s v="C054"/>
    <x v="30"/>
    <s v="D015"/>
    <n v="3"/>
    <n v="120"/>
    <x v="1"/>
    <n v="120"/>
    <n v="123"/>
  </r>
  <r>
    <s v="O0346"/>
    <s v="2025-02-07"/>
    <s v="C077"/>
    <x v="75"/>
    <s v="D012"/>
    <n v="4"/>
    <n v="237"/>
    <x v="1"/>
    <n v="237"/>
    <n v="656"/>
  </r>
  <r>
    <s v="O0347"/>
    <s v="2025-11-01"/>
    <s v="C010"/>
    <x v="94"/>
    <s v="D019"/>
    <n v="2"/>
    <n v="189"/>
    <x v="1"/>
    <n v="189"/>
    <n v="210"/>
  </r>
  <r>
    <s v="O0348"/>
    <s v="2025-11-06"/>
    <s v="C097"/>
    <x v="46"/>
    <s v="D007"/>
    <n v="3"/>
    <n v="204"/>
    <x v="1"/>
    <n v="204"/>
    <n v="411"/>
  </r>
  <r>
    <s v="O0349"/>
    <s v="2025-02-18"/>
    <s v="C088"/>
    <x v="9"/>
    <s v="D030"/>
    <n v="1"/>
    <n v="157"/>
    <x v="1"/>
    <n v="157"/>
    <n v="95"/>
  </r>
  <r>
    <s v="O0350"/>
    <s v="2025-10-28"/>
    <s v="C037"/>
    <x v="42"/>
    <s v="D011"/>
    <n v="5"/>
    <n v="107"/>
    <x v="0"/>
    <n v="53.5"/>
    <n v="-17.5"/>
  </r>
  <r>
    <s v="O0351"/>
    <s v="2025-10-06"/>
    <s v="C090"/>
    <x v="77"/>
    <s v="D022"/>
    <n v="3"/>
    <n v="108"/>
    <x v="1"/>
    <n v="108"/>
    <n v="129"/>
  </r>
  <r>
    <s v="O0352"/>
    <s v="2026-01-21"/>
    <s v="C022"/>
    <x v="3"/>
    <s v="D009"/>
    <n v="1"/>
    <n v="185"/>
    <x v="0"/>
    <n v="92.5"/>
    <n v="8.5"/>
  </r>
  <r>
    <s v="O0353"/>
    <s v="2025-11-08"/>
    <s v="C091"/>
    <x v="95"/>
    <s v="D031"/>
    <n v="1"/>
    <n v="106"/>
    <x v="1"/>
    <n v="106"/>
    <n v="17"/>
  </r>
  <r>
    <s v="O0354"/>
    <s v="2025-10-18"/>
    <s v="C048"/>
    <x v="10"/>
    <s v="D014"/>
    <n v="1"/>
    <n v="178"/>
    <x v="1"/>
    <n v="178"/>
    <n v="128"/>
  </r>
  <r>
    <s v="O0355"/>
    <s v="2025-04-08"/>
    <s v="C053"/>
    <x v="76"/>
    <s v="D020"/>
    <n v="3"/>
    <n v="145"/>
    <x v="0"/>
    <n v="72.5"/>
    <n v="52.5"/>
  </r>
  <r>
    <s v="O0356"/>
    <s v="2026-01-09"/>
    <s v="C043"/>
    <x v="67"/>
    <s v="D036"/>
    <n v="3"/>
    <n v="238"/>
    <x v="0"/>
    <n v="119"/>
    <n v="171"/>
  </r>
  <r>
    <s v="O0357"/>
    <s v="2025-03-16"/>
    <s v="C093"/>
    <x v="16"/>
    <s v="D006"/>
    <n v="1"/>
    <n v="169"/>
    <x v="0"/>
    <n v="84.5"/>
    <n v="-0.5"/>
  </r>
  <r>
    <s v="O0358"/>
    <s v="2025-09-02"/>
    <s v="C046"/>
    <x v="43"/>
    <s v="D049"/>
    <n v="1"/>
    <n v="180"/>
    <x v="0"/>
    <n v="90"/>
    <n v="49"/>
  </r>
  <r>
    <s v="O0359"/>
    <s v="2025-04-29"/>
    <s v="C044"/>
    <x v="16"/>
    <s v="D011"/>
    <n v="4"/>
    <n v="164"/>
    <x v="1"/>
    <n v="164"/>
    <n v="428"/>
  </r>
  <r>
    <s v="O0360"/>
    <s v="2025-11-26"/>
    <s v="C100"/>
    <x v="74"/>
    <s v="D039"/>
    <n v="1"/>
    <n v="177"/>
    <x v="0"/>
    <n v="88.5"/>
    <n v="43.5"/>
  </r>
  <r>
    <s v="O0361"/>
    <s v="2025-10-21"/>
    <s v="C061"/>
    <x v="96"/>
    <s v="D046"/>
    <n v="4"/>
    <n v="153"/>
    <x v="1"/>
    <n v="153"/>
    <n v="440"/>
  </r>
  <r>
    <s v="O0362"/>
    <s v="2025-09-10"/>
    <s v="C092"/>
    <x v="74"/>
    <s v="D048"/>
    <n v="1"/>
    <n v="183"/>
    <x v="1"/>
    <n v="183"/>
    <n v="141"/>
  </r>
  <r>
    <s v="O0363"/>
    <s v="2025-01-23"/>
    <s v="C008"/>
    <x v="0"/>
    <s v="D032"/>
    <n v="1"/>
    <n v="153"/>
    <x v="0"/>
    <n v="76.5"/>
    <n v="-6.5"/>
  </r>
  <r>
    <s v="O0364"/>
    <s v="2025-06-08"/>
    <s v="C092"/>
    <x v="55"/>
    <s v="D018"/>
    <n v="2"/>
    <n v="159"/>
    <x v="1"/>
    <n v="159"/>
    <n v="168"/>
  </r>
  <r>
    <s v="O0365"/>
    <s v="2025-11-15"/>
    <s v="C040"/>
    <x v="11"/>
    <s v="D017"/>
    <n v="1"/>
    <n v="222"/>
    <x v="1"/>
    <n v="222"/>
    <n v="162"/>
  </r>
  <r>
    <s v="O0366"/>
    <s v="2025-02-08"/>
    <s v="C065"/>
    <x v="74"/>
    <s v="D020"/>
    <n v="4"/>
    <n v="119"/>
    <x v="1"/>
    <n v="119"/>
    <n v="256"/>
  </r>
  <r>
    <s v="O0367"/>
    <s v="2026-01-31"/>
    <s v="C032"/>
    <x v="49"/>
    <s v="D037"/>
    <n v="5"/>
    <n v="216"/>
    <x v="1"/>
    <n v="216"/>
    <n v="810"/>
  </r>
  <r>
    <s v="O0368"/>
    <s v="2025-10-17"/>
    <s v="C099"/>
    <x v="93"/>
    <s v="D002"/>
    <n v="2"/>
    <n v="103"/>
    <x v="0"/>
    <n v="51.5"/>
    <n v="-33"/>
  </r>
  <r>
    <s v="O0369"/>
    <s v="2025-05-10"/>
    <s v="C024"/>
    <x v="28"/>
    <s v="D032"/>
    <n v="4"/>
    <n v="248"/>
    <x v="0"/>
    <n v="124"/>
    <n v="164"/>
  </r>
  <r>
    <s v="O0370"/>
    <s v="2025-06-13"/>
    <s v="C006"/>
    <x v="3"/>
    <s v="D034"/>
    <n v="2"/>
    <n v="248"/>
    <x v="0"/>
    <n v="124"/>
    <n v="104"/>
  </r>
  <r>
    <s v="O0371"/>
    <s v="2025-11-16"/>
    <s v="C099"/>
    <x v="12"/>
    <s v="D040"/>
    <n v="3"/>
    <n v="215"/>
    <x v="0"/>
    <n v="107.5"/>
    <n v="82.5"/>
  </r>
  <r>
    <s v="O0372"/>
    <s v="2025-01-17"/>
    <s v="C089"/>
    <x v="44"/>
    <s v="D046"/>
    <n v="4"/>
    <n v="185"/>
    <x v="1"/>
    <n v="185"/>
    <n v="568"/>
  </r>
  <r>
    <s v="O0373"/>
    <s v="2025-05-16"/>
    <s v="C008"/>
    <x v="41"/>
    <s v="D010"/>
    <n v="3"/>
    <n v="122"/>
    <x v="0"/>
    <n v="61"/>
    <n v="-3"/>
  </r>
  <r>
    <s v="O0374"/>
    <s v="2025-04-08"/>
    <s v="C017"/>
    <x v="69"/>
    <s v="D030"/>
    <n v="5"/>
    <n v="239"/>
    <x v="1"/>
    <n v="239"/>
    <n v="885"/>
  </r>
  <r>
    <s v="O0375"/>
    <s v="2025-12-10"/>
    <s v="C042"/>
    <x v="8"/>
    <s v="D026"/>
    <n v="4"/>
    <n v="149"/>
    <x v="0"/>
    <n v="74.5"/>
    <n v="134"/>
  </r>
  <r>
    <s v="O0376"/>
    <s v="2025-03-13"/>
    <s v="C080"/>
    <x v="41"/>
    <s v="D010"/>
    <n v="2"/>
    <n v="194"/>
    <x v="1"/>
    <n v="194"/>
    <n v="264"/>
  </r>
  <r>
    <s v="O0377"/>
    <s v="2025-09-23"/>
    <s v="C080"/>
    <x v="11"/>
    <s v="D005"/>
    <n v="5"/>
    <n v="133"/>
    <x v="1"/>
    <n v="133"/>
    <n v="325"/>
  </r>
  <r>
    <s v="O0378"/>
    <s v="2025-03-21"/>
    <s v="C017"/>
    <x v="59"/>
    <s v="D010"/>
    <n v="3"/>
    <n v="164"/>
    <x v="1"/>
    <n v="164"/>
    <n v="306"/>
  </r>
  <r>
    <s v="O0379"/>
    <s v="2025-02-12"/>
    <s v="C036"/>
    <x v="16"/>
    <s v="D004"/>
    <n v="4"/>
    <n v="139"/>
    <x v="1"/>
    <n v="139"/>
    <n v="384"/>
  </r>
  <r>
    <s v="O0380"/>
    <s v="2025-10-22"/>
    <s v="C077"/>
    <x v="46"/>
    <s v="D041"/>
    <n v="4"/>
    <n v="226"/>
    <x v="1"/>
    <n v="226"/>
    <n v="684"/>
  </r>
  <r>
    <s v="O0381"/>
    <s v="2025-01-28"/>
    <s v="C033"/>
    <x v="56"/>
    <s v="D001"/>
    <n v="1"/>
    <n v="120"/>
    <x v="1"/>
    <n v="120"/>
    <n v="56"/>
  </r>
  <r>
    <s v="O0382"/>
    <s v="2025-11-05"/>
    <s v="C009"/>
    <x v="55"/>
    <s v="D005"/>
    <n v="2"/>
    <n v="116"/>
    <x v="0"/>
    <n v="58"/>
    <n v="-20"/>
  </r>
  <r>
    <s v="O0383"/>
    <s v="2025-09-06"/>
    <s v="C071"/>
    <x v="90"/>
    <s v="D010"/>
    <n v="3"/>
    <n v="121"/>
    <x v="0"/>
    <n v="60.5"/>
    <n v="-4.5"/>
  </r>
  <r>
    <s v="O0384"/>
    <s v="2025-09-23"/>
    <s v="C076"/>
    <x v="0"/>
    <s v="D028"/>
    <n v="3"/>
    <n v="221"/>
    <x v="0"/>
    <n v="110.5"/>
    <n v="106.5"/>
  </r>
  <r>
    <s v="O0385"/>
    <s v="2026-01-07"/>
    <s v="C095"/>
    <x v="10"/>
    <s v="D020"/>
    <n v="3"/>
    <n v="230"/>
    <x v="0"/>
    <n v="115"/>
    <n v="180"/>
  </r>
  <r>
    <s v="O0386"/>
    <s v="2025-03-01"/>
    <s v="C059"/>
    <x v="87"/>
    <s v="D007"/>
    <n v="1"/>
    <n v="249"/>
    <x v="0"/>
    <n v="124.5"/>
    <n v="57.5"/>
  </r>
  <r>
    <s v="O0387"/>
    <s v="2025-09-13"/>
    <s v="C022"/>
    <x v="43"/>
    <s v="D013"/>
    <n v="1"/>
    <n v="195"/>
    <x v="0"/>
    <n v="97.5"/>
    <n v="52.5"/>
  </r>
  <r>
    <s v="O0388"/>
    <s v="2025-09-29"/>
    <s v="C073"/>
    <x v="76"/>
    <s v="D016"/>
    <n v="4"/>
    <n v="156"/>
    <x v="0"/>
    <n v="78"/>
    <n v="36"/>
  </r>
  <r>
    <s v="O0389"/>
    <s v="2025-08-12"/>
    <s v="C055"/>
    <x v="97"/>
    <s v="D037"/>
    <n v="3"/>
    <n v="208"/>
    <x v="1"/>
    <n v="208"/>
    <n v="462"/>
  </r>
  <r>
    <s v="O0390"/>
    <s v="2025-03-12"/>
    <s v="C004"/>
    <x v="19"/>
    <s v="D010"/>
    <n v="4"/>
    <n v="139"/>
    <x v="1"/>
    <n v="139"/>
    <n v="308"/>
  </r>
  <r>
    <s v="O0391"/>
    <s v="2025-12-08"/>
    <s v="C012"/>
    <x v="12"/>
    <s v="D019"/>
    <n v="2"/>
    <n v="169"/>
    <x v="1"/>
    <n v="169"/>
    <n v="170"/>
  </r>
  <r>
    <s v="O0392"/>
    <s v="2025-10-17"/>
    <s v="C024"/>
    <x v="72"/>
    <s v="D032"/>
    <n v="4"/>
    <n v="190"/>
    <x v="0"/>
    <n v="95"/>
    <n v="48"/>
  </r>
  <r>
    <s v="O0393"/>
    <s v="2025-11-13"/>
    <s v="C004"/>
    <x v="27"/>
    <s v="D037"/>
    <n v="3"/>
    <n v="201"/>
    <x v="1"/>
    <n v="201"/>
    <n v="441"/>
  </r>
  <r>
    <s v="O0394"/>
    <s v="2025-03-27"/>
    <s v="C093"/>
    <x v="27"/>
    <s v="D013"/>
    <n v="5"/>
    <n v="114"/>
    <x v="0"/>
    <n v="57"/>
    <n v="60"/>
  </r>
  <r>
    <s v="O0395"/>
    <s v="2025-05-28"/>
    <s v="C076"/>
    <x v="50"/>
    <s v="D019"/>
    <n v="1"/>
    <n v="111"/>
    <x v="0"/>
    <n v="55.5"/>
    <n v="-28.5"/>
  </r>
  <r>
    <s v="O0396"/>
    <s v="2025-06-21"/>
    <s v="C066"/>
    <x v="66"/>
    <s v="D020"/>
    <n v="3"/>
    <n v="123"/>
    <x v="0"/>
    <n v="61.5"/>
    <n v="19.5"/>
  </r>
  <r>
    <s v="O0397"/>
    <s v="2025-06-01"/>
    <s v="C061"/>
    <x v="36"/>
    <s v="D016"/>
    <n v="3"/>
    <n v="113"/>
    <x v="1"/>
    <n v="113"/>
    <n v="132"/>
  </r>
  <r>
    <s v="O0398"/>
    <s v="2026-01-27"/>
    <s v="C087"/>
    <x v="80"/>
    <s v="D033"/>
    <n v="4"/>
    <n v="218"/>
    <x v="1"/>
    <n v="218"/>
    <n v="684"/>
  </r>
  <r>
    <s v="O0399"/>
    <s v="2025-08-06"/>
    <s v="C023"/>
    <x v="1"/>
    <s v="D011"/>
    <n v="1"/>
    <n v="197"/>
    <x v="1"/>
    <n v="197"/>
    <n v="140"/>
  </r>
  <r>
    <s v="O0400"/>
    <s v="2025-06-24"/>
    <s v="C075"/>
    <x v="86"/>
    <s v="D040"/>
    <n v="2"/>
    <n v="163"/>
    <x v="0"/>
    <n v="81.5"/>
    <n v="3"/>
  </r>
  <r>
    <s v="O0401"/>
    <s v="2025-07-13"/>
    <s v="C017"/>
    <x v="98"/>
    <s v="D048"/>
    <n v="5"/>
    <n v="203"/>
    <x v="1"/>
    <n v="203"/>
    <n v="805"/>
  </r>
  <r>
    <s v="O0402"/>
    <s v="2025-09-16"/>
    <s v="C083"/>
    <x v="85"/>
    <s v="D002"/>
    <n v="3"/>
    <n v="131"/>
    <x v="0"/>
    <n v="65.5"/>
    <n v="-7.5"/>
  </r>
  <r>
    <s v="O0403"/>
    <s v="2025-01-08"/>
    <s v="C026"/>
    <x v="51"/>
    <s v="D042"/>
    <n v="2"/>
    <n v="150"/>
    <x v="1"/>
    <n v="150"/>
    <n v="122"/>
  </r>
  <r>
    <s v="O0404"/>
    <s v="2025-02-16"/>
    <s v="C068"/>
    <x v="6"/>
    <s v="D029"/>
    <n v="5"/>
    <n v="121"/>
    <x v="1"/>
    <n v="121"/>
    <n v="255"/>
  </r>
  <r>
    <s v="O0405"/>
    <s v="2026-01-26"/>
    <s v="C074"/>
    <x v="91"/>
    <s v="D016"/>
    <n v="4"/>
    <n v="160"/>
    <x v="1"/>
    <n v="160"/>
    <n v="364"/>
  </r>
  <r>
    <s v="O0406"/>
    <s v="2025-07-07"/>
    <s v="C095"/>
    <x v="30"/>
    <s v="D028"/>
    <n v="2"/>
    <n v="142"/>
    <x v="0"/>
    <n v="71"/>
    <n v="-8"/>
  </r>
  <r>
    <s v="O0407"/>
    <s v="2026-01-02"/>
    <s v="C052"/>
    <x v="60"/>
    <s v="D050"/>
    <n v="4"/>
    <n v="181"/>
    <x v="1"/>
    <n v="181"/>
    <n v="400"/>
  </r>
  <r>
    <s v="O0408"/>
    <s v="2025-01-16"/>
    <s v="C097"/>
    <x v="69"/>
    <s v="D015"/>
    <n v="1"/>
    <n v="141"/>
    <x v="1"/>
    <n v="141"/>
    <n v="62"/>
  </r>
  <r>
    <s v="O0409"/>
    <s v="2025-05-15"/>
    <s v="C033"/>
    <x v="21"/>
    <s v="D035"/>
    <n v="4"/>
    <n v="246"/>
    <x v="1"/>
    <n v="246"/>
    <n v="700"/>
  </r>
  <r>
    <s v="O0410"/>
    <s v="2025-05-22"/>
    <s v="C098"/>
    <x v="1"/>
    <s v="D020"/>
    <n v="3"/>
    <n v="202"/>
    <x v="0"/>
    <n v="101"/>
    <n v="138"/>
  </r>
  <r>
    <s v="O0411"/>
    <s v="2025-06-05"/>
    <s v="C090"/>
    <x v="61"/>
    <s v="D048"/>
    <n v="3"/>
    <n v="100"/>
    <x v="1"/>
    <n v="100"/>
    <n v="174"/>
  </r>
  <r>
    <s v="O0412"/>
    <s v="2025-12-26"/>
    <s v="C024"/>
    <x v="27"/>
    <s v="D015"/>
    <n v="3"/>
    <n v="141"/>
    <x v="0"/>
    <n v="70.5"/>
    <n v="-25.5"/>
  </r>
  <r>
    <s v="O0413"/>
    <s v="2025-02-08"/>
    <s v="C086"/>
    <x v="97"/>
    <s v="D043"/>
    <n v="4"/>
    <n v="105"/>
    <x v="1"/>
    <n v="105"/>
    <n v="172"/>
  </r>
  <r>
    <s v="O0414"/>
    <s v="2025-09-05"/>
    <s v="C084"/>
    <x v="83"/>
    <s v="D030"/>
    <n v="5"/>
    <n v="235"/>
    <x v="0"/>
    <n v="117.5"/>
    <n v="277.5"/>
  </r>
  <r>
    <s v="O0415"/>
    <s v="2025-02-07"/>
    <s v="C015"/>
    <x v="91"/>
    <s v="D032"/>
    <n v="5"/>
    <n v="113"/>
    <x v="0"/>
    <n v="56.5"/>
    <n v="-132.5"/>
  </r>
  <r>
    <s v="O0416"/>
    <s v="2025-08-22"/>
    <s v="C060"/>
    <x v="85"/>
    <s v="D047"/>
    <n v="5"/>
    <n v="176"/>
    <x v="1"/>
    <n v="176"/>
    <n v="455"/>
  </r>
  <r>
    <s v="O0417"/>
    <s v="2025-06-12"/>
    <s v="C031"/>
    <x v="61"/>
    <s v="D045"/>
    <n v="3"/>
    <n v="225"/>
    <x v="1"/>
    <n v="225"/>
    <n v="483"/>
  </r>
  <r>
    <s v="O0418"/>
    <s v="2025-02-20"/>
    <s v="C031"/>
    <x v="56"/>
    <s v="D031"/>
    <n v="1"/>
    <n v="183"/>
    <x v="1"/>
    <n v="183"/>
    <n v="94"/>
  </r>
  <r>
    <s v="O0419"/>
    <s v="2025-11-29"/>
    <s v="C028"/>
    <x v="4"/>
    <s v="D019"/>
    <n v="1"/>
    <n v="217"/>
    <x v="1"/>
    <n v="217"/>
    <n v="133"/>
  </r>
  <r>
    <s v="O0420"/>
    <s v="2025-06-11"/>
    <s v="C015"/>
    <x v="52"/>
    <s v="D025"/>
    <n v="4"/>
    <n v="233"/>
    <x v="0"/>
    <n v="116.5"/>
    <n v="158"/>
  </r>
  <r>
    <s v="O0421"/>
    <s v="2025-11-20"/>
    <s v="C096"/>
    <x v="54"/>
    <s v="D004"/>
    <n v="1"/>
    <n v="134"/>
    <x v="1"/>
    <n v="134"/>
    <n v="91"/>
  </r>
  <r>
    <s v="O0422"/>
    <s v="2025-11-24"/>
    <s v="C066"/>
    <x v="11"/>
    <s v="D005"/>
    <n v="1"/>
    <n v="220"/>
    <x v="0"/>
    <n v="110"/>
    <n v="42"/>
  </r>
  <r>
    <s v="O0423"/>
    <s v="2025-09-22"/>
    <s v="C039"/>
    <x v="55"/>
    <s v="D032"/>
    <n v="1"/>
    <n v="102"/>
    <x v="0"/>
    <n v="51"/>
    <n v="-32"/>
  </r>
  <r>
    <s v="O0424"/>
    <s v="2025-08-01"/>
    <s v="C056"/>
    <x v="9"/>
    <s v="D049"/>
    <n v="1"/>
    <n v="236"/>
    <x v="1"/>
    <n v="236"/>
    <n v="195"/>
  </r>
  <r>
    <s v="O0425"/>
    <s v="2025-12-23"/>
    <s v="C085"/>
    <x v="15"/>
    <s v="D037"/>
    <n v="4"/>
    <n v="220"/>
    <x v="0"/>
    <n v="110"/>
    <n v="224"/>
  </r>
  <r>
    <s v="O0426"/>
    <s v="2025-05-23"/>
    <s v="C006"/>
    <x v="65"/>
    <s v="D015"/>
    <n v="4"/>
    <n v="159"/>
    <x v="0"/>
    <n v="79.5"/>
    <n v="2"/>
  </r>
  <r>
    <s v="O0427"/>
    <s v="2025-08-12"/>
    <s v="C062"/>
    <x v="26"/>
    <s v="D032"/>
    <n v="5"/>
    <n v="111"/>
    <x v="0"/>
    <n v="55.5"/>
    <n v="-137.5"/>
  </r>
  <r>
    <s v="O0428"/>
    <s v="2025-02-01"/>
    <s v="C010"/>
    <x v="56"/>
    <s v="D010"/>
    <n v="1"/>
    <n v="137"/>
    <x v="1"/>
    <n v="137"/>
    <n v="75"/>
  </r>
  <r>
    <s v="O0429"/>
    <s v="2026-01-15"/>
    <s v="C007"/>
    <x v="60"/>
    <s v="D020"/>
    <n v="1"/>
    <n v="241"/>
    <x v="0"/>
    <n v="120.5"/>
    <n v="65.5"/>
  </r>
  <r>
    <s v="O0430"/>
    <s v="2025-07-31"/>
    <s v="C024"/>
    <x v="55"/>
    <s v="D022"/>
    <n v="2"/>
    <n v="151"/>
    <x v="0"/>
    <n v="75.5"/>
    <n v="21"/>
  </r>
  <r>
    <s v="O0431"/>
    <s v="2025-05-29"/>
    <s v="C051"/>
    <x v="39"/>
    <s v="D035"/>
    <n v="4"/>
    <n v="140"/>
    <x v="0"/>
    <n v="70"/>
    <n v="-4"/>
  </r>
  <r>
    <s v="O0432"/>
    <s v="2025-12-19"/>
    <s v="C030"/>
    <x v="43"/>
    <s v="D010"/>
    <n v="1"/>
    <n v="130"/>
    <x v="1"/>
    <n v="130"/>
    <n v="68"/>
  </r>
  <r>
    <s v="O0433"/>
    <s v="2025-10-18"/>
    <s v="C012"/>
    <x v="8"/>
    <s v="D039"/>
    <n v="2"/>
    <n v="160"/>
    <x v="1"/>
    <n v="160"/>
    <n v="230"/>
  </r>
  <r>
    <s v="O0434"/>
    <s v="2025-05-13"/>
    <s v="C070"/>
    <x v="68"/>
    <s v="D022"/>
    <n v="2"/>
    <n v="234"/>
    <x v="0"/>
    <n v="117"/>
    <n v="104"/>
  </r>
  <r>
    <s v="O0435"/>
    <s v="2025-06-19"/>
    <s v="C061"/>
    <x v="37"/>
    <s v="D014"/>
    <n v="3"/>
    <n v="225"/>
    <x v="1"/>
    <n v="225"/>
    <n v="525"/>
  </r>
  <r>
    <s v="O0436"/>
    <s v="2025-01-03"/>
    <s v="C084"/>
    <x v="31"/>
    <s v="D033"/>
    <n v="2"/>
    <n v="155"/>
    <x v="0"/>
    <n v="77.5"/>
    <n v="61"/>
  </r>
  <r>
    <s v="O0437"/>
    <s v="2025-12-18"/>
    <s v="C056"/>
    <x v="85"/>
    <s v="D013"/>
    <n v="2"/>
    <n v="211"/>
    <x v="1"/>
    <n v="211"/>
    <n v="332"/>
  </r>
  <r>
    <s v="O0438"/>
    <s v="2025-11-22"/>
    <s v="C072"/>
    <x v="54"/>
    <s v="D037"/>
    <n v="5"/>
    <n v="153"/>
    <x v="1"/>
    <n v="153"/>
    <n v="495"/>
  </r>
  <r>
    <s v="O0439"/>
    <s v="2025-03-17"/>
    <s v="C060"/>
    <x v="59"/>
    <s v="D015"/>
    <n v="2"/>
    <n v="234"/>
    <x v="1"/>
    <n v="234"/>
    <n v="310"/>
  </r>
  <r>
    <s v="O0440"/>
    <s v="2025-08-18"/>
    <s v="C044"/>
    <x v="88"/>
    <s v="D019"/>
    <n v="3"/>
    <n v="147"/>
    <x v="1"/>
    <n v="147"/>
    <n v="189"/>
  </r>
  <r>
    <s v="O0441"/>
    <s v="2026-01-09"/>
    <s v="C080"/>
    <x v="96"/>
    <s v="D050"/>
    <n v="3"/>
    <n v="226"/>
    <x v="1"/>
    <n v="226"/>
    <n v="435"/>
  </r>
  <r>
    <s v="O0442"/>
    <s v="2025-02-20"/>
    <s v="C020"/>
    <x v="18"/>
    <s v="D039"/>
    <n v="4"/>
    <n v="167"/>
    <x v="0"/>
    <n v="83.5"/>
    <n v="154"/>
  </r>
  <r>
    <s v="O0443"/>
    <s v="2025-04-11"/>
    <s v="C015"/>
    <x v="52"/>
    <s v="D012"/>
    <n v="2"/>
    <n v="168"/>
    <x v="0"/>
    <n v="84"/>
    <n v="22"/>
  </r>
  <r>
    <s v="O0444"/>
    <s v="2025-12-02"/>
    <s v="C091"/>
    <x v="85"/>
    <s v="D035"/>
    <n v="1"/>
    <n v="129"/>
    <x v="1"/>
    <n v="129"/>
    <n v="58"/>
  </r>
  <r>
    <s v="O0445"/>
    <s v="2025-01-08"/>
    <s v="C054"/>
    <x v="20"/>
    <s v="D023"/>
    <n v="4"/>
    <n v="167"/>
    <x v="1"/>
    <n v="167"/>
    <n v="504"/>
  </r>
  <r>
    <s v="O0446"/>
    <s v="2025-02-14"/>
    <s v="C022"/>
    <x v="14"/>
    <s v="D035"/>
    <n v="2"/>
    <n v="161"/>
    <x v="0"/>
    <n v="80.5"/>
    <n v="19"/>
  </r>
  <r>
    <s v="O0447"/>
    <s v="2026-01-01"/>
    <s v="C076"/>
    <x v="59"/>
    <s v="D029"/>
    <n v="4"/>
    <n v="188"/>
    <x v="0"/>
    <n v="94"/>
    <n v="96"/>
  </r>
  <r>
    <s v="O0448"/>
    <s v="2025-03-12"/>
    <s v="C050"/>
    <x v="98"/>
    <s v="D012"/>
    <n v="5"/>
    <n v="231"/>
    <x v="0"/>
    <n v="115.5"/>
    <n v="212.5"/>
  </r>
  <r>
    <s v="O0449"/>
    <s v="2025-05-31"/>
    <s v="C012"/>
    <x v="41"/>
    <s v="D017"/>
    <n v="5"/>
    <n v="101"/>
    <x v="1"/>
    <n v="101"/>
    <n v="205"/>
  </r>
  <r>
    <s v="O0450"/>
    <s v="2025-07-24"/>
    <s v="C076"/>
    <x v="84"/>
    <s v="D023"/>
    <n v="3"/>
    <n v="184"/>
    <x v="0"/>
    <n v="92"/>
    <n v="153"/>
  </r>
  <r>
    <s v="O0451"/>
    <s v="2025-09-30"/>
    <s v="C088"/>
    <x v="89"/>
    <s v="D037"/>
    <n v="1"/>
    <n v="195"/>
    <x v="1"/>
    <n v="195"/>
    <n v="141"/>
  </r>
  <r>
    <s v="O0452"/>
    <s v="2025-11-07"/>
    <s v="C057"/>
    <x v="66"/>
    <s v="D049"/>
    <n v="4"/>
    <n v="142"/>
    <x v="0"/>
    <n v="71"/>
    <n v="120"/>
  </r>
  <r>
    <s v="O0453"/>
    <s v="2025-02-19"/>
    <s v="C095"/>
    <x v="67"/>
    <s v="D048"/>
    <n v="2"/>
    <n v="249"/>
    <x v="0"/>
    <n v="124.5"/>
    <n v="165"/>
  </r>
  <r>
    <s v="O0454"/>
    <s v="2025-02-09"/>
    <s v="C011"/>
    <x v="19"/>
    <s v="D042"/>
    <n v="3"/>
    <n v="173"/>
    <x v="1"/>
    <n v="173"/>
    <n v="252"/>
  </r>
  <r>
    <s v="O0455"/>
    <s v="2025-01-04"/>
    <s v="C026"/>
    <x v="42"/>
    <s v="D016"/>
    <n v="4"/>
    <n v="188"/>
    <x v="1"/>
    <n v="188"/>
    <n v="476"/>
  </r>
  <r>
    <s v="O0456"/>
    <s v="2025-08-06"/>
    <s v="C008"/>
    <x v="60"/>
    <s v="D017"/>
    <n v="4"/>
    <n v="116"/>
    <x v="0"/>
    <n v="58"/>
    <n v="-8"/>
  </r>
  <r>
    <s v="O0457"/>
    <s v="2025-01-09"/>
    <s v="C063"/>
    <x v="58"/>
    <s v="D039"/>
    <n v="5"/>
    <n v="124"/>
    <x v="1"/>
    <n v="124"/>
    <n v="395"/>
  </r>
  <r>
    <s v="O0458"/>
    <s v="2025-05-05"/>
    <s v="C005"/>
    <x v="66"/>
    <s v="D001"/>
    <n v="4"/>
    <n v="242"/>
    <x v="1"/>
    <n v="242"/>
    <n v="712"/>
  </r>
  <r>
    <s v="O0459"/>
    <s v="2025-11-06"/>
    <s v="C029"/>
    <x v="92"/>
    <s v="D047"/>
    <n v="3"/>
    <n v="136"/>
    <x v="1"/>
    <n v="136"/>
    <n v="153"/>
  </r>
  <r>
    <s v="O0460"/>
    <s v="2025-01-29"/>
    <s v="C046"/>
    <x v="92"/>
    <s v="D033"/>
    <n v="3"/>
    <n v="246"/>
    <x v="0"/>
    <n v="123"/>
    <n v="228"/>
  </r>
  <r>
    <s v="O0461"/>
    <s v="2025-07-14"/>
    <s v="C055"/>
    <x v="68"/>
    <s v="D022"/>
    <n v="5"/>
    <n v="108"/>
    <x v="1"/>
    <n v="108"/>
    <n v="215"/>
  </r>
  <r>
    <s v="O0462"/>
    <s v="2025-02-21"/>
    <s v="C040"/>
    <x v="27"/>
    <s v="D040"/>
    <n v="3"/>
    <n v="168"/>
    <x v="1"/>
    <n v="168"/>
    <n v="264"/>
  </r>
  <r>
    <s v="O0463"/>
    <s v="2025-10-26"/>
    <s v="C078"/>
    <x v="66"/>
    <s v="D018"/>
    <n v="5"/>
    <n v="249"/>
    <x v="1"/>
    <n v="249"/>
    <n v="870"/>
  </r>
  <r>
    <s v="O0464"/>
    <s v="2025-05-05"/>
    <s v="C065"/>
    <x v="72"/>
    <s v="D009"/>
    <n v="4"/>
    <n v="221"/>
    <x v="1"/>
    <n v="221"/>
    <n v="548"/>
  </r>
  <r>
    <s v="O0465"/>
    <s v="2025-02-28"/>
    <s v="C059"/>
    <x v="94"/>
    <s v="D038"/>
    <n v="3"/>
    <n v="199"/>
    <x v="0"/>
    <n v="99.5"/>
    <n v="88.5"/>
  </r>
  <r>
    <s v="O0466"/>
    <s v="2025-04-07"/>
    <s v="C012"/>
    <x v="87"/>
    <s v="D035"/>
    <n v="4"/>
    <n v="135"/>
    <x v="1"/>
    <n v="135"/>
    <n v="256"/>
  </r>
  <r>
    <s v="O0467"/>
    <s v="2025-05-23"/>
    <s v="C045"/>
    <x v="98"/>
    <s v="D014"/>
    <n v="3"/>
    <n v="190"/>
    <x v="0"/>
    <n v="95"/>
    <n v="135"/>
  </r>
  <r>
    <s v="O0468"/>
    <s v="2025-01-04"/>
    <s v="C041"/>
    <x v="30"/>
    <s v="D049"/>
    <n v="2"/>
    <n v="172"/>
    <x v="1"/>
    <n v="172"/>
    <n v="262"/>
  </r>
  <r>
    <s v="O0469"/>
    <s v="2025-06-25"/>
    <s v="C046"/>
    <x v="81"/>
    <s v="D011"/>
    <n v="2"/>
    <n v="239"/>
    <x v="0"/>
    <n v="119.5"/>
    <n v="125"/>
  </r>
  <r>
    <s v="O0470"/>
    <s v="2025-05-11"/>
    <s v="C014"/>
    <x v="82"/>
    <s v="D009"/>
    <n v="1"/>
    <n v="221"/>
    <x v="0"/>
    <n v="110.5"/>
    <n v="26.5"/>
  </r>
  <r>
    <s v="O0471"/>
    <s v="2025-09-02"/>
    <s v="C094"/>
    <x v="47"/>
    <s v="D003"/>
    <n v="1"/>
    <n v="207"/>
    <x v="1"/>
    <n v="207"/>
    <n v="123"/>
  </r>
  <r>
    <s v="O0472"/>
    <s v="2026-01-11"/>
    <s v="C036"/>
    <x v="74"/>
    <s v="D025"/>
    <n v="5"/>
    <n v="137"/>
    <x v="1"/>
    <n v="137"/>
    <n v="300"/>
  </r>
  <r>
    <s v="O0473"/>
    <s v="2025-10-12"/>
    <s v="C011"/>
    <x v="55"/>
    <s v="D049"/>
    <n v="2"/>
    <n v="185"/>
    <x v="1"/>
    <n v="185"/>
    <n v="288"/>
  </r>
  <r>
    <s v="O0474"/>
    <s v="2026-01-19"/>
    <s v="C009"/>
    <x v="32"/>
    <s v="D025"/>
    <n v="3"/>
    <n v="146"/>
    <x v="0"/>
    <n v="73"/>
    <n v="-12"/>
  </r>
  <r>
    <s v="O0475"/>
    <s v="2026-01-29"/>
    <s v="C036"/>
    <x v="9"/>
    <s v="D012"/>
    <n v="1"/>
    <n v="192"/>
    <x v="1"/>
    <n v="192"/>
    <n v="119"/>
  </r>
  <r>
    <s v="O0476"/>
    <s v="2025-04-29"/>
    <s v="C016"/>
    <x v="57"/>
    <s v="D018"/>
    <n v="3"/>
    <n v="193"/>
    <x v="0"/>
    <n v="96.5"/>
    <n v="64.5"/>
  </r>
  <r>
    <s v="O0477"/>
    <s v="2025-10-05"/>
    <s v="C014"/>
    <x v="71"/>
    <s v="D039"/>
    <n v="3"/>
    <n v="188"/>
    <x v="0"/>
    <n v="94"/>
    <n v="147"/>
  </r>
  <r>
    <s v="O0478"/>
    <s v="2025-09-17"/>
    <s v="C054"/>
    <x v="4"/>
    <s v="D012"/>
    <n v="3"/>
    <n v="227"/>
    <x v="1"/>
    <n v="227"/>
    <n v="462"/>
  </r>
  <r>
    <s v="O0479"/>
    <s v="2025-05-25"/>
    <s v="C027"/>
    <x v="83"/>
    <s v="D011"/>
    <n v="3"/>
    <n v="110"/>
    <x v="0"/>
    <n v="55"/>
    <n v="-6"/>
  </r>
  <r>
    <s v="O0480"/>
    <s v="2025-06-18"/>
    <s v="C085"/>
    <x v="39"/>
    <s v="D046"/>
    <n v="4"/>
    <n v="101"/>
    <x v="0"/>
    <n v="50.5"/>
    <n v="30"/>
  </r>
  <r>
    <s v="O0481"/>
    <s v="2025-10-16"/>
    <s v="C052"/>
    <x v="18"/>
    <s v="D027"/>
    <n v="4"/>
    <n v="162"/>
    <x v="1"/>
    <n v="162"/>
    <n v="448"/>
  </r>
  <r>
    <s v="O0482"/>
    <s v="2025-12-28"/>
    <s v="C024"/>
    <x v="43"/>
    <s v="D008"/>
    <n v="2"/>
    <n v="168"/>
    <x v="0"/>
    <n v="84"/>
    <n v="20"/>
  </r>
  <r>
    <s v="O0483"/>
    <s v="2025-11-04"/>
    <s v="C053"/>
    <x v="37"/>
    <s v="D013"/>
    <n v="4"/>
    <n v="123"/>
    <x v="0"/>
    <n v="61.5"/>
    <n v="66"/>
  </r>
  <r>
    <s v="O0484"/>
    <s v="2025-05-07"/>
    <s v="C025"/>
    <x v="82"/>
    <s v="D044"/>
    <n v="5"/>
    <n v="232"/>
    <x v="1"/>
    <n v="232"/>
    <n v="810"/>
  </r>
  <r>
    <s v="O0485"/>
    <s v="2025-10-26"/>
    <s v="C017"/>
    <x v="63"/>
    <s v="D050"/>
    <n v="2"/>
    <n v="199"/>
    <x v="1"/>
    <n v="199"/>
    <n v="236"/>
  </r>
  <r>
    <s v="O0486"/>
    <s v="2025-09-14"/>
    <s v="C083"/>
    <x v="28"/>
    <s v="D023"/>
    <n v="1"/>
    <n v="172"/>
    <x v="0"/>
    <n v="86"/>
    <n v="45"/>
  </r>
  <r>
    <s v="O0487"/>
    <s v="2025-04-09"/>
    <s v="C016"/>
    <x v="51"/>
    <s v="D002"/>
    <n v="3"/>
    <n v="191"/>
    <x v="0"/>
    <n v="95.5"/>
    <n v="82.5"/>
  </r>
  <r>
    <s v="O0488"/>
    <s v="2025-02-24"/>
    <s v="C094"/>
    <x v="68"/>
    <s v="D025"/>
    <n v="1"/>
    <n v="102"/>
    <x v="1"/>
    <n v="102"/>
    <n v="25"/>
  </r>
  <r>
    <s v="O0489"/>
    <s v="2025-01-13"/>
    <s v="C049"/>
    <x v="1"/>
    <s v="D032"/>
    <n v="4"/>
    <n v="152"/>
    <x v="0"/>
    <n v="76"/>
    <n v="-28"/>
  </r>
  <r>
    <s v="O0490"/>
    <s v="2025-11-14"/>
    <s v="C037"/>
    <x v="14"/>
    <s v="D034"/>
    <n v="1"/>
    <n v="145"/>
    <x v="0"/>
    <n v="72.5"/>
    <n v="0.5"/>
  </r>
  <r>
    <s v="O0491"/>
    <s v="2025-05-14"/>
    <s v="C034"/>
    <x v="8"/>
    <s v="D024"/>
    <n v="5"/>
    <n v="135"/>
    <x v="1"/>
    <n v="135"/>
    <n v="395"/>
  </r>
  <r>
    <s v="O0492"/>
    <s v="2026-01-03"/>
    <s v="C069"/>
    <x v="21"/>
    <s v="D015"/>
    <n v="1"/>
    <n v="135"/>
    <x v="0"/>
    <n v="67.5"/>
    <n v="-11.5"/>
  </r>
  <r>
    <s v="O0493"/>
    <s v="2025-04-21"/>
    <s v="C013"/>
    <x v="6"/>
    <s v="D002"/>
    <n v="3"/>
    <n v="158"/>
    <x v="0"/>
    <n v="79"/>
    <n v="33"/>
  </r>
  <r>
    <s v="O0494"/>
    <s v="2025-08-19"/>
    <s v="C074"/>
    <x v="27"/>
    <s v="D023"/>
    <n v="3"/>
    <n v="104"/>
    <x v="1"/>
    <n v="104"/>
    <n v="189"/>
  </r>
  <r>
    <s v="O0495"/>
    <s v="2025-04-26"/>
    <s v="C032"/>
    <x v="42"/>
    <s v="D049"/>
    <n v="1"/>
    <n v="130"/>
    <x v="1"/>
    <n v="130"/>
    <n v="89"/>
  </r>
  <r>
    <s v="O0496"/>
    <s v="2025-03-06"/>
    <s v="C081"/>
    <x v="21"/>
    <s v="D010"/>
    <n v="3"/>
    <n v="155"/>
    <x v="0"/>
    <n v="77.5"/>
    <n v="46.5"/>
  </r>
  <r>
    <s v="O0497"/>
    <s v="2025-05-07"/>
    <s v="C095"/>
    <x v="8"/>
    <s v="D047"/>
    <n v="4"/>
    <n v="114"/>
    <x v="0"/>
    <n v="57"/>
    <n v="-112"/>
  </r>
  <r>
    <s v="O0498"/>
    <s v="2025-02-26"/>
    <s v="C083"/>
    <x v="36"/>
    <s v="D045"/>
    <n v="3"/>
    <n v="122"/>
    <x v="0"/>
    <n v="61"/>
    <n v="-9"/>
  </r>
  <r>
    <s v="O0499"/>
    <s v="2025-12-13"/>
    <s v="C008"/>
    <x v="29"/>
    <s v="D033"/>
    <n v="2"/>
    <n v="236"/>
    <x v="0"/>
    <n v="118"/>
    <n v="142"/>
  </r>
  <r>
    <s v="O0500"/>
    <s v="2025-11-10"/>
    <s v="C035"/>
    <x v="91"/>
    <s v="D003"/>
    <n v="2"/>
    <n v="159"/>
    <x v="0"/>
    <n v="79.5"/>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3E24CB-502C-49B2-8B5E-A8BE1E1C01E6}" name="PivotTable1" cacheId="8"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6:D844" firstHeaderRow="0" firstDataRow="1" firstDataCol="1"/>
  <pivotFields count="10">
    <pivotField dataField="1" showAll="0"/>
    <pivotField showAll="0"/>
    <pivotField axis="axisRow" showAll="0">
      <items count="101">
        <item sd="0" x="13"/>
        <item sd="0" x="47"/>
        <item sd="0" x="60"/>
        <item sd="0" x="87"/>
        <item sd="0" x="29"/>
        <item sd="0" x="92"/>
        <item sd="0" x="75"/>
        <item sd="0" x="63"/>
        <item sd="0" x="98"/>
        <item sd="0" x="37"/>
        <item sd="0" x="95"/>
        <item sd="0" x="80"/>
        <item sd="0" x="9"/>
        <item sd="0" x="67"/>
        <item sd="0" x="52"/>
        <item sd="0" x="0"/>
        <item sd="0" x="17"/>
        <item sd="0" x="61"/>
        <item sd="0" x="74"/>
        <item sd="0" x="66"/>
        <item sd="0" x="4"/>
        <item sd="0" x="90"/>
        <item sd="0" x="27"/>
        <item sd="0" x="50"/>
        <item sd="0" x="48"/>
        <item x="32"/>
        <item x="78"/>
        <item x="81"/>
        <item x="45"/>
        <item x="28"/>
        <item x="26"/>
        <item x="73"/>
        <item x="31"/>
        <item x="11"/>
        <item x="30"/>
        <item x="54"/>
        <item x="86"/>
        <item x="77"/>
        <item x="51"/>
        <item x="84"/>
        <item x="40"/>
        <item x="18"/>
        <item x="38"/>
        <item x="7"/>
        <item x="71"/>
        <item x="64"/>
        <item x="49"/>
        <item x="46"/>
        <item x="55"/>
        <item x="70"/>
        <item x="10"/>
        <item x="65"/>
        <item x="34"/>
        <item x="39"/>
        <item x="22"/>
        <item x="82"/>
        <item x="93"/>
        <item x="35"/>
        <item x="19"/>
        <item x="83"/>
        <item x="15"/>
        <item x="5"/>
        <item x="14"/>
        <item x="20"/>
        <item x="91"/>
        <item x="25"/>
        <item x="88"/>
        <item x="62"/>
        <item x="1"/>
        <item x="79"/>
        <item x="33"/>
        <item x="85"/>
        <item x="41"/>
        <item x="6"/>
        <item x="99"/>
        <item x="23"/>
        <item x="36"/>
        <item x="76"/>
        <item x="2"/>
        <item x="97"/>
        <item x="59"/>
        <item x="96"/>
        <item x="24"/>
        <item x="94"/>
        <item x="44"/>
        <item x="89"/>
        <item x="56"/>
        <item x="58"/>
        <item x="57"/>
        <item x="42"/>
        <item x="53"/>
        <item x="12"/>
        <item x="72"/>
        <item x="16"/>
        <item x="68"/>
        <item x="21"/>
        <item x="3"/>
        <item x="43"/>
        <item x="69"/>
        <item x="8"/>
        <item t="default"/>
      </items>
    </pivotField>
    <pivotField axis="axisRow" showAll="0">
      <items count="100">
        <item x="92"/>
        <item x="49"/>
        <item x="0"/>
        <item x="58"/>
        <item x="19"/>
        <item x="62"/>
        <item x="46"/>
        <item x="11"/>
        <item x="95"/>
        <item x="63"/>
        <item x="59"/>
        <item x="56"/>
        <item x="88"/>
        <item x="15"/>
        <item x="18"/>
        <item x="37"/>
        <item x="77"/>
        <item x="68"/>
        <item x="55"/>
        <item x="5"/>
        <item x="57"/>
        <item x="69"/>
        <item x="4"/>
        <item x="78"/>
        <item x="35"/>
        <item x="65"/>
        <item x="47"/>
        <item x="26"/>
        <item x="13"/>
        <item sd="0" x="14"/>
        <item x="71"/>
        <item x="23"/>
        <item x="31"/>
        <item x="32"/>
        <item x="67"/>
        <item x="72"/>
        <item x="48"/>
        <item x="97"/>
        <item x="52"/>
        <item x="87"/>
        <item x="79"/>
        <item x="22"/>
        <item x="89"/>
        <item x="85"/>
        <item x="93"/>
        <item x="30"/>
        <item x="34"/>
        <item x="73"/>
        <item x="9"/>
        <item x="98"/>
        <item x="29"/>
        <item x="25"/>
        <item x="8"/>
        <item x="75"/>
        <item x="80"/>
        <item x="42"/>
        <item x="64"/>
        <item x="90"/>
        <item x="2"/>
        <item x="82"/>
        <item x="16"/>
        <item x="44"/>
        <item x="86"/>
        <item x="66"/>
        <item x="61"/>
        <item x="81"/>
        <item x="41"/>
        <item x="54"/>
        <item x="84"/>
        <item x="60"/>
        <item x="6"/>
        <item x="10"/>
        <item x="3"/>
        <item x="20"/>
        <item x="24"/>
        <item x="12"/>
        <item x="94"/>
        <item x="83"/>
        <item x="51"/>
        <item x="50"/>
        <item x="70"/>
        <item x="53"/>
        <item x="76"/>
        <item x="28"/>
        <item x="43"/>
        <item x="17"/>
        <item x="39"/>
        <item x="45"/>
        <item x="33"/>
        <item x="96"/>
        <item x="40"/>
        <item x="27"/>
        <item x="36"/>
        <item x="7"/>
        <item x="91"/>
        <item x="1"/>
        <item x="21"/>
        <item x="38"/>
        <item x="74"/>
        <item t="default"/>
      </items>
    </pivotField>
    <pivotField showAll="0">
      <items count="51">
        <item x="1"/>
        <item x="25"/>
        <item x="16"/>
        <item x="11"/>
        <item x="41"/>
        <item x="43"/>
        <item x="22"/>
        <item x="29"/>
        <item x="6"/>
        <item x="8"/>
        <item x="44"/>
        <item x="49"/>
        <item x="42"/>
        <item x="48"/>
        <item x="2"/>
        <item x="21"/>
        <item x="23"/>
        <item x="15"/>
        <item x="35"/>
        <item x="37"/>
        <item x="32"/>
        <item x="27"/>
        <item x="7"/>
        <item x="26"/>
        <item x="18"/>
        <item x="47"/>
        <item x="20"/>
        <item x="38"/>
        <item x="13"/>
        <item x="9"/>
        <item x="4"/>
        <item x="24"/>
        <item x="30"/>
        <item x="5"/>
        <item x="17"/>
        <item x="19"/>
        <item x="36"/>
        <item x="39"/>
        <item x="14"/>
        <item x="28"/>
        <item x="45"/>
        <item x="3"/>
        <item x="46"/>
        <item x="0"/>
        <item x="31"/>
        <item x="34"/>
        <item x="12"/>
        <item x="33"/>
        <item x="10"/>
        <item x="40"/>
        <item t="default"/>
      </items>
    </pivotField>
    <pivotField dataField="1" showAll="0"/>
    <pivotField showAll="0"/>
    <pivotField axis="axisRow" showAll="0">
      <items count="3">
        <item x="1"/>
        <item x="0"/>
        <item t="default"/>
      </items>
    </pivotField>
    <pivotField showAll="0">
      <items count="234">
        <item x="227"/>
        <item x="186"/>
        <item x="158"/>
        <item x="24"/>
        <item x="132"/>
        <item x="83"/>
        <item x="96"/>
        <item x="157"/>
        <item x="200"/>
        <item x="59"/>
        <item x="98"/>
        <item x="171"/>
        <item x="50"/>
        <item x="97"/>
        <item x="111"/>
        <item x="131"/>
        <item x="201"/>
        <item x="41"/>
        <item x="34"/>
        <item x="166"/>
        <item x="128"/>
        <item x="60"/>
        <item x="91"/>
        <item x="114"/>
        <item x="1"/>
        <item x="118"/>
        <item x="53"/>
        <item x="107"/>
        <item x="8"/>
        <item x="124"/>
        <item x="206"/>
        <item x="205"/>
        <item x="44"/>
        <item x="144"/>
        <item x="225"/>
        <item x="20"/>
        <item x="179"/>
        <item x="47"/>
        <item x="210"/>
        <item x="231"/>
        <item x="141"/>
        <item x="31"/>
        <item x="102"/>
        <item x="162"/>
        <item x="71"/>
        <item x="5"/>
        <item x="183"/>
        <item x="156"/>
        <item x="43"/>
        <item x="112"/>
        <item x="204"/>
        <item x="127"/>
        <item x="155"/>
        <item x="173"/>
        <item x="113"/>
        <item x="90"/>
        <item x="177"/>
        <item x="0"/>
        <item x="37"/>
        <item x="153"/>
        <item x="26"/>
        <item x="87"/>
        <item x="10"/>
        <item x="73"/>
        <item x="32"/>
        <item x="101"/>
        <item x="75"/>
        <item x="164"/>
        <item x="167"/>
        <item x="109"/>
        <item x="180"/>
        <item x="199"/>
        <item x="229"/>
        <item x="174"/>
        <item x="82"/>
        <item x="100"/>
        <item x="198"/>
        <item x="221"/>
        <item x="106"/>
        <item x="27"/>
        <item x="77"/>
        <item x="115"/>
        <item x="230"/>
        <item x="25"/>
        <item x="175"/>
        <item x="232"/>
        <item x="104"/>
        <item x="122"/>
        <item x="42"/>
        <item x="123"/>
        <item x="21"/>
        <item x="139"/>
        <item x="46"/>
        <item x="33"/>
        <item x="81"/>
        <item x="133"/>
        <item x="172"/>
        <item x="19"/>
        <item x="85"/>
        <item x="143"/>
        <item x="88"/>
        <item x="202"/>
        <item x="119"/>
        <item x="72"/>
        <item x="185"/>
        <item x="22"/>
        <item x="216"/>
        <item x="147"/>
        <item x="89"/>
        <item x="211"/>
        <item x="92"/>
        <item x="116"/>
        <item x="181"/>
        <item x="160"/>
        <item x="224"/>
        <item x="65"/>
        <item x="209"/>
        <item x="12"/>
        <item x="55"/>
        <item x="52"/>
        <item x="9"/>
        <item x="197"/>
        <item x="58"/>
        <item x="138"/>
        <item x="142"/>
        <item x="214"/>
        <item x="134"/>
        <item x="16"/>
        <item x="196"/>
        <item x="208"/>
        <item x="222"/>
        <item x="218"/>
        <item x="136"/>
        <item x="130"/>
        <item x="35"/>
        <item x="67"/>
        <item x="151"/>
        <item x="2"/>
        <item x="145"/>
        <item x="152"/>
        <item x="70"/>
        <item x="103"/>
        <item x="213"/>
        <item x="95"/>
        <item x="110"/>
        <item x="191"/>
        <item x="117"/>
        <item x="182"/>
        <item x="29"/>
        <item x="190"/>
        <item x="84"/>
        <item x="193"/>
        <item x="6"/>
        <item x="4"/>
        <item x="105"/>
        <item x="150"/>
        <item x="45"/>
        <item x="154"/>
        <item x="215"/>
        <item x="219"/>
        <item x="62"/>
        <item x="148"/>
        <item x="135"/>
        <item x="223"/>
        <item x="217"/>
        <item x="30"/>
        <item x="176"/>
        <item x="184"/>
        <item x="108"/>
        <item x="7"/>
        <item x="99"/>
        <item x="74"/>
        <item x="86"/>
        <item x="192"/>
        <item x="149"/>
        <item x="168"/>
        <item x="125"/>
        <item x="3"/>
        <item x="137"/>
        <item x="66"/>
        <item x="226"/>
        <item x="68"/>
        <item x="195"/>
        <item x="63"/>
        <item x="78"/>
        <item x="126"/>
        <item x="80"/>
        <item x="228"/>
        <item x="64"/>
        <item x="54"/>
        <item x="15"/>
        <item x="36"/>
        <item x="161"/>
        <item x="79"/>
        <item x="159"/>
        <item x="129"/>
        <item x="48"/>
        <item x="212"/>
        <item x="56"/>
        <item x="69"/>
        <item x="51"/>
        <item x="120"/>
        <item x="207"/>
        <item x="203"/>
        <item x="38"/>
        <item x="178"/>
        <item x="28"/>
        <item x="163"/>
        <item x="140"/>
        <item x="18"/>
        <item x="17"/>
        <item x="165"/>
        <item x="14"/>
        <item x="187"/>
        <item x="146"/>
        <item x="49"/>
        <item x="13"/>
        <item x="40"/>
        <item x="61"/>
        <item x="76"/>
        <item x="189"/>
        <item x="194"/>
        <item x="11"/>
        <item x="23"/>
        <item x="94"/>
        <item x="39"/>
        <item x="169"/>
        <item x="121"/>
        <item x="188"/>
        <item x="170"/>
        <item x="57"/>
        <item x="220"/>
        <item x="93"/>
        <item t="default"/>
      </items>
    </pivotField>
    <pivotField dataField="1" showAll="0">
      <items count="338">
        <item x="306"/>
        <item x="296"/>
        <item x="109"/>
        <item x="335"/>
        <item x="229"/>
        <item x="127"/>
        <item x="106"/>
        <item x="112"/>
        <item x="249"/>
        <item x="92"/>
        <item x="34"/>
        <item x="187"/>
        <item x="151"/>
        <item x="268"/>
        <item x="303"/>
        <item x="49"/>
        <item x="144"/>
        <item x="286"/>
        <item x="331"/>
        <item x="136"/>
        <item x="251"/>
        <item x="295"/>
        <item x="228"/>
        <item x="279"/>
        <item x="44"/>
        <item x="245"/>
        <item x="324"/>
        <item x="333"/>
        <item x="61"/>
        <item x="62"/>
        <item x="336"/>
        <item x="292"/>
        <item x="290"/>
        <item x="264"/>
        <item x="231"/>
        <item x="85"/>
        <item x="280"/>
        <item x="308"/>
        <item x="41"/>
        <item x="240"/>
        <item x="260"/>
        <item x="95"/>
        <item x="332"/>
        <item x="305"/>
        <item x="128"/>
        <item x="288"/>
        <item x="23"/>
        <item x="223"/>
        <item x="19"/>
        <item x="56"/>
        <item x="252"/>
        <item x="168"/>
        <item x="257"/>
        <item x="52"/>
        <item x="1"/>
        <item x="213"/>
        <item x="110"/>
        <item x="123"/>
        <item x="232"/>
        <item x="287"/>
        <item x="233"/>
        <item x="84"/>
        <item x="166"/>
        <item x="82"/>
        <item x="33"/>
        <item x="31"/>
        <item x="239"/>
        <item x="322"/>
        <item x="192"/>
        <item x="169"/>
        <item x="7"/>
        <item x="102"/>
        <item x="171"/>
        <item x="143"/>
        <item x="132"/>
        <item x="30"/>
        <item x="183"/>
        <item x="11"/>
        <item x="220"/>
        <item x="72"/>
        <item x="76"/>
        <item x="302"/>
        <item x="167"/>
        <item x="262"/>
        <item x="330"/>
        <item x="96"/>
        <item x="100"/>
        <item x="284"/>
        <item x="261"/>
        <item x="0"/>
        <item x="88"/>
        <item x="259"/>
        <item x="18"/>
        <item x="225"/>
        <item x="120"/>
        <item x="150"/>
        <item x="278"/>
        <item x="146"/>
        <item x="312"/>
        <item x="20"/>
        <item x="137"/>
        <item x="78"/>
        <item x="310"/>
        <item x="294"/>
        <item x="2"/>
        <item x="158"/>
        <item x="326"/>
        <item x="199"/>
        <item x="307"/>
        <item x="57"/>
        <item x="80"/>
        <item x="204"/>
        <item x="218"/>
        <item x="224"/>
        <item x="214"/>
        <item x="77"/>
        <item x="26"/>
        <item x="197"/>
        <item x="126"/>
        <item x="97"/>
        <item x="75"/>
        <item x="43"/>
        <item x="135"/>
        <item x="237"/>
        <item x="142"/>
        <item x="154"/>
        <item x="37"/>
        <item x="320"/>
        <item x="334"/>
        <item x="301"/>
        <item x="162"/>
        <item x="298"/>
        <item x="25"/>
        <item x="314"/>
        <item x="51"/>
        <item x="140"/>
        <item x="254"/>
        <item x="270"/>
        <item x="89"/>
        <item x="281"/>
        <item x="185"/>
        <item x="46"/>
        <item x="219"/>
        <item x="108"/>
        <item x="68"/>
        <item x="176"/>
        <item x="186"/>
        <item x="130"/>
        <item x="325"/>
        <item x="24"/>
        <item x="114"/>
        <item x="152"/>
        <item x="172"/>
        <item x="131"/>
        <item x="321"/>
        <item x="64"/>
        <item x="258"/>
        <item x="58"/>
        <item x="91"/>
        <item x="182"/>
        <item x="299"/>
        <item x="273"/>
        <item x="21"/>
        <item x="17"/>
        <item x="138"/>
        <item x="79"/>
        <item x="216"/>
        <item x="36"/>
        <item x="180"/>
        <item x="244"/>
        <item x="9"/>
        <item x="179"/>
        <item x="327"/>
        <item x="174"/>
        <item x="87"/>
        <item x="209"/>
        <item x="53"/>
        <item x="104"/>
        <item x="149"/>
        <item x="300"/>
        <item x="67"/>
        <item x="121"/>
        <item x="189"/>
        <item x="196"/>
        <item x="269"/>
        <item h="1" x="178"/>
        <item x="265"/>
        <item x="119"/>
        <item x="234"/>
        <item x="153"/>
        <item x="217"/>
        <item x="83"/>
        <item x="42"/>
        <item x="105"/>
        <item x="27"/>
        <item x="246"/>
        <item x="221"/>
        <item x="165"/>
        <item x="116"/>
        <item x="173"/>
        <item x="133"/>
        <item x="134"/>
        <item x="125"/>
        <item x="226"/>
        <item x="211"/>
        <item x="236"/>
        <item x="200"/>
        <item x="170"/>
        <item x="98"/>
        <item x="255"/>
        <item x="315"/>
        <item x="318"/>
        <item x="215"/>
        <item x="195"/>
        <item x="141"/>
        <item x="65"/>
        <item x="304"/>
        <item x="111"/>
        <item x="15"/>
        <item x="309"/>
        <item x="329"/>
        <item x="175"/>
        <item x="156"/>
        <item x="222"/>
        <item x="157"/>
        <item x="35"/>
        <item x="60"/>
        <item x="69"/>
        <item x="266"/>
        <item x="184"/>
        <item x="274"/>
        <item x="113"/>
        <item x="230"/>
        <item x="243"/>
        <item x="70"/>
        <item x="159"/>
        <item x="148"/>
        <item x="205"/>
        <item x="13"/>
        <item x="4"/>
        <item x="66"/>
        <item x="99"/>
        <item x="40"/>
        <item x="235"/>
        <item x="323"/>
        <item x="276"/>
        <item x="283"/>
        <item x="90"/>
        <item x="8"/>
        <item x="145"/>
        <item x="253"/>
        <item x="71"/>
        <item x="177"/>
        <item x="275"/>
        <item x="12"/>
        <item x="164"/>
        <item x="74"/>
        <item x="93"/>
        <item x="107"/>
        <item x="63"/>
        <item x="118"/>
        <item x="227"/>
        <item x="291"/>
        <item x="161"/>
        <item x="28"/>
        <item x="139"/>
        <item x="5"/>
        <item x="115"/>
        <item x="248"/>
        <item x="103"/>
        <item x="10"/>
        <item x="317"/>
        <item x="3"/>
        <item x="191"/>
        <item x="293"/>
        <item x="181"/>
        <item x="256"/>
        <item x="59"/>
        <item x="117"/>
        <item x="45"/>
        <item x="241"/>
        <item x="50"/>
        <item x="311"/>
        <item x="263"/>
        <item x="285"/>
        <item x="328"/>
        <item x="201"/>
        <item x="73"/>
        <item x="250"/>
        <item x="207"/>
        <item x="282"/>
        <item x="32"/>
        <item x="198"/>
        <item x="14"/>
        <item x="316"/>
        <item x="163"/>
        <item x="38"/>
        <item x="297"/>
        <item x="194"/>
        <item x="39"/>
        <item x="313"/>
        <item x="122"/>
        <item x="54"/>
        <item x="160"/>
        <item x="247"/>
        <item x="29"/>
        <item x="319"/>
        <item x="6"/>
        <item x="190"/>
        <item x="271"/>
        <item x="212"/>
        <item x="242"/>
        <item x="202"/>
        <item x="188"/>
        <item x="86"/>
        <item x="210"/>
        <item x="81"/>
        <item x="94"/>
        <item x="124"/>
        <item x="47"/>
        <item x="277"/>
        <item x="16"/>
        <item x="203"/>
        <item x="48"/>
        <item x="129"/>
        <item x="55"/>
        <item x="208"/>
        <item x="22"/>
        <item x="206"/>
        <item x="147"/>
        <item x="155"/>
        <item x="289"/>
        <item x="267"/>
        <item x="101"/>
        <item x="238"/>
        <item x="272"/>
        <item x="193"/>
        <item t="default"/>
      </items>
    </pivotField>
  </pivotFields>
  <rowFields count="3">
    <field x="2"/>
    <field x="3"/>
    <field x="7"/>
  </rowFields>
  <rowItems count="838">
    <i>
      <x/>
    </i>
    <i>
      <x v="1"/>
    </i>
    <i>
      <x v="2"/>
    </i>
    <i>
      <x v="3"/>
    </i>
    <i>
      <x v="4"/>
    </i>
    <i>
      <x v="5"/>
    </i>
    <i>
      <x v="6"/>
    </i>
    <i>
      <x v="7"/>
    </i>
    <i>
      <x v="8"/>
    </i>
    <i>
      <x v="9"/>
    </i>
    <i>
      <x v="10"/>
    </i>
    <i>
      <x v="11"/>
    </i>
    <i>
      <x v="12"/>
    </i>
    <i>
      <x v="13"/>
    </i>
    <i>
      <x v="14"/>
    </i>
    <i>
      <x v="15"/>
    </i>
    <i>
      <x v="16"/>
    </i>
    <i>
      <x v="17"/>
    </i>
    <i>
      <x v="18"/>
    </i>
    <i>
      <x v="19"/>
    </i>
    <i>
      <x v="20"/>
    </i>
    <i>
      <x v="21"/>
    </i>
    <i>
      <x v="22"/>
    </i>
    <i>
      <x v="23"/>
    </i>
    <i>
      <x v="24"/>
    </i>
    <i>
      <x v="25"/>
    </i>
    <i r="1">
      <x v="20"/>
    </i>
    <i r="2">
      <x/>
    </i>
    <i r="1">
      <x v="54"/>
    </i>
    <i r="2">
      <x/>
    </i>
    <i r="1">
      <x v="55"/>
    </i>
    <i r="2">
      <x/>
    </i>
    <i r="1">
      <x v="60"/>
    </i>
    <i r="2">
      <x/>
    </i>
    <i r="1">
      <x v="73"/>
    </i>
    <i r="2">
      <x/>
    </i>
    <i r="1">
      <x v="78"/>
    </i>
    <i r="2">
      <x/>
    </i>
    <i r="1">
      <x v="88"/>
    </i>
    <i r="2">
      <x/>
    </i>
    <i>
      <x v="26"/>
    </i>
    <i r="1">
      <x v="6"/>
    </i>
    <i r="2">
      <x v="1"/>
    </i>
    <i r="1">
      <x v="20"/>
    </i>
    <i r="2">
      <x v="1"/>
    </i>
    <i r="1">
      <x v="77"/>
    </i>
    <i r="2">
      <x v="1"/>
    </i>
    <i r="1">
      <x v="80"/>
    </i>
    <i r="2">
      <x v="1"/>
    </i>
    <i r="1">
      <x v="91"/>
    </i>
    <i r="2">
      <x v="1"/>
    </i>
    <i r="1">
      <x v="95"/>
    </i>
    <i r="2">
      <x v="1"/>
    </i>
    <i>
      <x v="27"/>
    </i>
    <i r="1">
      <x v="22"/>
    </i>
    <i r="2">
      <x/>
    </i>
    <i r="1">
      <x v="63"/>
    </i>
    <i r="2">
      <x/>
    </i>
    <i>
      <x v="28"/>
    </i>
    <i r="1">
      <x/>
    </i>
    <i r="2">
      <x/>
    </i>
    <i r="1">
      <x v="55"/>
    </i>
    <i r="2">
      <x/>
    </i>
    <i r="1">
      <x v="56"/>
    </i>
    <i r="2">
      <x/>
    </i>
    <i r="1">
      <x v="94"/>
    </i>
    <i r="2">
      <x/>
    </i>
    <i>
      <x v="29"/>
    </i>
    <i r="1">
      <x v="34"/>
    </i>
    <i r="2">
      <x/>
    </i>
    <i r="1">
      <x v="39"/>
    </i>
    <i r="2">
      <x/>
    </i>
    <i r="1">
      <x v="46"/>
    </i>
    <i r="2">
      <x/>
    </i>
    <i r="1">
      <x v="73"/>
    </i>
    <i r="2">
      <x/>
    </i>
    <i r="1">
      <x v="74"/>
    </i>
    <i r="2">
      <x/>
    </i>
    <i r="1">
      <x v="80"/>
    </i>
    <i r="2">
      <x/>
    </i>
    <i r="1">
      <x v="84"/>
    </i>
    <i r="2">
      <x/>
    </i>
    <i r="1">
      <x v="97"/>
    </i>
    <i r="2">
      <x/>
    </i>
    <i>
      <x v="30"/>
    </i>
    <i r="1">
      <x v="11"/>
    </i>
    <i r="2">
      <x/>
    </i>
    <i r="1">
      <x v="31"/>
    </i>
    <i r="2">
      <x/>
    </i>
    <i r="1">
      <x v="32"/>
    </i>
    <i r="2">
      <x/>
    </i>
    <i r="1">
      <x v="50"/>
    </i>
    <i r="2">
      <x/>
    </i>
    <i r="1">
      <x v="64"/>
    </i>
    <i r="2">
      <x/>
    </i>
    <i r="1">
      <x v="81"/>
    </i>
    <i r="2">
      <x/>
    </i>
    <i>
      <x v="31"/>
    </i>
    <i r="1">
      <x v="1"/>
    </i>
    <i r="2">
      <x/>
    </i>
    <i r="1">
      <x v="2"/>
    </i>
    <i r="2">
      <x/>
    </i>
    <i r="1">
      <x v="12"/>
    </i>
    <i r="2">
      <x/>
    </i>
    <i r="1">
      <x v="24"/>
    </i>
    <i r="2">
      <x/>
    </i>
    <i r="1">
      <x v="35"/>
    </i>
    <i r="2">
      <x/>
    </i>
    <i r="1">
      <x v="55"/>
    </i>
    <i r="2">
      <x/>
    </i>
    <i>
      <x v="32"/>
    </i>
    <i r="1">
      <x v="11"/>
    </i>
    <i r="2">
      <x/>
    </i>
    <i r="1">
      <x v="33"/>
    </i>
    <i r="2">
      <x/>
    </i>
    <i r="1">
      <x v="96"/>
    </i>
    <i r="2">
      <x/>
    </i>
    <i>
      <x v="33"/>
    </i>
    <i r="1">
      <x v="15"/>
    </i>
    <i r="2">
      <x/>
    </i>
    <i r="1">
      <x v="16"/>
    </i>
    <i r="2">
      <x/>
    </i>
    <i r="1">
      <x v="52"/>
    </i>
    <i r="2">
      <x/>
    </i>
    <i r="1">
      <x v="71"/>
    </i>
    <i r="2">
      <x/>
    </i>
    <i r="1">
      <x v="88"/>
    </i>
    <i r="2">
      <x/>
    </i>
    <i>
      <x v="34"/>
    </i>
    <i r="1">
      <x v="32"/>
    </i>
    <i r="2">
      <x v="1"/>
    </i>
    <i r="1">
      <x v="66"/>
    </i>
    <i r="2">
      <x v="1"/>
    </i>
    <i r="1">
      <x v="82"/>
    </i>
    <i r="2">
      <x v="1"/>
    </i>
    <i r="1">
      <x v="83"/>
    </i>
    <i r="2">
      <x v="1"/>
    </i>
    <i r="1">
      <x v="87"/>
    </i>
    <i r="2">
      <x v="1"/>
    </i>
    <i r="1">
      <x v="94"/>
    </i>
    <i r="2">
      <x v="1"/>
    </i>
    <i>
      <x v="35"/>
    </i>
    <i r="1">
      <x v="28"/>
    </i>
    <i r="2">
      <x/>
    </i>
    <i r="1">
      <x v="48"/>
    </i>
    <i r="2">
      <x/>
    </i>
    <i r="1">
      <x v="60"/>
    </i>
    <i r="2">
      <x/>
    </i>
    <i r="1">
      <x v="64"/>
    </i>
    <i r="2">
      <x/>
    </i>
    <i r="1">
      <x v="84"/>
    </i>
    <i r="2">
      <x/>
    </i>
    <i r="1">
      <x v="85"/>
    </i>
    <i r="2">
      <x/>
    </i>
    <i r="1">
      <x v="98"/>
    </i>
    <i r="2">
      <x/>
    </i>
    <i>
      <x v="36"/>
    </i>
    <i r="1">
      <x v="7"/>
    </i>
    <i r="2">
      <x v="1"/>
    </i>
    <i r="1">
      <x v="29"/>
    </i>
    <i r="1">
      <x v="40"/>
    </i>
    <i r="2">
      <x v="1"/>
    </i>
    <i r="1">
      <x v="55"/>
    </i>
    <i r="2">
      <x v="1"/>
    </i>
    <i r="1">
      <x v="57"/>
    </i>
    <i r="2">
      <x v="1"/>
    </i>
    <i r="1">
      <x v="66"/>
    </i>
    <i r="2">
      <x v="1"/>
    </i>
    <i>
      <x v="37"/>
    </i>
    <i r="1">
      <x v="23"/>
    </i>
    <i r="2">
      <x v="1"/>
    </i>
    <i r="1">
      <x v="40"/>
    </i>
    <i r="2">
      <x v="1"/>
    </i>
    <i r="1">
      <x v="59"/>
    </i>
    <i r="2">
      <x v="1"/>
    </i>
    <i r="1">
      <x v="72"/>
    </i>
    <i r="2">
      <x v="1"/>
    </i>
    <i>
      <x v="38"/>
    </i>
    <i r="1">
      <x v="5"/>
    </i>
    <i r="2">
      <x v="1"/>
    </i>
    <i r="1">
      <x v="18"/>
    </i>
    <i r="2">
      <x v="1"/>
    </i>
    <i r="1">
      <x v="77"/>
    </i>
    <i r="2">
      <x v="1"/>
    </i>
    <i r="1">
      <x v="86"/>
    </i>
    <i r="2">
      <x v="1"/>
    </i>
    <i>
      <x v="39"/>
    </i>
    <i r="1">
      <x v="7"/>
    </i>
    <i r="2">
      <x/>
    </i>
    <i r="1">
      <x v="17"/>
    </i>
    <i r="2">
      <x/>
    </i>
    <i r="1">
      <x v="25"/>
    </i>
    <i r="2">
      <x/>
    </i>
    <i r="1">
      <x v="91"/>
    </i>
    <i r="2">
      <x/>
    </i>
    <i>
      <x v="40"/>
    </i>
    <i r="1">
      <x v="25"/>
    </i>
    <i r="2">
      <x/>
    </i>
    <i r="1">
      <x v="45"/>
    </i>
    <i r="2">
      <x/>
    </i>
    <i r="1">
      <x v="61"/>
    </i>
    <i r="2">
      <x/>
    </i>
    <i r="1">
      <x v="66"/>
    </i>
    <i r="2">
      <x/>
    </i>
    <i r="1">
      <x v="88"/>
    </i>
    <i r="2">
      <x/>
    </i>
    <i>
      <x v="41"/>
    </i>
    <i r="1">
      <x v="47"/>
    </i>
    <i r="2">
      <x v="1"/>
    </i>
    <i r="1">
      <x v="52"/>
    </i>
    <i r="2">
      <x v="1"/>
    </i>
    <i r="1">
      <x v="54"/>
    </i>
    <i r="2">
      <x v="1"/>
    </i>
    <i r="1">
      <x v="60"/>
    </i>
    <i r="2">
      <x v="1"/>
    </i>
    <i r="1">
      <x v="74"/>
    </i>
    <i r="2">
      <x v="1"/>
    </i>
    <i>
      <x v="42"/>
    </i>
    <i r="1">
      <x v="34"/>
    </i>
    <i r="2">
      <x v="1"/>
    </i>
    <i r="1">
      <x v="47"/>
    </i>
    <i r="2">
      <x v="1"/>
    </i>
    <i r="1">
      <x v="48"/>
    </i>
    <i r="2">
      <x v="1"/>
    </i>
    <i r="1">
      <x v="70"/>
    </i>
    <i r="2">
      <x v="1"/>
    </i>
    <i r="1">
      <x v="73"/>
    </i>
    <i r="2">
      <x v="1"/>
    </i>
    <i r="1">
      <x v="97"/>
    </i>
    <i r="2">
      <x v="1"/>
    </i>
    <i>
      <x v="43"/>
    </i>
    <i r="1">
      <x v="12"/>
    </i>
    <i r="2">
      <x/>
    </i>
    <i r="1">
      <x v="60"/>
    </i>
    <i r="2">
      <x/>
    </i>
    <i r="1">
      <x v="68"/>
    </i>
    <i r="2">
      <x/>
    </i>
    <i r="1">
      <x v="93"/>
    </i>
    <i r="2">
      <x/>
    </i>
    <i>
      <x v="44"/>
    </i>
    <i r="1">
      <x v="30"/>
    </i>
    <i r="2">
      <x v="1"/>
    </i>
    <i r="1">
      <x v="49"/>
    </i>
    <i r="2">
      <x v="1"/>
    </i>
    <i r="1">
      <x v="50"/>
    </i>
    <i r="2">
      <x v="1"/>
    </i>
    <i r="1">
      <x v="59"/>
    </i>
    <i r="2">
      <x v="1"/>
    </i>
    <i r="1">
      <x v="68"/>
    </i>
    <i r="2">
      <x v="1"/>
    </i>
    <i r="1">
      <x v="82"/>
    </i>
    <i r="2">
      <x v="1"/>
    </i>
    <i>
      <x v="45"/>
    </i>
    <i r="1">
      <x/>
    </i>
    <i r="2">
      <x v="1"/>
    </i>
    <i r="1">
      <x v="10"/>
    </i>
    <i r="2">
      <x v="1"/>
    </i>
    <i r="1">
      <x v="31"/>
    </i>
    <i r="2">
      <x v="1"/>
    </i>
    <i r="1">
      <x v="51"/>
    </i>
    <i r="2">
      <x v="1"/>
    </i>
    <i r="1">
      <x v="53"/>
    </i>
    <i r="2">
      <x v="1"/>
    </i>
    <i r="1">
      <x v="65"/>
    </i>
    <i r="2">
      <x v="1"/>
    </i>
    <i r="1">
      <x v="84"/>
    </i>
    <i r="2">
      <x v="1"/>
    </i>
    <i>
      <x v="46"/>
    </i>
    <i r="1">
      <x v="83"/>
    </i>
    <i r="2">
      <x/>
    </i>
    <i>
      <x v="47"/>
    </i>
    <i r="1">
      <x v="33"/>
    </i>
    <i r="2">
      <x/>
    </i>
    <i r="1">
      <x v="58"/>
    </i>
    <i r="2">
      <x/>
    </i>
    <i r="1">
      <x v="62"/>
    </i>
    <i r="2">
      <x/>
    </i>
    <i r="1">
      <x v="67"/>
    </i>
    <i r="2">
      <x/>
    </i>
    <i r="1">
      <x v="71"/>
    </i>
    <i r="2">
      <x/>
    </i>
    <i>
      <x v="48"/>
    </i>
    <i r="1">
      <x v="25"/>
    </i>
    <i r="2">
      <x v="1"/>
    </i>
    <i r="1">
      <x v="26"/>
    </i>
    <i r="2">
      <x v="1"/>
    </i>
    <i r="1">
      <x v="54"/>
    </i>
    <i r="2">
      <x v="1"/>
    </i>
    <i r="1">
      <x v="59"/>
    </i>
    <i r="2">
      <x v="1"/>
    </i>
    <i r="1">
      <x v="67"/>
    </i>
    <i r="2">
      <x v="1"/>
    </i>
    <i r="1">
      <x v="85"/>
    </i>
    <i r="2">
      <x v="1"/>
    </i>
    <i r="1">
      <x v="95"/>
    </i>
    <i r="2">
      <x v="1"/>
    </i>
    <i>
      <x v="49"/>
    </i>
    <i r="1">
      <x v="9"/>
    </i>
    <i r="2">
      <x v="1"/>
    </i>
    <i r="1">
      <x v="45"/>
    </i>
    <i r="2">
      <x v="1"/>
    </i>
    <i r="1">
      <x v="47"/>
    </i>
    <i r="2">
      <x v="1"/>
    </i>
    <i r="1">
      <x v="49"/>
    </i>
    <i r="2">
      <x v="1"/>
    </i>
    <i>
      <x v="50"/>
    </i>
    <i r="1">
      <x v="21"/>
    </i>
    <i r="2">
      <x v="1"/>
    </i>
    <i r="1">
      <x v="48"/>
    </i>
    <i r="2">
      <x v="1"/>
    </i>
    <i r="1">
      <x v="51"/>
    </i>
    <i r="2">
      <x v="1"/>
    </i>
    <i r="1">
      <x v="86"/>
    </i>
    <i r="2">
      <x v="1"/>
    </i>
    <i>
      <x v="51"/>
    </i>
    <i r="1">
      <x v="14"/>
    </i>
    <i r="2">
      <x/>
    </i>
    <i r="1">
      <x v="42"/>
    </i>
    <i r="2">
      <x/>
    </i>
    <i r="1">
      <x v="69"/>
    </i>
    <i r="2">
      <x/>
    </i>
    <i r="1">
      <x v="78"/>
    </i>
    <i r="2">
      <x/>
    </i>
    <i>
      <x v="52"/>
    </i>
    <i r="1">
      <x v="15"/>
    </i>
    <i r="2">
      <x v="1"/>
    </i>
    <i r="1">
      <x v="82"/>
    </i>
    <i r="2">
      <x v="1"/>
    </i>
    <i r="1">
      <x v="83"/>
    </i>
    <i r="2">
      <x v="1"/>
    </i>
    <i>
      <x v="53"/>
    </i>
    <i r="1">
      <x v="22"/>
    </i>
    <i r="2">
      <x/>
    </i>
    <i r="1">
      <x v="45"/>
    </i>
    <i r="2">
      <x/>
    </i>
    <i r="1">
      <x v="73"/>
    </i>
    <i r="2">
      <x/>
    </i>
    <i r="1">
      <x v="86"/>
    </i>
    <i r="2">
      <x/>
    </i>
    <i>
      <x v="54"/>
    </i>
    <i r="1">
      <x v="17"/>
    </i>
    <i r="2">
      <x/>
    </i>
    <i r="1">
      <x v="20"/>
    </i>
    <i r="2">
      <x/>
    </i>
    <i r="1">
      <x v="28"/>
    </i>
    <i r="2">
      <x/>
    </i>
    <i r="1">
      <x v="37"/>
    </i>
    <i r="2">
      <x/>
    </i>
    <i r="1">
      <x v="50"/>
    </i>
    <i r="2">
      <x/>
    </i>
    <i r="1">
      <x v="72"/>
    </i>
    <i r="2">
      <x/>
    </i>
    <i>
      <x v="55"/>
    </i>
    <i r="1">
      <x v="43"/>
    </i>
    <i r="2">
      <x/>
    </i>
    <i r="1">
      <x v="48"/>
    </i>
    <i r="2">
      <x/>
    </i>
    <i r="1">
      <x v="51"/>
    </i>
    <i r="2">
      <x/>
    </i>
    <i r="1">
      <x v="61"/>
    </i>
    <i r="2">
      <x/>
    </i>
    <i r="1">
      <x v="90"/>
    </i>
    <i r="2">
      <x/>
    </i>
    <i>
      <x v="56"/>
    </i>
    <i r="1">
      <x v="19"/>
    </i>
    <i r="2">
      <x v="1"/>
    </i>
    <i r="1">
      <x v="53"/>
    </i>
    <i r="2">
      <x v="1"/>
    </i>
    <i r="1">
      <x v="63"/>
    </i>
    <i r="2">
      <x v="1"/>
    </i>
    <i r="1">
      <x v="65"/>
    </i>
    <i r="2">
      <x v="1"/>
    </i>
    <i r="1">
      <x v="76"/>
    </i>
    <i r="2">
      <x v="1"/>
    </i>
    <i>
      <x v="57"/>
    </i>
    <i r="1">
      <x v="17"/>
    </i>
    <i r="2">
      <x v="1"/>
    </i>
    <i r="1">
      <x v="22"/>
    </i>
    <i r="2">
      <x v="1"/>
    </i>
    <i r="1">
      <x v="65"/>
    </i>
    <i r="2">
      <x v="1"/>
    </i>
    <i r="1">
      <x v="68"/>
    </i>
    <i r="2">
      <x v="1"/>
    </i>
    <i r="1">
      <x v="92"/>
    </i>
    <i r="2">
      <x v="1"/>
    </i>
    <i>
      <x v="58"/>
    </i>
    <i r="1">
      <x v="39"/>
    </i>
    <i r="2">
      <x v="1"/>
    </i>
    <i r="1">
      <x v="54"/>
    </i>
    <i r="2">
      <x v="1"/>
    </i>
    <i r="1">
      <x v="66"/>
    </i>
    <i r="2">
      <x v="1"/>
    </i>
    <i r="1">
      <x v="76"/>
    </i>
    <i r="2">
      <x v="1"/>
    </i>
    <i r="1">
      <x v="79"/>
    </i>
    <i r="2">
      <x v="1"/>
    </i>
    <i r="1">
      <x v="81"/>
    </i>
    <i r="2">
      <x v="1"/>
    </i>
    <i r="1">
      <x v="83"/>
    </i>
    <i r="2">
      <x v="1"/>
    </i>
    <i r="1">
      <x v="85"/>
    </i>
    <i r="2">
      <x v="1"/>
    </i>
    <i>
      <x v="59"/>
    </i>
    <i r="1">
      <x v="10"/>
    </i>
    <i r="2">
      <x/>
    </i>
    <i r="1">
      <x v="13"/>
    </i>
    <i r="2">
      <x/>
    </i>
    <i r="1">
      <x v="43"/>
    </i>
    <i r="2">
      <x/>
    </i>
    <i>
      <x v="60"/>
    </i>
    <i r="1">
      <x v="7"/>
    </i>
    <i r="2">
      <x/>
    </i>
    <i r="1">
      <x v="15"/>
    </i>
    <i r="2">
      <x/>
    </i>
    <i r="1">
      <x v="16"/>
    </i>
    <i r="2">
      <x/>
    </i>
    <i r="1">
      <x v="21"/>
    </i>
    <i r="2">
      <x/>
    </i>
    <i r="1">
      <x v="28"/>
    </i>
    <i r="2">
      <x/>
    </i>
    <i r="1">
      <x v="32"/>
    </i>
    <i r="2">
      <x/>
    </i>
    <i r="1">
      <x v="42"/>
    </i>
    <i r="2">
      <x/>
    </i>
    <i r="1">
      <x v="89"/>
    </i>
    <i r="2">
      <x/>
    </i>
    <i r="1">
      <x v="92"/>
    </i>
    <i r="2">
      <x/>
    </i>
    <i>
      <x v="61"/>
    </i>
    <i r="1">
      <x v="19"/>
    </i>
    <i r="2">
      <x v="1"/>
    </i>
    <i r="1">
      <x v="24"/>
    </i>
    <i r="2">
      <x v="1"/>
    </i>
    <i r="1">
      <x v="27"/>
    </i>
    <i r="2">
      <x v="1"/>
    </i>
    <i r="1">
      <x v="50"/>
    </i>
    <i r="2">
      <x v="1"/>
    </i>
    <i r="1">
      <x v="56"/>
    </i>
    <i r="2">
      <x v="1"/>
    </i>
    <i r="1">
      <x v="60"/>
    </i>
    <i r="2">
      <x v="1"/>
    </i>
    <i r="1">
      <x v="62"/>
    </i>
    <i r="2">
      <x v="1"/>
    </i>
    <i>
      <x v="62"/>
    </i>
    <i r="1">
      <x v="3"/>
    </i>
    <i r="2">
      <x/>
    </i>
    <i r="1">
      <x v="19"/>
    </i>
    <i r="2">
      <x/>
    </i>
    <i r="1">
      <x v="33"/>
    </i>
    <i r="2">
      <x/>
    </i>
    <i r="1">
      <x v="82"/>
    </i>
    <i r="2">
      <x/>
    </i>
    <i r="1">
      <x v="93"/>
    </i>
    <i r="2">
      <x/>
    </i>
    <i>
      <x v="63"/>
    </i>
    <i r="1">
      <x v="5"/>
    </i>
    <i r="2">
      <x v="1"/>
    </i>
    <i r="1">
      <x v="19"/>
    </i>
    <i r="2">
      <x v="1"/>
    </i>
    <i r="1">
      <x v="32"/>
    </i>
    <i r="2">
      <x v="1"/>
    </i>
    <i r="1">
      <x v="62"/>
    </i>
    <i r="2">
      <x v="1"/>
    </i>
    <i r="1">
      <x v="74"/>
    </i>
    <i r="2">
      <x v="1"/>
    </i>
    <i>
      <x v="64"/>
    </i>
    <i r="1">
      <x v="22"/>
    </i>
    <i r="2">
      <x/>
    </i>
    <i r="1">
      <x v="25"/>
    </i>
    <i r="2">
      <x/>
    </i>
    <i r="1">
      <x v="30"/>
    </i>
    <i r="2">
      <x/>
    </i>
    <i r="1">
      <x v="35"/>
    </i>
    <i r="2">
      <x/>
    </i>
    <i r="1">
      <x v="44"/>
    </i>
    <i r="2">
      <x/>
    </i>
    <i r="1">
      <x v="95"/>
    </i>
    <i r="2">
      <x/>
    </i>
    <i r="1">
      <x v="98"/>
    </i>
    <i r="2">
      <x/>
    </i>
    <i>
      <x v="65"/>
    </i>
    <i r="1">
      <x v="7"/>
    </i>
    <i r="2">
      <x v="1"/>
    </i>
    <i r="1">
      <x v="41"/>
    </i>
    <i r="2">
      <x v="1"/>
    </i>
    <i r="1">
      <x v="63"/>
    </i>
    <i r="2">
      <x v="1"/>
    </i>
    <i>
      <x v="66"/>
    </i>
    <i r="1">
      <x v="78"/>
    </i>
    <i r="2">
      <x v="1"/>
    </i>
    <i>
      <x v="67"/>
    </i>
    <i r="1">
      <x/>
    </i>
    <i r="2">
      <x/>
    </i>
    <i r="1">
      <x v="50"/>
    </i>
    <i r="2">
      <x/>
    </i>
    <i r="1">
      <x v="55"/>
    </i>
    <i r="2">
      <x/>
    </i>
    <i r="1">
      <x v="57"/>
    </i>
    <i r="2">
      <x/>
    </i>
    <i r="1">
      <x v="70"/>
    </i>
    <i r="2">
      <x/>
    </i>
    <i>
      <x v="68"/>
    </i>
    <i r="1">
      <x v="87"/>
    </i>
    <i r="2">
      <x v="1"/>
    </i>
    <i r="1">
      <x v="95"/>
    </i>
    <i r="2">
      <x v="1"/>
    </i>
    <i r="1">
      <x v="96"/>
    </i>
    <i r="2">
      <x v="1"/>
    </i>
    <i>
      <x v="69"/>
    </i>
    <i r="1">
      <x v="15"/>
    </i>
    <i r="2">
      <x v="1"/>
    </i>
    <i r="1">
      <x v="17"/>
    </i>
    <i r="2">
      <x v="1"/>
    </i>
    <i r="1">
      <x v="65"/>
    </i>
    <i r="2">
      <x v="1"/>
    </i>
    <i r="1">
      <x v="77"/>
    </i>
    <i r="2">
      <x v="1"/>
    </i>
    <i r="1">
      <x v="94"/>
    </i>
    <i r="2">
      <x v="1"/>
    </i>
    <i>
      <x v="70"/>
    </i>
    <i r="1">
      <x v="9"/>
    </i>
    <i r="2">
      <x v="1"/>
    </i>
    <i r="1">
      <x v="22"/>
    </i>
    <i r="2">
      <x v="1"/>
    </i>
    <i r="1">
      <x v="57"/>
    </i>
    <i r="2">
      <x v="1"/>
    </i>
    <i r="1">
      <x v="72"/>
    </i>
    <i r="2">
      <x v="1"/>
    </i>
    <i r="1">
      <x v="73"/>
    </i>
    <i r="2">
      <x v="1"/>
    </i>
    <i r="1">
      <x v="78"/>
    </i>
    <i r="2">
      <x v="1"/>
    </i>
    <i r="1">
      <x v="93"/>
    </i>
    <i r="2">
      <x v="1"/>
    </i>
    <i>
      <x v="71"/>
    </i>
    <i r="1">
      <x v="66"/>
    </i>
    <i r="2">
      <x/>
    </i>
    <i r="1">
      <x v="67"/>
    </i>
    <i r="2">
      <x/>
    </i>
    <i r="1">
      <x v="97"/>
    </i>
    <i r="2">
      <x/>
    </i>
    <i>
      <x v="72"/>
    </i>
    <i r="1">
      <x v="31"/>
    </i>
    <i r="2">
      <x v="1"/>
    </i>
    <i r="1">
      <x v="58"/>
    </i>
    <i r="2">
      <x v="1"/>
    </i>
    <i r="1">
      <x v="82"/>
    </i>
    <i r="2">
      <x v="1"/>
    </i>
    <i>
      <x v="73"/>
    </i>
    <i r="1">
      <x v="70"/>
    </i>
    <i r="2">
      <x/>
    </i>
    <i r="1">
      <x v="91"/>
    </i>
    <i r="2">
      <x/>
    </i>
    <i r="1">
      <x v="94"/>
    </i>
    <i r="2">
      <x/>
    </i>
    <i>
      <x v="74"/>
    </i>
    <i r="1">
      <x v="62"/>
    </i>
    <i r="2">
      <x v="1"/>
    </i>
    <i>
      <x v="75"/>
    </i>
    <i r="1">
      <x v="2"/>
    </i>
    <i r="2">
      <x v="1"/>
    </i>
    <i r="1">
      <x v="4"/>
    </i>
    <i r="2">
      <x v="1"/>
    </i>
    <i r="1">
      <x v="10"/>
    </i>
    <i r="2">
      <x v="1"/>
    </i>
    <i r="1">
      <x v="31"/>
    </i>
    <i r="2">
      <x v="1"/>
    </i>
    <i r="1">
      <x v="68"/>
    </i>
    <i r="2">
      <x v="1"/>
    </i>
    <i r="1">
      <x v="79"/>
    </i>
    <i r="2">
      <x v="1"/>
    </i>
    <i>
      <x v="76"/>
    </i>
    <i r="1">
      <x v="6"/>
    </i>
    <i r="2">
      <x/>
    </i>
    <i r="1">
      <x v="13"/>
    </i>
    <i r="2">
      <x/>
    </i>
    <i r="1">
      <x v="31"/>
    </i>
    <i r="2">
      <x/>
    </i>
    <i r="1">
      <x v="53"/>
    </i>
    <i r="2">
      <x/>
    </i>
    <i>
      <x v="77"/>
    </i>
    <i r="1">
      <x v="63"/>
    </i>
    <i r="2">
      <x/>
    </i>
    <i r="1">
      <x v="69"/>
    </i>
    <i r="2">
      <x/>
    </i>
    <i r="1">
      <x v="97"/>
    </i>
    <i r="2">
      <x/>
    </i>
    <i>
      <x v="78"/>
    </i>
    <i r="1">
      <x v="29"/>
    </i>
    <i r="1">
      <x v="32"/>
    </i>
    <i r="2">
      <x/>
    </i>
    <i r="1">
      <x v="38"/>
    </i>
    <i r="2">
      <x/>
    </i>
    <i r="1">
      <x v="58"/>
    </i>
    <i r="2">
      <x/>
    </i>
    <i>
      <x v="79"/>
    </i>
    <i r="1">
      <x v="7"/>
    </i>
    <i r="2">
      <x/>
    </i>
    <i r="1">
      <x v="66"/>
    </i>
    <i r="2">
      <x/>
    </i>
    <i r="1">
      <x v="89"/>
    </i>
    <i r="2">
      <x/>
    </i>
    <i>
      <x v="80"/>
    </i>
    <i r="1">
      <x v="35"/>
    </i>
    <i r="2">
      <x v="1"/>
    </i>
    <i r="1">
      <x v="50"/>
    </i>
    <i r="2">
      <x v="1"/>
    </i>
    <i r="1">
      <x v="77"/>
    </i>
    <i r="2">
      <x v="1"/>
    </i>
    <i r="1">
      <x v="96"/>
    </i>
    <i r="2">
      <x v="1"/>
    </i>
    <i>
      <x v="81"/>
    </i>
    <i r="1">
      <x/>
    </i>
    <i r="2">
      <x v="1"/>
    </i>
    <i>
      <x v="82"/>
    </i>
    <i r="1">
      <x v="43"/>
    </i>
    <i r="2">
      <x v="1"/>
    </i>
    <i r="1">
      <x v="46"/>
    </i>
    <i r="2">
      <x v="1"/>
    </i>
    <i r="1">
      <x v="53"/>
    </i>
    <i r="2">
      <x v="1"/>
    </i>
    <i r="1">
      <x v="83"/>
    </i>
    <i r="2">
      <x v="1"/>
    </i>
    <i r="1">
      <x v="92"/>
    </i>
    <i r="2">
      <x v="1"/>
    </i>
    <i r="1">
      <x v="96"/>
    </i>
    <i r="2">
      <x v="1"/>
    </i>
    <i>
      <x v="83"/>
    </i>
    <i r="1">
      <x v="13"/>
    </i>
    <i r="2">
      <x v="1"/>
    </i>
    <i r="1">
      <x v="32"/>
    </i>
    <i r="2">
      <x v="1"/>
    </i>
    <i r="1">
      <x v="77"/>
    </i>
    <i r="2">
      <x v="1"/>
    </i>
    <i>
      <x v="84"/>
    </i>
    <i r="1">
      <x v="13"/>
    </i>
    <i r="2">
      <x v="1"/>
    </i>
    <i r="1">
      <x v="84"/>
    </i>
    <i r="2">
      <x v="1"/>
    </i>
    <i r="1">
      <x v="86"/>
    </i>
    <i r="2">
      <x v="1"/>
    </i>
    <i>
      <x v="85"/>
    </i>
    <i r="1">
      <x v="12"/>
    </i>
    <i r="2">
      <x/>
    </i>
    <i r="1">
      <x v="37"/>
    </i>
    <i r="2">
      <x/>
    </i>
    <i r="1">
      <x v="43"/>
    </i>
    <i r="2">
      <x/>
    </i>
    <i r="1">
      <x v="63"/>
    </i>
    <i r="2">
      <x/>
    </i>
    <i>
      <x v="86"/>
    </i>
    <i r="1">
      <x v="10"/>
    </i>
    <i r="2">
      <x/>
    </i>
    <i r="1">
      <x v="13"/>
    </i>
    <i r="2">
      <x/>
    </i>
    <i r="1">
      <x v="54"/>
    </i>
    <i r="2">
      <x/>
    </i>
    <i>
      <x v="87"/>
    </i>
    <i r="1">
      <x v="4"/>
    </i>
    <i r="2">
      <x/>
    </i>
    <i r="1">
      <x v="36"/>
    </i>
    <i r="2">
      <x/>
    </i>
    <i r="1">
      <x v="42"/>
    </i>
    <i r="2">
      <x/>
    </i>
    <i r="1">
      <x v="46"/>
    </i>
    <i r="2">
      <x/>
    </i>
    <i r="1">
      <x v="48"/>
    </i>
    <i r="2">
      <x/>
    </i>
    <i r="1">
      <x v="56"/>
    </i>
    <i r="2">
      <x/>
    </i>
    <i r="1">
      <x v="95"/>
    </i>
    <i r="2">
      <x/>
    </i>
    <i>
      <x v="88"/>
    </i>
    <i r="1">
      <x v="26"/>
    </i>
    <i r="2">
      <x/>
    </i>
    <i r="1">
      <x v="61"/>
    </i>
    <i r="2">
      <x/>
    </i>
    <i r="1">
      <x v="73"/>
    </i>
    <i r="2">
      <x/>
    </i>
    <i>
      <x v="89"/>
    </i>
    <i r="1">
      <x v="16"/>
    </i>
    <i r="2">
      <x/>
    </i>
    <i r="1">
      <x v="55"/>
    </i>
    <i r="2">
      <x/>
    </i>
    <i r="1">
      <x v="64"/>
    </i>
    <i r="2">
      <x/>
    </i>
    <i>
      <x v="90"/>
    </i>
    <i r="1">
      <x v="6"/>
    </i>
    <i r="2">
      <x/>
    </i>
    <i r="1">
      <x v="8"/>
    </i>
    <i r="2">
      <x/>
    </i>
    <i r="1">
      <x v="35"/>
    </i>
    <i r="2">
      <x/>
    </i>
    <i r="1">
      <x v="41"/>
    </i>
    <i r="2">
      <x/>
    </i>
    <i r="1">
      <x v="43"/>
    </i>
    <i r="2">
      <x/>
    </i>
    <i r="1">
      <x v="55"/>
    </i>
    <i r="2">
      <x/>
    </i>
    <i>
      <x v="91"/>
    </i>
    <i r="1">
      <x v="7"/>
    </i>
    <i r="2">
      <x/>
    </i>
    <i r="1">
      <x v="18"/>
    </i>
    <i r="2">
      <x/>
    </i>
    <i r="1">
      <x v="46"/>
    </i>
    <i r="2">
      <x/>
    </i>
    <i r="1">
      <x v="50"/>
    </i>
    <i r="2">
      <x/>
    </i>
    <i r="1">
      <x v="81"/>
    </i>
    <i r="2">
      <x/>
    </i>
    <i r="1">
      <x v="98"/>
    </i>
    <i r="2">
      <x/>
    </i>
    <i>
      <x v="92"/>
    </i>
    <i r="1">
      <x v="14"/>
    </i>
    <i r="2">
      <x v="1"/>
    </i>
    <i r="1">
      <x v="34"/>
    </i>
    <i r="2">
      <x v="1"/>
    </i>
    <i r="1">
      <x v="60"/>
    </i>
    <i r="2">
      <x v="1"/>
    </i>
    <i r="1">
      <x v="65"/>
    </i>
    <i r="2">
      <x v="1"/>
    </i>
    <i r="1">
      <x v="78"/>
    </i>
    <i r="2">
      <x v="1"/>
    </i>
    <i r="1">
      <x v="91"/>
    </i>
    <i r="2">
      <x v="1"/>
    </i>
    <i r="1">
      <x v="95"/>
    </i>
    <i r="2">
      <x v="1"/>
    </i>
    <i r="1">
      <x v="96"/>
    </i>
    <i r="2">
      <x v="1"/>
    </i>
    <i r="1">
      <x v="98"/>
    </i>
    <i r="2">
      <x v="1"/>
    </i>
    <i>
      <x v="93"/>
    </i>
    <i r="1">
      <x v="6"/>
    </i>
    <i r="2">
      <x/>
    </i>
    <i r="1">
      <x v="15"/>
    </i>
    <i r="2">
      <x/>
    </i>
    <i r="1">
      <x v="17"/>
    </i>
    <i r="2">
      <x/>
    </i>
    <i r="1">
      <x v="19"/>
    </i>
    <i r="2">
      <x/>
    </i>
    <i r="1">
      <x v="26"/>
    </i>
    <i r="2">
      <x/>
    </i>
    <i r="1">
      <x v="57"/>
    </i>
    <i r="2">
      <x/>
    </i>
    <i r="1">
      <x v="59"/>
    </i>
    <i r="2">
      <x/>
    </i>
    <i>
      <x v="94"/>
    </i>
    <i r="1">
      <x v="17"/>
    </i>
    <i r="2">
      <x v="1"/>
    </i>
    <i r="1">
      <x v="34"/>
    </i>
    <i r="2">
      <x v="1"/>
    </i>
    <i r="1">
      <x v="41"/>
    </i>
    <i r="2">
      <x v="1"/>
    </i>
    <i r="1">
      <x v="43"/>
    </i>
    <i r="2">
      <x v="1"/>
    </i>
    <i r="1">
      <x v="45"/>
    </i>
    <i r="2">
      <x v="1"/>
    </i>
    <i r="1">
      <x v="52"/>
    </i>
    <i r="2">
      <x v="1"/>
    </i>
    <i r="1">
      <x v="64"/>
    </i>
    <i r="2">
      <x v="1"/>
    </i>
    <i r="1">
      <x v="71"/>
    </i>
    <i r="2">
      <x v="1"/>
    </i>
    <i>
      <x v="95"/>
    </i>
    <i r="1">
      <x v="14"/>
    </i>
    <i r="2">
      <x/>
    </i>
    <i r="1">
      <x v="24"/>
    </i>
    <i r="2">
      <x/>
    </i>
    <i r="1">
      <x v="26"/>
    </i>
    <i r="2">
      <x/>
    </i>
    <i r="1">
      <x v="29"/>
    </i>
    <i r="1">
      <x v="34"/>
    </i>
    <i r="2">
      <x/>
    </i>
    <i r="1">
      <x v="66"/>
    </i>
    <i r="2">
      <x/>
    </i>
    <i r="1">
      <x v="67"/>
    </i>
    <i r="2">
      <x/>
    </i>
    <i r="1">
      <x v="91"/>
    </i>
    <i r="2">
      <x/>
    </i>
    <i>
      <x v="96"/>
    </i>
    <i r="1">
      <x v="6"/>
    </i>
    <i r="2">
      <x/>
    </i>
    <i r="1">
      <x v="18"/>
    </i>
    <i r="2">
      <x/>
    </i>
    <i r="1">
      <x v="21"/>
    </i>
    <i r="2">
      <x/>
    </i>
    <i r="1">
      <x v="38"/>
    </i>
    <i r="2">
      <x/>
    </i>
    <i r="1">
      <x v="46"/>
    </i>
    <i r="2">
      <x/>
    </i>
    <i r="1">
      <x v="64"/>
    </i>
    <i r="2">
      <x/>
    </i>
    <i r="1">
      <x v="72"/>
    </i>
    <i r="2">
      <x/>
    </i>
    <i r="1">
      <x v="90"/>
    </i>
    <i r="2">
      <x/>
    </i>
    <i>
      <x v="97"/>
    </i>
    <i r="1">
      <x v="14"/>
    </i>
    <i r="2">
      <x v="1"/>
    </i>
    <i r="1">
      <x v="15"/>
    </i>
    <i r="2">
      <x v="1"/>
    </i>
    <i r="1">
      <x v="28"/>
    </i>
    <i r="2">
      <x v="1"/>
    </i>
    <i r="1">
      <x v="46"/>
    </i>
    <i r="2">
      <x v="1"/>
    </i>
    <i r="1">
      <x v="95"/>
    </i>
    <i r="2">
      <x v="1"/>
    </i>
    <i>
      <x v="98"/>
    </i>
    <i r="1">
      <x v="14"/>
    </i>
    <i r="2">
      <x v="1"/>
    </i>
    <i r="1">
      <x v="31"/>
    </i>
    <i r="2">
      <x v="1"/>
    </i>
    <i r="1">
      <x v="44"/>
    </i>
    <i r="2">
      <x v="1"/>
    </i>
    <i r="1">
      <x v="54"/>
    </i>
    <i r="2">
      <x v="1"/>
    </i>
    <i r="1">
      <x v="75"/>
    </i>
    <i r="2">
      <x v="1"/>
    </i>
    <i r="1">
      <x v="97"/>
    </i>
    <i r="2">
      <x v="1"/>
    </i>
    <i>
      <x v="99"/>
    </i>
    <i r="1">
      <x v="11"/>
    </i>
    <i r="2">
      <x v="1"/>
    </i>
    <i r="1">
      <x v="35"/>
    </i>
    <i r="2">
      <x v="1"/>
    </i>
    <i r="1">
      <x v="47"/>
    </i>
    <i r="2">
      <x v="1"/>
    </i>
    <i r="1">
      <x v="51"/>
    </i>
    <i r="2">
      <x v="1"/>
    </i>
    <i r="1">
      <x v="52"/>
    </i>
    <i r="2">
      <x v="1"/>
    </i>
    <i r="1">
      <x v="53"/>
    </i>
    <i r="2">
      <x v="1"/>
    </i>
    <i r="1">
      <x v="55"/>
    </i>
    <i r="2">
      <x v="1"/>
    </i>
    <i r="1">
      <x v="98"/>
    </i>
    <i r="2">
      <x v="1"/>
    </i>
    <i t="grand">
      <x/>
    </i>
  </rowItems>
  <colFields count="1">
    <field x="-2"/>
  </colFields>
  <colItems count="3">
    <i>
      <x/>
    </i>
    <i i="1">
      <x v="1"/>
    </i>
    <i i="2">
      <x v="2"/>
    </i>
  </colItems>
  <dataFields count="3">
    <dataField name="Sum of Profit" fld="9" baseField="0" baseItem="0"/>
    <dataField name="Sum of Quantity" fld="5" baseField="0" baseItem="0"/>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6529AE-CB8A-4C6E-8C2B-940AFAAE71FC}" name="PivotTable6"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4:O104" firstHeaderRow="1" firstDataRow="1" firstDataCol="1"/>
  <pivotFields count="10">
    <pivotField showAll="0"/>
    <pivotField showAll="0"/>
    <pivotField showAll="0"/>
    <pivotField axis="axisRow" showAll="0">
      <items count="100">
        <item x="92"/>
        <item x="49"/>
        <item x="0"/>
        <item x="58"/>
        <item x="19"/>
        <item x="62"/>
        <item x="46"/>
        <item x="11"/>
        <item x="95"/>
        <item x="63"/>
        <item x="59"/>
        <item x="56"/>
        <item x="88"/>
        <item x="15"/>
        <item x="18"/>
        <item x="37"/>
        <item x="77"/>
        <item x="68"/>
        <item x="55"/>
        <item x="5"/>
        <item x="57"/>
        <item x="69"/>
        <item x="4"/>
        <item x="78"/>
        <item x="35"/>
        <item x="65"/>
        <item x="47"/>
        <item x="26"/>
        <item x="13"/>
        <item x="14"/>
        <item x="71"/>
        <item x="23"/>
        <item x="31"/>
        <item x="32"/>
        <item x="67"/>
        <item x="72"/>
        <item x="48"/>
        <item x="97"/>
        <item x="52"/>
        <item x="87"/>
        <item x="79"/>
        <item x="22"/>
        <item x="89"/>
        <item x="85"/>
        <item x="93"/>
        <item x="30"/>
        <item x="34"/>
        <item x="73"/>
        <item x="9"/>
        <item x="98"/>
        <item x="29"/>
        <item x="25"/>
        <item x="8"/>
        <item x="75"/>
        <item x="80"/>
        <item x="42"/>
        <item x="64"/>
        <item x="90"/>
        <item x="2"/>
        <item x="82"/>
        <item x="16"/>
        <item x="44"/>
        <item x="86"/>
        <item x="66"/>
        <item x="61"/>
        <item x="81"/>
        <item x="41"/>
        <item x="54"/>
        <item x="84"/>
        <item x="60"/>
        <item x="6"/>
        <item x="10"/>
        <item x="3"/>
        <item x="20"/>
        <item x="24"/>
        <item x="12"/>
        <item x="94"/>
        <item x="83"/>
        <item x="51"/>
        <item x="50"/>
        <item x="70"/>
        <item x="53"/>
        <item x="76"/>
        <item x="28"/>
        <item x="43"/>
        <item x="17"/>
        <item x="39"/>
        <item x="45"/>
        <item x="33"/>
        <item x="96"/>
        <item x="40"/>
        <item x="27"/>
        <item x="36"/>
        <item x="7"/>
        <item x="91"/>
        <item x="1"/>
        <item x="21"/>
        <item x="38"/>
        <item x="74"/>
        <item t="default"/>
      </items>
    </pivotField>
    <pivotField showAll="0"/>
    <pivotField showAll="0"/>
    <pivotField showAll="0"/>
    <pivotField showAll="0"/>
    <pivotField showAll="0"/>
    <pivotField dataField="1" showAll="0"/>
  </pivotFields>
  <rowFields count="1">
    <field x="3"/>
  </rowFields>
  <row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t="grand">
      <x/>
    </i>
  </rowItems>
  <colItems count="1">
    <i/>
  </colItems>
  <dataFields count="1">
    <dataField name="Sum of Profit" fld="9"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992D13-04E0-4BD8-B76A-1BE5EA3A6AEA}" name="PivotTable7"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5:M8" firstHeaderRow="1" firstDataRow="1" firstDataCol="1"/>
  <pivotFields count="10">
    <pivotField showAll="0"/>
    <pivotField showAll="0"/>
    <pivotField showAll="0"/>
    <pivotField showAll="0">
      <items count="100">
        <item x="92"/>
        <item x="49"/>
        <item x="0"/>
        <item x="58"/>
        <item x="19"/>
        <item x="62"/>
        <item x="46"/>
        <item x="11"/>
        <item x="95"/>
        <item x="63"/>
        <item x="59"/>
        <item x="56"/>
        <item x="88"/>
        <item x="15"/>
        <item x="18"/>
        <item x="37"/>
        <item x="77"/>
        <item x="68"/>
        <item x="55"/>
        <item x="5"/>
        <item x="57"/>
        <item x="69"/>
        <item x="4"/>
        <item x="78"/>
        <item x="35"/>
        <item x="65"/>
        <item x="47"/>
        <item x="26"/>
        <item x="13"/>
        <item x="14"/>
        <item x="71"/>
        <item x="23"/>
        <item x="31"/>
        <item x="32"/>
        <item x="67"/>
        <item x="72"/>
        <item x="48"/>
        <item x="97"/>
        <item x="52"/>
        <item x="87"/>
        <item x="79"/>
        <item x="22"/>
        <item x="89"/>
        <item x="85"/>
        <item x="93"/>
        <item x="30"/>
        <item x="34"/>
        <item x="73"/>
        <item x="9"/>
        <item x="98"/>
        <item x="29"/>
        <item x="25"/>
        <item x="8"/>
        <item x="75"/>
        <item x="80"/>
        <item x="42"/>
        <item x="64"/>
        <item x="90"/>
        <item x="2"/>
        <item x="82"/>
        <item x="16"/>
        <item x="44"/>
        <item x="86"/>
        <item x="66"/>
        <item x="61"/>
        <item x="81"/>
        <item x="41"/>
        <item x="54"/>
        <item x="84"/>
        <item x="60"/>
        <item x="6"/>
        <item x="10"/>
        <item x="3"/>
        <item x="20"/>
        <item x="24"/>
        <item x="12"/>
        <item x="94"/>
        <item x="83"/>
        <item x="51"/>
        <item x="50"/>
        <item x="70"/>
        <item x="53"/>
        <item x="76"/>
        <item x="28"/>
        <item x="43"/>
        <item x="17"/>
        <item x="39"/>
        <item x="45"/>
        <item x="33"/>
        <item x="96"/>
        <item x="40"/>
        <item x="27"/>
        <item x="36"/>
        <item x="7"/>
        <item x="91"/>
        <item x="1"/>
        <item x="21"/>
        <item x="38"/>
        <item x="74"/>
        <item t="default"/>
      </items>
    </pivotField>
    <pivotField showAll="0"/>
    <pivotField showAll="0"/>
    <pivotField showAll="0"/>
    <pivotField axis="axisRow" showAll="0">
      <items count="3">
        <item x="1"/>
        <item x="0"/>
        <item t="default"/>
      </items>
    </pivotField>
    <pivotField showAll="0"/>
    <pivotField dataField="1" showAll="0"/>
  </pivotFields>
  <rowFields count="1">
    <field x="7"/>
  </rowFields>
  <rowItems count="3">
    <i>
      <x/>
    </i>
    <i>
      <x v="1"/>
    </i>
    <i t="grand">
      <x/>
    </i>
  </rowItems>
  <colItems count="1">
    <i/>
  </colItems>
  <dataFields count="1">
    <dataField name="Sum of Profit" fld="9"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EE4802-47EA-4558-83ED-3B90EF6F936A}"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N4:O59" firstHeaderRow="1" firstDataRow="1" firstDataCol="1"/>
  <pivotFields count="14">
    <pivotField showAll="0"/>
    <pivotField showAll="0">
      <items count="2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t="default"/>
      </items>
    </pivotField>
    <pivotField axis="axisRow" numFmtId="14" showAll="0">
      <items count="296">
        <item x="100"/>
        <item x="73"/>
        <item x="62"/>
        <item x="84"/>
        <item x="259"/>
        <item x="26"/>
        <item x="15"/>
        <item x="231"/>
        <item x="44"/>
        <item x="76"/>
        <item x="125"/>
        <item x="250"/>
        <item x="27"/>
        <item x="86"/>
        <item x="208"/>
        <item x="245"/>
        <item x="87"/>
        <item x="252"/>
        <item x="179"/>
        <item x="271"/>
        <item x="149"/>
        <item x="158"/>
        <item x="40"/>
        <item x="162"/>
        <item x="246"/>
        <item x="77"/>
        <item x="7"/>
        <item x="235"/>
        <item x="130"/>
        <item x="107"/>
        <item x="260"/>
        <item x="194"/>
        <item x="80"/>
        <item x="265"/>
        <item x="282"/>
        <item x="82"/>
        <item x="127"/>
        <item x="150"/>
        <item x="211"/>
        <item x="39"/>
        <item x="283"/>
        <item x="254"/>
        <item x="60"/>
        <item x="103"/>
        <item x="292"/>
        <item x="8"/>
        <item x="59"/>
        <item x="196"/>
        <item x="94"/>
        <item x="28"/>
        <item x="197"/>
        <item x="52"/>
        <item x="78"/>
        <item x="244"/>
        <item x="6"/>
        <item x="137"/>
        <item x="61"/>
        <item x="169"/>
        <item x="167"/>
        <item x="255"/>
        <item x="145"/>
        <item x="90"/>
        <item x="35"/>
        <item x="56"/>
        <item x="163"/>
        <item x="198"/>
        <item x="4"/>
        <item x="242"/>
        <item x="20"/>
        <item x="214"/>
        <item x="277"/>
        <item x="97"/>
        <item x="34"/>
        <item x="136"/>
        <item x="189"/>
        <item x="75"/>
        <item x="161"/>
        <item x="121"/>
        <item x="228"/>
        <item x="109"/>
        <item x="291"/>
        <item x="46"/>
        <item x="57"/>
        <item x="72"/>
        <item x="219"/>
        <item x="172"/>
        <item x="37"/>
        <item x="222"/>
        <item x="129"/>
        <item x="112"/>
        <item x="67"/>
        <item x="248"/>
        <item x="25"/>
        <item x="11"/>
        <item x="274"/>
        <item x="289"/>
        <item x="221"/>
        <item x="156"/>
        <item x="47"/>
        <item x="49"/>
        <item x="13"/>
        <item x="65"/>
        <item x="157"/>
        <item x="270"/>
        <item x="218"/>
        <item x="165"/>
        <item x="142"/>
        <item x="186"/>
        <item x="188"/>
        <item x="106"/>
        <item x="232"/>
        <item x="224"/>
        <item x="105"/>
        <item x="261"/>
        <item x="148"/>
        <item x="226"/>
        <item x="64"/>
        <item x="33"/>
        <item x="216"/>
        <item x="215"/>
        <item x="30"/>
        <item x="166"/>
        <item x="275"/>
        <item x="110"/>
        <item x="256"/>
        <item x="133"/>
        <item x="16"/>
        <item x="135"/>
        <item x="55"/>
        <item x="220"/>
        <item x="3"/>
        <item x="237"/>
        <item x="111"/>
        <item x="53"/>
        <item x="1"/>
        <item x="202"/>
        <item x="2"/>
        <item x="230"/>
        <item x="143"/>
        <item x="258"/>
        <item x="281"/>
        <item x="201"/>
        <item x="66"/>
        <item x="85"/>
        <item x="147"/>
        <item x="117"/>
        <item x="203"/>
        <item x="115"/>
        <item x="98"/>
        <item x="17"/>
        <item x="184"/>
        <item x="42"/>
        <item x="45"/>
        <item x="104"/>
        <item x="273"/>
        <item x="269"/>
        <item x="83"/>
        <item x="12"/>
        <item x="182"/>
        <item x="91"/>
        <item x="152"/>
        <item x="170"/>
        <item x="175"/>
        <item x="29"/>
        <item x="238"/>
        <item x="116"/>
        <item x="236"/>
        <item x="74"/>
        <item x="276"/>
        <item x="122"/>
        <item x="18"/>
        <item x="153"/>
        <item x="264"/>
        <item x="38"/>
        <item x="119"/>
        <item x="193"/>
        <item x="88"/>
        <item x="5"/>
        <item x="171"/>
        <item x="144"/>
        <item x="180"/>
        <item x="263"/>
        <item x="253"/>
        <item x="210"/>
        <item x="101"/>
        <item x="200"/>
        <item x="63"/>
        <item x="21"/>
        <item x="287"/>
        <item x="124"/>
        <item x="195"/>
        <item x="50"/>
        <item x="14"/>
        <item x="168"/>
        <item x="183"/>
        <item x="268"/>
        <item x="251"/>
        <item x="140"/>
        <item x="10"/>
        <item x="199"/>
        <item x="138"/>
        <item x="181"/>
        <item x="139"/>
        <item x="187"/>
        <item x="132"/>
        <item x="229"/>
        <item x="185"/>
        <item x="284"/>
        <item x="209"/>
        <item x="113"/>
        <item x="118"/>
        <item x="247"/>
        <item x="164"/>
        <item x="95"/>
        <item x="9"/>
        <item x="79"/>
        <item x="155"/>
        <item x="176"/>
        <item x="108"/>
        <item x="178"/>
        <item x="240"/>
        <item x="174"/>
        <item x="54"/>
        <item x="206"/>
        <item x="160"/>
        <item x="24"/>
        <item x="239"/>
        <item x="280"/>
        <item x="241"/>
        <item x="294"/>
        <item x="114"/>
        <item x="141"/>
        <item x="288"/>
        <item x="159"/>
        <item x="249"/>
        <item x="205"/>
        <item x="41"/>
        <item x="23"/>
        <item x="267"/>
        <item x="192"/>
        <item x="0"/>
        <item x="146"/>
        <item x="266"/>
        <item x="213"/>
        <item x="177"/>
        <item x="278"/>
        <item x="71"/>
        <item x="212"/>
        <item x="225"/>
        <item x="151"/>
        <item x="43"/>
        <item x="120"/>
        <item x="123"/>
        <item x="128"/>
        <item x="48"/>
        <item x="293"/>
        <item x="134"/>
        <item x="19"/>
        <item x="51"/>
        <item x="190"/>
        <item x="96"/>
        <item x="36"/>
        <item x="58"/>
        <item x="262"/>
        <item x="89"/>
        <item x="92"/>
        <item x="32"/>
        <item x="223"/>
        <item x="279"/>
        <item x="93"/>
        <item x="290"/>
        <item x="81"/>
        <item x="233"/>
        <item x="243"/>
        <item x="207"/>
        <item x="173"/>
        <item x="272"/>
        <item x="69"/>
        <item x="234"/>
        <item x="285"/>
        <item x="22"/>
        <item x="131"/>
        <item x="99"/>
        <item x="102"/>
        <item x="217"/>
        <item x="68"/>
        <item x="257"/>
        <item x="204"/>
        <item x="286"/>
        <item x="191"/>
        <item x="31"/>
        <item x="227"/>
        <item x="70"/>
        <item x="126"/>
        <item x="154"/>
        <item t="default"/>
      </items>
    </pivotField>
    <pivotField showAll="0"/>
    <pivotField showAll="0"/>
    <pivotField showAll="0"/>
    <pivotField showAll="0"/>
    <pivotField showAll="0"/>
    <pivotField showAll="0"/>
    <pivotField showAll="0"/>
    <pivotField dataField="1" showAll="0"/>
    <pivotField axis="axisRow" showAll="0">
      <items count="15">
        <item sd="0" x="0"/>
        <item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5">
        <item sd="0" x="0"/>
        <item x="1"/>
        <item x="2"/>
        <item sd="0" x="3"/>
        <item t="default"/>
      </items>
    </pivotField>
  </pivotFields>
  <rowFields count="4">
    <field x="13"/>
    <field x="12"/>
    <field x="11"/>
    <field x="2"/>
  </rowFields>
  <rowItems count="55">
    <i>
      <x v="1"/>
    </i>
    <i r="1">
      <x v="1"/>
    </i>
    <i r="2">
      <x v="1"/>
    </i>
    <i r="3">
      <x/>
    </i>
    <i r="3">
      <x v="1"/>
    </i>
    <i r="3">
      <x v="2"/>
    </i>
    <i r="3">
      <x v="3"/>
    </i>
    <i r="3">
      <x v="4"/>
    </i>
    <i r="3">
      <x v="5"/>
    </i>
    <i r="3">
      <x v="6"/>
    </i>
    <i r="3">
      <x v="7"/>
    </i>
    <i r="3">
      <x v="8"/>
    </i>
    <i r="3">
      <x v="9"/>
    </i>
    <i r="3">
      <x v="10"/>
    </i>
    <i r="3">
      <x v="11"/>
    </i>
    <i r="3">
      <x v="12"/>
    </i>
    <i r="3">
      <x v="13"/>
    </i>
    <i r="3">
      <x v="14"/>
    </i>
    <i r="3">
      <x v="15"/>
    </i>
    <i r="3">
      <x v="16"/>
    </i>
    <i r="3">
      <x v="17"/>
    </i>
    <i r="3">
      <x v="18"/>
    </i>
    <i r="2">
      <x v="2"/>
    </i>
    <i r="2">
      <x v="3"/>
    </i>
    <i r="1">
      <x v="2"/>
    </i>
    <i r="1">
      <x v="3"/>
    </i>
    <i r="1">
      <x v="4"/>
    </i>
    <i>
      <x v="2"/>
    </i>
    <i r="1">
      <x v="1"/>
    </i>
    <i r="2">
      <x v="1"/>
    </i>
    <i r="3">
      <x v="268"/>
    </i>
    <i r="3">
      <x v="269"/>
    </i>
    <i r="3">
      <x v="270"/>
    </i>
    <i r="3">
      <x v="271"/>
    </i>
    <i r="3">
      <x v="272"/>
    </i>
    <i r="3">
      <x v="273"/>
    </i>
    <i r="3">
      <x v="274"/>
    </i>
    <i r="3">
      <x v="275"/>
    </i>
    <i r="3">
      <x v="276"/>
    </i>
    <i r="3">
      <x v="277"/>
    </i>
    <i r="3">
      <x v="278"/>
    </i>
    <i r="3">
      <x v="279"/>
    </i>
    <i r="3">
      <x v="280"/>
    </i>
    <i r="3">
      <x v="281"/>
    </i>
    <i r="3">
      <x v="282"/>
    </i>
    <i r="3">
      <x v="283"/>
    </i>
    <i r="3">
      <x v="284"/>
    </i>
    <i r="3">
      <x v="285"/>
    </i>
    <i r="3">
      <x v="286"/>
    </i>
    <i r="3">
      <x v="287"/>
    </i>
    <i r="3">
      <x v="288"/>
    </i>
    <i r="3">
      <x v="289"/>
    </i>
    <i r="3">
      <x v="290"/>
    </i>
    <i r="2">
      <x v="2"/>
    </i>
    <i t="grand">
      <x/>
    </i>
  </rowItems>
  <colItems count="1">
    <i/>
  </colItems>
  <dataFields count="1">
    <dataField name="Sum of Profit" fld="10"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91146A42-5418-4BBA-A2FE-5CFEB7620705}" sourceName="Customer_ID">
  <pivotTables>
    <pivotTable tabId="5" name="PivotTable1"/>
  </pivotTables>
  <data>
    <tabular pivotCacheId="824372596">
      <items count="100">
        <i x="13" s="1"/>
        <i x="47" s="1"/>
        <i x="60" s="1"/>
        <i x="87" s="1"/>
        <i x="29" s="1"/>
        <i x="92" s="1"/>
        <i x="75" s="1"/>
        <i x="63" s="1"/>
        <i x="98" s="1"/>
        <i x="37" s="1"/>
        <i x="95" s="1"/>
        <i x="80" s="1"/>
        <i x="9" s="1"/>
        <i x="67" s="1"/>
        <i x="52" s="1"/>
        <i x="0" s="1"/>
        <i x="17" s="1"/>
        <i x="61" s="1"/>
        <i x="74" s="1"/>
        <i x="66" s="1"/>
        <i x="4" s="1"/>
        <i x="90" s="1"/>
        <i x="27" s="1"/>
        <i x="50" s="1"/>
        <i x="48" s="1"/>
        <i x="32" s="1"/>
        <i x="78" s="1"/>
        <i x="81" s="1"/>
        <i x="45" s="1"/>
        <i x="28" s="1"/>
        <i x="26" s="1"/>
        <i x="73" s="1"/>
        <i x="31" s="1"/>
        <i x="11" s="1"/>
        <i x="30" s="1"/>
        <i x="54" s="1"/>
        <i x="86" s="1"/>
        <i x="77" s="1"/>
        <i x="51" s="1"/>
        <i x="84" s="1"/>
        <i x="40" s="1"/>
        <i x="18" s="1"/>
        <i x="38" s="1"/>
        <i x="7" s="1"/>
        <i x="71" s="1"/>
        <i x="64" s="1"/>
        <i x="49" s="1"/>
        <i x="46" s="1"/>
        <i x="55" s="1"/>
        <i x="70" s="1"/>
        <i x="10" s="1"/>
        <i x="65" s="1"/>
        <i x="34" s="1"/>
        <i x="39" s="1"/>
        <i x="22" s="1"/>
        <i x="82" s="1"/>
        <i x="93" s="1"/>
        <i x="35" s="1"/>
        <i x="19" s="1"/>
        <i x="83" s="1"/>
        <i x="15" s="1"/>
        <i x="5" s="1"/>
        <i x="14" s="1"/>
        <i x="20" s="1"/>
        <i x="91" s="1"/>
        <i x="25" s="1"/>
        <i x="88" s="1"/>
        <i x="62" s="1"/>
        <i x="1" s="1"/>
        <i x="79" s="1"/>
        <i x="33" s="1"/>
        <i x="85" s="1"/>
        <i x="41" s="1"/>
        <i x="6" s="1"/>
        <i x="99" s="1"/>
        <i x="23" s="1"/>
        <i x="36" s="1"/>
        <i x="76" s="1"/>
        <i x="2" s="1"/>
        <i x="97" s="1"/>
        <i x="59" s="1"/>
        <i x="96" s="1"/>
        <i x="24" s="1"/>
        <i x="94" s="1"/>
        <i x="44" s="1"/>
        <i x="89" s="1"/>
        <i x="56" s="1"/>
        <i x="58" s="1"/>
        <i x="57" s="1"/>
        <i x="42" s="1"/>
        <i x="53" s="1"/>
        <i x="12" s="1"/>
        <i x="72" s="1"/>
        <i x="16" s="1"/>
        <i x="68" s="1"/>
        <i x="21" s="1"/>
        <i x="3" s="1"/>
        <i x="43" s="1"/>
        <i x="69"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_ID" xr10:uid="{87D455B3-704B-4218-98D5-D89A555E9C56}" sourceName="Restaurant_ID">
  <pivotTables>
    <pivotTable tabId="5" name="PivotTable1"/>
  </pivotTables>
  <data>
    <tabular pivotCacheId="824372596">
      <items count="99">
        <i x="92" s="1"/>
        <i x="49" s="1"/>
        <i x="0" s="1"/>
        <i x="58" s="1"/>
        <i x="19" s="1"/>
        <i x="62" s="1"/>
        <i x="46" s="1"/>
        <i x="11" s="1"/>
        <i x="95" s="1"/>
        <i x="63" s="1"/>
        <i x="59" s="1"/>
        <i x="56" s="1"/>
        <i x="88" s="1"/>
        <i x="15" s="1"/>
        <i x="18" s="1"/>
        <i x="37" s="1"/>
        <i x="77" s="1"/>
        <i x="68" s="1"/>
        <i x="55" s="1"/>
        <i x="5" s="1"/>
        <i x="57" s="1"/>
        <i x="69" s="1"/>
        <i x="4" s="1"/>
        <i x="78" s="1"/>
        <i x="35" s="1"/>
        <i x="65" s="1"/>
        <i x="47" s="1"/>
        <i x="26" s="1"/>
        <i x="13" s="1"/>
        <i x="14" s="1"/>
        <i x="71" s="1"/>
        <i x="23" s="1"/>
        <i x="31" s="1"/>
        <i x="32" s="1"/>
        <i x="67" s="1"/>
        <i x="72" s="1"/>
        <i x="48" s="1"/>
        <i x="97" s="1"/>
        <i x="52" s="1"/>
        <i x="87" s="1"/>
        <i x="79" s="1"/>
        <i x="22" s="1"/>
        <i x="89" s="1"/>
        <i x="85" s="1"/>
        <i x="93" s="1"/>
        <i x="30" s="1"/>
        <i x="34" s="1"/>
        <i x="73" s="1"/>
        <i x="9" s="1"/>
        <i x="98" s="1"/>
        <i x="29" s="1"/>
        <i x="25" s="1"/>
        <i x="8" s="1"/>
        <i x="75" s="1"/>
        <i x="80" s="1"/>
        <i x="42" s="1"/>
        <i x="64" s="1"/>
        <i x="90" s="1"/>
        <i x="2" s="1"/>
        <i x="82" s="1"/>
        <i x="16" s="1"/>
        <i x="44" s="1"/>
        <i x="86" s="1"/>
        <i x="66" s="1"/>
        <i x="61" s="1"/>
        <i x="81" s="1"/>
        <i x="41" s="1"/>
        <i x="54" s="1"/>
        <i x="84" s="1"/>
        <i x="60" s="1"/>
        <i x="6" s="1"/>
        <i x="10" s="1"/>
        <i x="3" s="1"/>
        <i x="20" s="1"/>
        <i x="24" s="1"/>
        <i x="12" s="1"/>
        <i x="94" s="1"/>
        <i x="83" s="1"/>
        <i x="51" s="1"/>
        <i x="50" s="1"/>
        <i x="70" s="1"/>
        <i x="53" s="1"/>
        <i x="76" s="1"/>
        <i x="28" s="1"/>
        <i x="43" s="1"/>
        <i x="17" s="1"/>
        <i x="39" s="1"/>
        <i x="45" s="1"/>
        <i x="33" s="1"/>
        <i x="96" s="1"/>
        <i x="40" s="1"/>
        <i x="27" s="1"/>
        <i x="36" s="1"/>
        <i x="7" s="1"/>
        <i x="91" s="1"/>
        <i x="1" s="1"/>
        <i x="21" s="1"/>
        <i x="38" s="1"/>
        <i x="7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sert_ID" xr10:uid="{4C62C3C6-F850-4205-8D35-BD1EEEA4E19D}" sourceName="Dessert_ID">
  <pivotTables>
    <pivotTable tabId="5" name="PivotTable1"/>
  </pivotTables>
  <data>
    <tabular pivotCacheId="824372596">
      <items count="50">
        <i x="1" s="1"/>
        <i x="25" s="1"/>
        <i x="16" s="1"/>
        <i x="11" s="1"/>
        <i x="41" s="1"/>
        <i x="43" s="1"/>
        <i x="22" s="1"/>
        <i x="29" s="1"/>
        <i x="6" s="1"/>
        <i x="8" s="1"/>
        <i x="44" s="1"/>
        <i x="49" s="1"/>
        <i x="42" s="1"/>
        <i x="48" s="1"/>
        <i x="2" s="1"/>
        <i x="21" s="1"/>
        <i x="23" s="1"/>
        <i x="15" s="1"/>
        <i x="35" s="1"/>
        <i x="37" s="1"/>
        <i x="32" s="1"/>
        <i x="27" s="1"/>
        <i x="7" s="1"/>
        <i x="26" s="1"/>
        <i x="18" s="1"/>
        <i x="47" s="1"/>
        <i x="20" s="1"/>
        <i x="38" s="1"/>
        <i x="13" s="1"/>
        <i x="9" s="1"/>
        <i x="4" s="1"/>
        <i x="24" s="1"/>
        <i x="30" s="1"/>
        <i x="5" s="1"/>
        <i x="17" s="1"/>
        <i x="19" s="1"/>
        <i x="36" s="1"/>
        <i x="39" s="1"/>
        <i x="14" s="1"/>
        <i x="28" s="1"/>
        <i x="45" s="1"/>
        <i x="3" s="1"/>
        <i x="46" s="1"/>
        <i x="0" s="1"/>
        <i x="31" s="1"/>
        <i x="34" s="1"/>
        <i x="12" s="1"/>
        <i x="33" s="1"/>
        <i x="10" s="1"/>
        <i x="4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Eligible" xr10:uid="{A46D4F14-830E-4E09-807B-D30A1ED984B5}" sourceName="Discount_Eligible">
  <pivotTables>
    <pivotTable tabId="5" name="PivotTable1"/>
  </pivotTables>
  <data>
    <tabular pivotCacheId="82437259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ID" xr10:uid="{EDC6A4EA-D47B-4FA9-B8CD-AE96F0022B9F}" cache="Slicer_Customer_ID" caption="Customer_ID" rowHeight="234950"/>
  <slicer name="Restaurant_ID" xr10:uid="{FD548A34-7D6D-44A1-96D4-33BEBE357F0D}" cache="Slicer_Restaurant_ID" caption="Restaurant_ID" startItem="26" rowHeight="234950"/>
  <slicer name="Dessert_ID" xr10:uid="{BBFA0696-F52C-4A0B-BAAB-9D9D450CA9EF}" cache="Slicer_Dessert_ID" caption="Dessert_ID" rowHeight="234950"/>
  <slicer name="Discount_Eligible" xr10:uid="{1FB34072-D745-4D5B-893F-4F3B954102B6}" cache="Slicer_Discount_Eligible" caption="Discount_Eligib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522189-8464-4DFA-893C-D0C985D4FF26}" name="Table1" displayName="Table1" ref="A1:E101" totalsRowShown="0" headerRowDxfId="15">
  <autoFilter ref="A1:E101" xr:uid="{D6522189-8464-4DFA-893C-D0C985D4FF26}"/>
  <tableColumns count="5">
    <tableColumn id="1" xr3:uid="{4EBB72A5-A97F-4265-BBDB-DE022ED9A9BE}" name="Restaurant_ID"/>
    <tableColumn id="2" xr3:uid="{5AECCC10-FD92-462C-959D-F035F9EF2BEC}" name="Restaurant_Name"/>
    <tableColumn id="3" xr3:uid="{FF10DD63-E33E-41CC-B0C1-1BBBD66A7C8B}" name="City"/>
    <tableColumn id="4" xr3:uid="{5913425B-D8CF-4F7C-BC26-48F8CE8A4D36}" name="Owner"/>
    <tableColumn id="5" xr3:uid="{C937B946-F254-48B5-BF7F-5CD424CC4B72}" name="Rating"/>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D3B5D8-FE66-42F0-93B0-A08AA3E41F8C}" name="Table3" displayName="Table3" ref="A1:E101" totalsRowShown="0" headerRowDxfId="13">
  <autoFilter ref="A1:E101" xr:uid="{04D3B5D8-FE66-42F0-93B0-A08AA3E41F8C}"/>
  <tableColumns count="5">
    <tableColumn id="1" xr3:uid="{D0BFD1F6-5BF5-4F79-BCE3-92CD645B09DC}" name="Customer_ID"/>
    <tableColumn id="2" xr3:uid="{0DEB8B00-739E-4A24-A32C-61A298F6A7A1}" name="Name"/>
    <tableColumn id="3" xr3:uid="{F73EED90-00A8-4855-B4D9-01761B570BBA}" name="Phone"/>
    <tableColumn id="4" xr3:uid="{720CF702-B559-49A0-A823-8BA1AD537028}" name="City"/>
    <tableColumn id="5" xr3:uid="{E94F6B93-3907-48D7-A2D8-0C31E30B2A84}" name="Total_Order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BCF19FE-9342-4C2A-B094-6551A0F3DB8C}" name="Table4" displayName="Table4" ref="A1:D51" totalsRowShown="0" headerRowDxfId="12">
  <autoFilter ref="A1:D51" xr:uid="{8BCF19FE-9342-4C2A-B094-6551A0F3DB8C}"/>
  <tableColumns count="4">
    <tableColumn id="1" xr3:uid="{F51EF995-9281-4657-9D10-1D92CE1DFC7F}" name="Dessert_ID"/>
    <tableColumn id="2" xr3:uid="{27CE8EAD-2660-4894-848E-97DC1BBE477E}" name="Dessert_Name"/>
    <tableColumn id="3" xr3:uid="{783B1C3D-4B2F-4A8A-8479-97EF50BF2B18}" name="Original_Price"/>
    <tableColumn id="4" xr3:uid="{C0CF6D74-D5DF-4DB0-B890-C6FDF135B663}" name="Cost_Price"/>
  </tableColumns>
  <tableStyleInfo name="TableStyleLight1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83B451-8246-4738-993B-60E41DCBDD46}" name="Table2" displayName="Table2" ref="A1:J501" totalsRowShown="0" headerRowDxfId="14">
  <autoFilter ref="A1:J501" xr:uid="{6D83B451-8246-4738-993B-60E41DCBDD46}"/>
  <tableColumns count="10">
    <tableColumn id="1" xr3:uid="{7CD064AF-C89A-4CD8-A0DC-87E3A572072A}" name="Order_ID"/>
    <tableColumn id="2" xr3:uid="{003DBD06-573E-4BAB-B862-F840579D9070}" name="Date"/>
    <tableColumn id="3" xr3:uid="{9E52B431-8AE2-40C8-AEE5-E41139912456}" name="Customer_ID"/>
    <tableColumn id="4" xr3:uid="{43742FDE-3879-40BC-8B87-43527F24F43F}" name="Restaurant_ID"/>
    <tableColumn id="5" xr3:uid="{7DABD78F-E127-48B1-B588-9931EEADAA48}" name="Dessert_ID"/>
    <tableColumn id="6" xr3:uid="{42AD5FB5-ADC3-4F29-8EE3-642975C62601}" name="Quantity"/>
    <tableColumn id="7" xr3:uid="{FBF91947-2775-470E-916B-E7A6AB447A70}" name="Price_Per_Item"/>
    <tableColumn id="8" xr3:uid="{51532FC8-DEF6-469C-99AB-0C1A35EC51A4}" name="Discount_Eligible" dataDxfId="11">
      <calculatedColumnFormula>IF(VLOOKUP(C2,Customers!A:E,5,FALSE)&gt;=1000,"YES","NO")</calculatedColumnFormula>
    </tableColumn>
    <tableColumn id="9" xr3:uid="{7924637C-68D8-40B1-B28F-827E14C5B2F0}" name="Discounted_Price" dataDxfId="10">
      <calculatedColumnFormula>IF(H2="YES",G2*0.5,G2)</calculatedColumnFormula>
    </tableColumn>
    <tableColumn id="10" xr3:uid="{DDD940D1-3652-40E0-AD74-9566552FE923}" name="Profit">
      <calculatedColumnFormula>(I2 - VLOOKUP(E2,Desserts!A:D,4,FALSE)) * F2</calculatedColumnFormula>
    </tableColumn>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240123F-09D6-4EFD-BBCD-98E106ABCCF0}" name="Table210" displayName="Table210" ref="A1:J501" totalsRowShown="0" headerRowDxfId="5">
  <autoFilter ref="A1:J501" xr:uid="{3240123F-09D6-4EFD-BBCD-98E106ABCCF0}"/>
  <tableColumns count="10">
    <tableColumn id="1" xr3:uid="{39652801-FEE7-4F1E-9BEE-0B8EA40181B3}" name="Order_ID"/>
    <tableColumn id="2" xr3:uid="{5BEF399C-053D-4ABE-BD16-A691220E15AF}" name="Date"/>
    <tableColumn id="3" xr3:uid="{9B918D80-1396-4DFD-B584-2BF11C4DE39D}" name="Customer_ID"/>
    <tableColumn id="4" xr3:uid="{4A3B66C6-41ED-4114-8A24-76A47912341C}" name="Restaurant_ID"/>
    <tableColumn id="5" xr3:uid="{3EFA7C04-26E6-4055-BCEA-1037A1382867}" name="Dessert_ID"/>
    <tableColumn id="6" xr3:uid="{C7F1BD9B-73B0-4454-BC04-0E0D0673C092}" name="Quantity"/>
    <tableColumn id="7" xr3:uid="{2DB8587A-3518-4D10-BBA5-2DF99DAC0A04}" name="Price_Per_Item"/>
    <tableColumn id="8" xr3:uid="{1D4F8ADF-A925-4F6E-AE0C-B452E63B2815}" name="Discount_Eligible" dataDxfId="4">
      <calculatedColumnFormula>IF(VLOOKUP(C2,Customers!A:E,5,FALSE)&gt;=1000,"YES","NO")</calculatedColumnFormula>
    </tableColumn>
    <tableColumn id="9" xr3:uid="{EAF6B442-28CB-4CF0-B651-5D73DF7E2E4E}" name="Discounted_Price" dataDxfId="3">
      <calculatedColumnFormula>IF(H2="YES",G2*0.5,G2)</calculatedColumnFormula>
    </tableColumn>
    <tableColumn id="10" xr3:uid="{A39E4696-926C-4E2D-961E-5DFC593A3FA6}" name="Profit">
      <calculatedColumnFormula>(I2 - VLOOKUP(E2,Desserts!A:D,4,FALSE)) * F2</calculatedColumnFormula>
    </tableColumn>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30E318B-9557-4971-8D4E-0C94121410CD}" name="Table21011" displayName="Table21011" ref="A1:J501" totalsRowShown="0" headerRowDxfId="2">
  <autoFilter ref="A1:J501" xr:uid="{830E318B-9557-4971-8D4E-0C94121410CD}"/>
  <tableColumns count="10">
    <tableColumn id="1" xr3:uid="{B7EAC8A2-C995-461E-92AA-19AB8B2D72F6}" name="Order_ID"/>
    <tableColumn id="2" xr3:uid="{D13B389A-7227-4B79-8945-DDABE42FEE0F}" name="Date"/>
    <tableColumn id="3" xr3:uid="{1BF1B9E1-AB53-4AE2-B121-1897A6196395}" name="Customer_ID"/>
    <tableColumn id="4" xr3:uid="{7E09C367-5FE0-4E0E-B156-53D005312D7F}" name="Restaurant_ID"/>
    <tableColumn id="5" xr3:uid="{5F80DFAF-2962-45C4-A87C-5C024CA76E78}" name="Dessert_ID"/>
    <tableColumn id="6" xr3:uid="{AB654EA4-4DCC-45C1-A776-BFFD1B3F25DA}" name="Quantity"/>
    <tableColumn id="7" xr3:uid="{7E063A32-4121-44CB-A366-F42972FE8717}" name="Price_Per_Item"/>
    <tableColumn id="8" xr3:uid="{FB1FC0D5-B58E-4BD8-A650-B8523EC3DE72}" name="Discount_Eligible" dataDxfId="1">
      <calculatedColumnFormula>IF(VLOOKUP(C2,Customers!A:E,5,FALSE)&gt;=1000,"YES","NO")</calculatedColumnFormula>
    </tableColumn>
    <tableColumn id="9" xr3:uid="{9B057794-4461-43FB-81F0-07075073DE42}" name="Discounted_Price" dataDxfId="0">
      <calculatedColumnFormula>IF(H2="YES",G2*0.5,G2)</calculatedColumnFormula>
    </tableColumn>
    <tableColumn id="10" xr3:uid="{FE3B953C-7012-409A-882B-62A31FD63DDD}" name="Profit">
      <calculatedColumnFormula>(I2 - VLOOKUP(E2,Desserts!A:D,4,FALSE)) * F2</calculatedColumnFormula>
    </tableColumn>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BD8C62D-7B9E-4A27-A489-849ED1FE347C}" name="Table29" displayName="Table29" ref="A1:K501" totalsRowShown="0" headerRowDxfId="9">
  <autoFilter ref="A1:K501" xr:uid="{6BD8C62D-7B9E-4A27-A489-849ED1FE347C}"/>
  <tableColumns count="11">
    <tableColumn id="1" xr3:uid="{5F64C16C-1F6E-4EF8-A661-C47BA41E6717}" name="Order_ID"/>
    <tableColumn id="2" xr3:uid="{BCFA9A0C-D026-4878-81D0-E055D54F2C3E}" name="Date"/>
    <tableColumn id="11" xr3:uid="{255AC04F-B914-4E93-88C7-C177EAE6E23D}" name="Real_Date" dataDxfId="6">
      <calculatedColumnFormula>--B2</calculatedColumnFormula>
    </tableColumn>
    <tableColumn id="3" xr3:uid="{306A0237-016D-4B96-A3D1-C134D48E9FE5}" name="Customer_ID"/>
    <tableColumn id="4" xr3:uid="{F55A67D5-A434-448B-856F-82302B19361F}" name="Restaurant_ID"/>
    <tableColumn id="5" xr3:uid="{00F5FAB0-D906-4582-BA33-3221C1F62796}" name="Dessert_ID"/>
    <tableColumn id="6" xr3:uid="{6F49338D-B34B-4FB8-A54D-BEE8AFBEB44D}" name="Quantity"/>
    <tableColumn id="7" xr3:uid="{6EBBA3C9-A749-4AA1-9C6F-AF8ECAC71A6E}" name="Price_Per_Item"/>
    <tableColumn id="8" xr3:uid="{DFCBEB39-D8B3-4220-9531-DAD3E8E5D3C5}" name="Discount_Eligible" dataDxfId="8">
      <calculatedColumnFormula>IF(VLOOKUP(D2,Customers!A:E,5,FALSE)&gt;=1000,"YES","NO")</calculatedColumnFormula>
    </tableColumn>
    <tableColumn id="9" xr3:uid="{C4A7873F-5969-462F-BDE9-36FCD06336C8}" name="Discounted_Price" dataDxfId="7">
      <calculatedColumnFormula>IF(I2="YES",H2*0.5,H2)</calculatedColumnFormula>
    </tableColumn>
    <tableColumn id="10" xr3:uid="{7993238C-1679-4D6E-91B7-810F0E67DD86}" name="Profit">
      <calculatedColumnFormula>(J2 - VLOOKUP(F2,Desserts!A:D,4,FALSE)) * G2</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workbookViewId="0">
      <selection activeCell="J21" sqref="J21"/>
    </sheetView>
  </sheetViews>
  <sheetFormatPr defaultRowHeight="14.4" x14ac:dyDescent="0.3"/>
  <cols>
    <col min="1" max="1" width="14.77734375" customWidth="1"/>
    <col min="2" max="2" width="18" customWidth="1"/>
    <col min="3" max="3" width="9.77734375" bestFit="1" customWidth="1"/>
  </cols>
  <sheetData>
    <row r="1" spans="1:5" x14ac:dyDescent="0.3">
      <c r="A1" s="1" t="s">
        <v>0</v>
      </c>
      <c r="B1" s="1" t="s">
        <v>1</v>
      </c>
      <c r="C1" s="1" t="s">
        <v>2</v>
      </c>
      <c r="D1" s="1" t="s">
        <v>3</v>
      </c>
      <c r="E1" s="1" t="s">
        <v>4</v>
      </c>
    </row>
    <row r="2" spans="1:5" x14ac:dyDescent="0.3">
      <c r="A2" t="s">
        <v>5</v>
      </c>
      <c r="B2" t="s">
        <v>6</v>
      </c>
      <c r="C2" t="s">
        <v>7</v>
      </c>
      <c r="D2" t="s">
        <v>8</v>
      </c>
      <c r="E2">
        <v>4.2</v>
      </c>
    </row>
    <row r="3" spans="1:5" x14ac:dyDescent="0.3">
      <c r="A3" t="s">
        <v>9</v>
      </c>
      <c r="B3" t="s">
        <v>10</v>
      </c>
      <c r="C3" t="s">
        <v>11</v>
      </c>
      <c r="D3" t="s">
        <v>12</v>
      </c>
      <c r="E3">
        <v>4.8</v>
      </c>
    </row>
    <row r="4" spans="1:5" x14ac:dyDescent="0.3">
      <c r="A4" t="s">
        <v>13</v>
      </c>
      <c r="B4" t="s">
        <v>14</v>
      </c>
      <c r="C4" t="s">
        <v>15</v>
      </c>
      <c r="D4" t="s">
        <v>16</v>
      </c>
      <c r="E4">
        <v>4.9000000000000004</v>
      </c>
    </row>
    <row r="5" spans="1:5" x14ac:dyDescent="0.3">
      <c r="A5" t="s">
        <v>17</v>
      </c>
      <c r="B5" t="s">
        <v>18</v>
      </c>
      <c r="C5" t="s">
        <v>15</v>
      </c>
      <c r="D5" t="s">
        <v>19</v>
      </c>
      <c r="E5">
        <v>3.8</v>
      </c>
    </row>
    <row r="6" spans="1:5" x14ac:dyDescent="0.3">
      <c r="A6" t="s">
        <v>20</v>
      </c>
      <c r="B6" t="s">
        <v>21</v>
      </c>
      <c r="C6" t="s">
        <v>22</v>
      </c>
      <c r="D6" t="s">
        <v>23</v>
      </c>
      <c r="E6">
        <v>3.7</v>
      </c>
    </row>
    <row r="7" spans="1:5" x14ac:dyDescent="0.3">
      <c r="A7" t="s">
        <v>24</v>
      </c>
      <c r="B7" t="s">
        <v>25</v>
      </c>
      <c r="C7" t="s">
        <v>15</v>
      </c>
      <c r="D7" t="s">
        <v>26</v>
      </c>
      <c r="E7">
        <v>3.6</v>
      </c>
    </row>
    <row r="8" spans="1:5" x14ac:dyDescent="0.3">
      <c r="A8" t="s">
        <v>27</v>
      </c>
      <c r="B8" t="s">
        <v>28</v>
      </c>
      <c r="C8" t="s">
        <v>22</v>
      </c>
      <c r="D8" t="s">
        <v>29</v>
      </c>
      <c r="E8">
        <v>4.3</v>
      </c>
    </row>
    <row r="9" spans="1:5" x14ac:dyDescent="0.3">
      <c r="A9" t="s">
        <v>30</v>
      </c>
      <c r="B9" t="s">
        <v>31</v>
      </c>
      <c r="C9" t="s">
        <v>22</v>
      </c>
      <c r="D9" t="s">
        <v>32</v>
      </c>
      <c r="E9">
        <v>3.6</v>
      </c>
    </row>
    <row r="10" spans="1:5" x14ac:dyDescent="0.3">
      <c r="A10" t="s">
        <v>33</v>
      </c>
      <c r="B10" t="s">
        <v>34</v>
      </c>
      <c r="C10" t="s">
        <v>35</v>
      </c>
      <c r="D10" t="s">
        <v>36</v>
      </c>
      <c r="E10">
        <v>4</v>
      </c>
    </row>
    <row r="11" spans="1:5" x14ac:dyDescent="0.3">
      <c r="A11" t="s">
        <v>37</v>
      </c>
      <c r="B11" t="s">
        <v>38</v>
      </c>
      <c r="C11" t="s">
        <v>15</v>
      </c>
      <c r="D11" t="s">
        <v>39</v>
      </c>
      <c r="E11">
        <v>4.5999999999999996</v>
      </c>
    </row>
    <row r="12" spans="1:5" x14ac:dyDescent="0.3">
      <c r="A12" t="s">
        <v>40</v>
      </c>
      <c r="B12" t="s">
        <v>41</v>
      </c>
      <c r="C12" t="s">
        <v>7</v>
      </c>
      <c r="D12" t="s">
        <v>42</v>
      </c>
      <c r="E12">
        <v>3.7</v>
      </c>
    </row>
    <row r="13" spans="1:5" x14ac:dyDescent="0.3">
      <c r="A13" t="s">
        <v>43</v>
      </c>
      <c r="B13" t="s">
        <v>44</v>
      </c>
      <c r="C13" t="s">
        <v>45</v>
      </c>
      <c r="D13" t="s">
        <v>46</v>
      </c>
      <c r="E13">
        <v>5</v>
      </c>
    </row>
    <row r="14" spans="1:5" x14ac:dyDescent="0.3">
      <c r="A14" t="s">
        <v>47</v>
      </c>
      <c r="B14" t="s">
        <v>48</v>
      </c>
      <c r="C14" t="s">
        <v>49</v>
      </c>
      <c r="D14" t="s">
        <v>50</v>
      </c>
      <c r="E14">
        <v>4.9000000000000004</v>
      </c>
    </row>
    <row r="15" spans="1:5" x14ac:dyDescent="0.3">
      <c r="A15" t="s">
        <v>51</v>
      </c>
      <c r="B15" t="s">
        <v>52</v>
      </c>
      <c r="C15" t="s">
        <v>22</v>
      </c>
      <c r="D15" t="s">
        <v>53</v>
      </c>
      <c r="E15">
        <v>4.2</v>
      </c>
    </row>
    <row r="16" spans="1:5" x14ac:dyDescent="0.3">
      <c r="A16" t="s">
        <v>54</v>
      </c>
      <c r="B16" t="s">
        <v>55</v>
      </c>
      <c r="C16" t="s">
        <v>45</v>
      </c>
      <c r="D16" t="s">
        <v>56</v>
      </c>
      <c r="E16">
        <v>4.5</v>
      </c>
    </row>
    <row r="17" spans="1:5" x14ac:dyDescent="0.3">
      <c r="A17" t="s">
        <v>57</v>
      </c>
      <c r="B17" t="s">
        <v>58</v>
      </c>
      <c r="C17" t="s">
        <v>22</v>
      </c>
      <c r="D17" t="s">
        <v>59</v>
      </c>
      <c r="E17">
        <v>3.8</v>
      </c>
    </row>
    <row r="18" spans="1:5" x14ac:dyDescent="0.3">
      <c r="A18" t="s">
        <v>60</v>
      </c>
      <c r="B18" t="s">
        <v>61</v>
      </c>
      <c r="C18" t="s">
        <v>49</v>
      </c>
      <c r="D18" t="s">
        <v>62</v>
      </c>
      <c r="E18">
        <v>3.5</v>
      </c>
    </row>
    <row r="19" spans="1:5" x14ac:dyDescent="0.3">
      <c r="A19" t="s">
        <v>63</v>
      </c>
      <c r="B19" t="s">
        <v>64</v>
      </c>
      <c r="C19" t="s">
        <v>11</v>
      </c>
      <c r="D19" t="s">
        <v>65</v>
      </c>
      <c r="E19">
        <v>4.0999999999999996</v>
      </c>
    </row>
    <row r="20" spans="1:5" x14ac:dyDescent="0.3">
      <c r="A20" t="s">
        <v>66</v>
      </c>
      <c r="B20" t="s">
        <v>67</v>
      </c>
      <c r="C20" t="s">
        <v>15</v>
      </c>
      <c r="D20" t="s">
        <v>68</v>
      </c>
      <c r="E20">
        <v>3.7</v>
      </c>
    </row>
    <row r="21" spans="1:5" x14ac:dyDescent="0.3">
      <c r="A21" t="s">
        <v>69</v>
      </c>
      <c r="B21" t="s">
        <v>70</v>
      </c>
      <c r="C21" t="s">
        <v>7</v>
      </c>
      <c r="D21" t="s">
        <v>71</v>
      </c>
      <c r="E21">
        <v>3.6</v>
      </c>
    </row>
    <row r="22" spans="1:5" x14ac:dyDescent="0.3">
      <c r="A22" t="s">
        <v>72</v>
      </c>
      <c r="B22" t="s">
        <v>73</v>
      </c>
      <c r="C22" t="s">
        <v>74</v>
      </c>
      <c r="D22" t="s">
        <v>75</v>
      </c>
      <c r="E22">
        <v>4.8</v>
      </c>
    </row>
    <row r="23" spans="1:5" x14ac:dyDescent="0.3">
      <c r="A23" t="s">
        <v>76</v>
      </c>
      <c r="B23" t="s">
        <v>77</v>
      </c>
      <c r="C23" t="s">
        <v>49</v>
      </c>
      <c r="D23" t="s">
        <v>78</v>
      </c>
      <c r="E23">
        <v>4.5999999999999996</v>
      </c>
    </row>
    <row r="24" spans="1:5" x14ac:dyDescent="0.3">
      <c r="A24" t="s">
        <v>79</v>
      </c>
      <c r="B24" t="s">
        <v>80</v>
      </c>
      <c r="C24" t="s">
        <v>22</v>
      </c>
      <c r="D24" t="s">
        <v>81</v>
      </c>
      <c r="E24">
        <v>4.4000000000000004</v>
      </c>
    </row>
    <row r="25" spans="1:5" x14ac:dyDescent="0.3">
      <c r="A25" t="s">
        <v>82</v>
      </c>
      <c r="B25" t="s">
        <v>83</v>
      </c>
      <c r="C25" t="s">
        <v>11</v>
      </c>
      <c r="D25" t="s">
        <v>84</v>
      </c>
      <c r="E25">
        <v>4</v>
      </c>
    </row>
    <row r="26" spans="1:5" x14ac:dyDescent="0.3">
      <c r="A26" t="s">
        <v>85</v>
      </c>
      <c r="B26" t="s">
        <v>86</v>
      </c>
      <c r="C26" t="s">
        <v>7</v>
      </c>
      <c r="D26" t="s">
        <v>87</v>
      </c>
      <c r="E26">
        <v>3.5</v>
      </c>
    </row>
    <row r="27" spans="1:5" x14ac:dyDescent="0.3">
      <c r="A27" t="s">
        <v>88</v>
      </c>
      <c r="B27" t="s">
        <v>89</v>
      </c>
      <c r="C27" t="s">
        <v>22</v>
      </c>
      <c r="D27" t="s">
        <v>90</v>
      </c>
      <c r="E27">
        <v>3.8</v>
      </c>
    </row>
    <row r="28" spans="1:5" x14ac:dyDescent="0.3">
      <c r="A28" t="s">
        <v>91</v>
      </c>
      <c r="B28" t="s">
        <v>92</v>
      </c>
      <c r="C28" t="s">
        <v>7</v>
      </c>
      <c r="D28" t="s">
        <v>93</v>
      </c>
      <c r="E28">
        <v>3.8</v>
      </c>
    </row>
    <row r="29" spans="1:5" x14ac:dyDescent="0.3">
      <c r="A29" t="s">
        <v>94</v>
      </c>
      <c r="B29" t="s">
        <v>95</v>
      </c>
      <c r="C29" t="s">
        <v>49</v>
      </c>
      <c r="D29" t="s">
        <v>96</v>
      </c>
      <c r="E29">
        <v>3.8</v>
      </c>
    </row>
    <row r="30" spans="1:5" x14ac:dyDescent="0.3">
      <c r="A30" t="s">
        <v>97</v>
      </c>
      <c r="B30" t="s">
        <v>98</v>
      </c>
      <c r="C30" t="s">
        <v>15</v>
      </c>
      <c r="D30" t="s">
        <v>99</v>
      </c>
      <c r="E30">
        <v>3.5</v>
      </c>
    </row>
    <row r="31" spans="1:5" x14ac:dyDescent="0.3">
      <c r="A31" t="s">
        <v>100</v>
      </c>
      <c r="B31" t="s">
        <v>101</v>
      </c>
      <c r="C31" t="s">
        <v>74</v>
      </c>
      <c r="D31" t="s">
        <v>102</v>
      </c>
      <c r="E31">
        <v>3.9</v>
      </c>
    </row>
    <row r="32" spans="1:5" x14ac:dyDescent="0.3">
      <c r="A32" t="s">
        <v>103</v>
      </c>
      <c r="B32" t="s">
        <v>104</v>
      </c>
      <c r="C32" t="s">
        <v>22</v>
      </c>
      <c r="D32" t="s">
        <v>105</v>
      </c>
      <c r="E32">
        <v>4.7</v>
      </c>
    </row>
    <row r="33" spans="1:5" x14ac:dyDescent="0.3">
      <c r="A33" t="s">
        <v>106</v>
      </c>
      <c r="B33" t="s">
        <v>107</v>
      </c>
      <c r="C33" t="s">
        <v>22</v>
      </c>
      <c r="D33" t="s">
        <v>108</v>
      </c>
      <c r="E33">
        <v>4.5</v>
      </c>
    </row>
    <row r="34" spans="1:5" x14ac:dyDescent="0.3">
      <c r="A34" t="s">
        <v>109</v>
      </c>
      <c r="B34" t="s">
        <v>110</v>
      </c>
      <c r="C34" t="s">
        <v>7</v>
      </c>
      <c r="D34" t="s">
        <v>111</v>
      </c>
      <c r="E34">
        <v>4.8</v>
      </c>
    </row>
    <row r="35" spans="1:5" x14ac:dyDescent="0.3">
      <c r="A35" t="s">
        <v>112</v>
      </c>
      <c r="B35" t="s">
        <v>113</v>
      </c>
      <c r="C35" t="s">
        <v>22</v>
      </c>
      <c r="D35" t="s">
        <v>114</v>
      </c>
      <c r="E35">
        <v>3.7</v>
      </c>
    </row>
    <row r="36" spans="1:5" x14ac:dyDescent="0.3">
      <c r="A36" t="s">
        <v>115</v>
      </c>
      <c r="B36" t="s">
        <v>116</v>
      </c>
      <c r="C36" t="s">
        <v>49</v>
      </c>
      <c r="D36" t="s">
        <v>117</v>
      </c>
      <c r="E36">
        <v>4</v>
      </c>
    </row>
    <row r="37" spans="1:5" x14ac:dyDescent="0.3">
      <c r="A37" t="s">
        <v>118</v>
      </c>
      <c r="B37" t="s">
        <v>119</v>
      </c>
      <c r="C37" t="s">
        <v>22</v>
      </c>
      <c r="D37" t="s">
        <v>120</v>
      </c>
      <c r="E37">
        <v>4.5</v>
      </c>
    </row>
    <row r="38" spans="1:5" x14ac:dyDescent="0.3">
      <c r="A38" t="s">
        <v>121</v>
      </c>
      <c r="B38" t="s">
        <v>122</v>
      </c>
      <c r="C38" t="s">
        <v>45</v>
      </c>
      <c r="D38" t="s">
        <v>123</v>
      </c>
      <c r="E38">
        <v>4.8</v>
      </c>
    </row>
    <row r="39" spans="1:5" x14ac:dyDescent="0.3">
      <c r="A39" t="s">
        <v>124</v>
      </c>
      <c r="B39" t="s">
        <v>125</v>
      </c>
      <c r="C39" t="s">
        <v>15</v>
      </c>
      <c r="D39" t="s">
        <v>126</v>
      </c>
      <c r="E39">
        <v>4</v>
      </c>
    </row>
    <row r="40" spans="1:5" x14ac:dyDescent="0.3">
      <c r="A40" t="s">
        <v>127</v>
      </c>
      <c r="B40" t="s">
        <v>128</v>
      </c>
      <c r="C40" t="s">
        <v>74</v>
      </c>
      <c r="D40" t="s">
        <v>129</v>
      </c>
      <c r="E40">
        <v>3.7</v>
      </c>
    </row>
    <row r="41" spans="1:5" x14ac:dyDescent="0.3">
      <c r="A41" t="s">
        <v>130</v>
      </c>
      <c r="B41" t="s">
        <v>131</v>
      </c>
      <c r="C41" t="s">
        <v>7</v>
      </c>
      <c r="D41" t="s">
        <v>132</v>
      </c>
      <c r="E41">
        <v>4.7</v>
      </c>
    </row>
    <row r="42" spans="1:5" x14ac:dyDescent="0.3">
      <c r="A42" t="s">
        <v>133</v>
      </c>
      <c r="B42" t="s">
        <v>134</v>
      </c>
      <c r="C42" t="s">
        <v>15</v>
      </c>
      <c r="D42" t="s">
        <v>135</v>
      </c>
      <c r="E42">
        <v>4.5</v>
      </c>
    </row>
    <row r="43" spans="1:5" x14ac:dyDescent="0.3">
      <c r="A43" t="s">
        <v>136</v>
      </c>
      <c r="B43" t="s">
        <v>137</v>
      </c>
      <c r="C43" t="s">
        <v>15</v>
      </c>
      <c r="D43" t="s">
        <v>138</v>
      </c>
      <c r="E43">
        <v>4.4000000000000004</v>
      </c>
    </row>
    <row r="44" spans="1:5" x14ac:dyDescent="0.3">
      <c r="A44" t="s">
        <v>139</v>
      </c>
      <c r="B44" t="s">
        <v>140</v>
      </c>
      <c r="C44" t="s">
        <v>11</v>
      </c>
      <c r="D44" t="s">
        <v>141</v>
      </c>
      <c r="E44">
        <v>4.5999999999999996</v>
      </c>
    </row>
    <row r="45" spans="1:5" x14ac:dyDescent="0.3">
      <c r="A45" t="s">
        <v>142</v>
      </c>
      <c r="B45" t="s">
        <v>143</v>
      </c>
      <c r="C45" t="s">
        <v>22</v>
      </c>
      <c r="D45" t="s">
        <v>144</v>
      </c>
      <c r="E45">
        <v>4.5999999999999996</v>
      </c>
    </row>
    <row r="46" spans="1:5" x14ac:dyDescent="0.3">
      <c r="A46" t="s">
        <v>145</v>
      </c>
      <c r="B46" t="s">
        <v>146</v>
      </c>
      <c r="C46" t="s">
        <v>35</v>
      </c>
      <c r="D46" t="s">
        <v>147</v>
      </c>
      <c r="E46">
        <v>4.3</v>
      </c>
    </row>
    <row r="47" spans="1:5" x14ac:dyDescent="0.3">
      <c r="A47" t="s">
        <v>148</v>
      </c>
      <c r="B47" t="s">
        <v>149</v>
      </c>
      <c r="C47" t="s">
        <v>15</v>
      </c>
      <c r="D47" t="s">
        <v>150</v>
      </c>
      <c r="E47">
        <v>3.8</v>
      </c>
    </row>
    <row r="48" spans="1:5" x14ac:dyDescent="0.3">
      <c r="A48" t="s">
        <v>151</v>
      </c>
      <c r="B48" t="s">
        <v>152</v>
      </c>
      <c r="C48" t="s">
        <v>49</v>
      </c>
      <c r="D48" t="s">
        <v>153</v>
      </c>
      <c r="E48">
        <v>5</v>
      </c>
    </row>
    <row r="49" spans="1:5" x14ac:dyDescent="0.3">
      <c r="A49" t="s">
        <v>154</v>
      </c>
      <c r="B49" t="s">
        <v>155</v>
      </c>
      <c r="C49" t="s">
        <v>35</v>
      </c>
      <c r="D49" t="s">
        <v>156</v>
      </c>
      <c r="E49">
        <v>4</v>
      </c>
    </row>
    <row r="50" spans="1:5" x14ac:dyDescent="0.3">
      <c r="A50" t="s">
        <v>157</v>
      </c>
      <c r="B50" t="s">
        <v>158</v>
      </c>
      <c r="C50" t="s">
        <v>22</v>
      </c>
      <c r="D50" t="s">
        <v>159</v>
      </c>
      <c r="E50">
        <v>4.3</v>
      </c>
    </row>
    <row r="51" spans="1:5" x14ac:dyDescent="0.3">
      <c r="A51" t="s">
        <v>160</v>
      </c>
      <c r="B51" t="s">
        <v>161</v>
      </c>
      <c r="C51" t="s">
        <v>74</v>
      </c>
      <c r="D51" t="s">
        <v>162</v>
      </c>
      <c r="E51">
        <v>4.3</v>
      </c>
    </row>
    <row r="52" spans="1:5" x14ac:dyDescent="0.3">
      <c r="A52" t="s">
        <v>163</v>
      </c>
      <c r="B52" t="s">
        <v>164</v>
      </c>
      <c r="C52" t="s">
        <v>45</v>
      </c>
      <c r="D52" t="s">
        <v>165</v>
      </c>
      <c r="E52">
        <v>4.7</v>
      </c>
    </row>
    <row r="53" spans="1:5" x14ac:dyDescent="0.3">
      <c r="A53" t="s">
        <v>166</v>
      </c>
      <c r="B53" t="s">
        <v>167</v>
      </c>
      <c r="C53" t="s">
        <v>7</v>
      </c>
      <c r="D53" t="s">
        <v>168</v>
      </c>
      <c r="E53">
        <v>3.6</v>
      </c>
    </row>
    <row r="54" spans="1:5" x14ac:dyDescent="0.3">
      <c r="A54" t="s">
        <v>169</v>
      </c>
      <c r="B54" t="s">
        <v>170</v>
      </c>
      <c r="C54" t="s">
        <v>74</v>
      </c>
      <c r="D54" t="s">
        <v>171</v>
      </c>
      <c r="E54">
        <v>5</v>
      </c>
    </row>
    <row r="55" spans="1:5" x14ac:dyDescent="0.3">
      <c r="A55" t="s">
        <v>172</v>
      </c>
      <c r="B55" t="s">
        <v>173</v>
      </c>
      <c r="C55" t="s">
        <v>35</v>
      </c>
      <c r="D55" t="s">
        <v>174</v>
      </c>
      <c r="E55">
        <v>4.0999999999999996</v>
      </c>
    </row>
    <row r="56" spans="1:5" x14ac:dyDescent="0.3">
      <c r="A56" t="s">
        <v>175</v>
      </c>
      <c r="B56" t="s">
        <v>176</v>
      </c>
      <c r="C56" t="s">
        <v>45</v>
      </c>
      <c r="D56" t="s">
        <v>177</v>
      </c>
      <c r="E56">
        <v>4.3</v>
      </c>
    </row>
    <row r="57" spans="1:5" x14ac:dyDescent="0.3">
      <c r="A57" t="s">
        <v>178</v>
      </c>
      <c r="B57" t="s">
        <v>179</v>
      </c>
      <c r="C57" t="s">
        <v>15</v>
      </c>
      <c r="D57" t="s">
        <v>180</v>
      </c>
      <c r="E57">
        <v>4.8</v>
      </c>
    </row>
    <row r="58" spans="1:5" x14ac:dyDescent="0.3">
      <c r="A58" t="s">
        <v>181</v>
      </c>
      <c r="B58" t="s">
        <v>182</v>
      </c>
      <c r="C58" t="s">
        <v>11</v>
      </c>
      <c r="D58" t="s">
        <v>183</v>
      </c>
      <c r="E58">
        <v>4.7</v>
      </c>
    </row>
    <row r="59" spans="1:5" x14ac:dyDescent="0.3">
      <c r="A59" t="s">
        <v>184</v>
      </c>
      <c r="B59" t="s">
        <v>185</v>
      </c>
      <c r="C59" t="s">
        <v>11</v>
      </c>
      <c r="D59" t="s">
        <v>186</v>
      </c>
      <c r="E59">
        <v>4.9000000000000004</v>
      </c>
    </row>
    <row r="60" spans="1:5" x14ac:dyDescent="0.3">
      <c r="A60" t="s">
        <v>187</v>
      </c>
      <c r="B60" t="s">
        <v>188</v>
      </c>
      <c r="C60" t="s">
        <v>45</v>
      </c>
      <c r="D60" t="s">
        <v>189</v>
      </c>
      <c r="E60">
        <v>4.5999999999999996</v>
      </c>
    </row>
    <row r="61" spans="1:5" x14ac:dyDescent="0.3">
      <c r="A61" t="s">
        <v>190</v>
      </c>
      <c r="B61" t="s">
        <v>191</v>
      </c>
      <c r="C61" t="s">
        <v>11</v>
      </c>
      <c r="D61" t="s">
        <v>192</v>
      </c>
      <c r="E61">
        <v>4.4000000000000004</v>
      </c>
    </row>
    <row r="62" spans="1:5" x14ac:dyDescent="0.3">
      <c r="A62" t="s">
        <v>193</v>
      </c>
      <c r="B62" t="s">
        <v>194</v>
      </c>
      <c r="C62" t="s">
        <v>7</v>
      </c>
      <c r="D62" t="s">
        <v>195</v>
      </c>
      <c r="E62">
        <v>4.9000000000000004</v>
      </c>
    </row>
    <row r="63" spans="1:5" x14ac:dyDescent="0.3">
      <c r="A63" t="s">
        <v>196</v>
      </c>
      <c r="B63" t="s">
        <v>197</v>
      </c>
      <c r="C63" t="s">
        <v>74</v>
      </c>
      <c r="D63" t="s">
        <v>198</v>
      </c>
      <c r="E63">
        <v>4</v>
      </c>
    </row>
    <row r="64" spans="1:5" x14ac:dyDescent="0.3">
      <c r="A64" t="s">
        <v>199</v>
      </c>
      <c r="B64" t="s">
        <v>200</v>
      </c>
      <c r="C64" t="s">
        <v>45</v>
      </c>
      <c r="D64" t="s">
        <v>201</v>
      </c>
      <c r="E64">
        <v>4.8</v>
      </c>
    </row>
    <row r="65" spans="1:5" x14ac:dyDescent="0.3">
      <c r="A65" t="s">
        <v>202</v>
      </c>
      <c r="B65" t="s">
        <v>203</v>
      </c>
      <c r="C65" t="s">
        <v>11</v>
      </c>
      <c r="D65" t="s">
        <v>204</v>
      </c>
      <c r="E65">
        <v>3.7</v>
      </c>
    </row>
    <row r="66" spans="1:5" x14ac:dyDescent="0.3">
      <c r="A66" t="s">
        <v>205</v>
      </c>
      <c r="B66" t="s">
        <v>206</v>
      </c>
      <c r="C66" t="s">
        <v>45</v>
      </c>
      <c r="D66" t="s">
        <v>207</v>
      </c>
      <c r="E66">
        <v>3.5</v>
      </c>
    </row>
    <row r="67" spans="1:5" x14ac:dyDescent="0.3">
      <c r="A67" t="s">
        <v>208</v>
      </c>
      <c r="B67" t="s">
        <v>209</v>
      </c>
      <c r="C67" t="s">
        <v>7</v>
      </c>
      <c r="D67" t="s">
        <v>210</v>
      </c>
      <c r="E67">
        <v>4.9000000000000004</v>
      </c>
    </row>
    <row r="68" spans="1:5" x14ac:dyDescent="0.3">
      <c r="A68" t="s">
        <v>211</v>
      </c>
      <c r="B68" t="s">
        <v>212</v>
      </c>
      <c r="C68" t="s">
        <v>35</v>
      </c>
      <c r="D68" t="s">
        <v>213</v>
      </c>
      <c r="E68">
        <v>4</v>
      </c>
    </row>
    <row r="69" spans="1:5" x14ac:dyDescent="0.3">
      <c r="A69" t="s">
        <v>214</v>
      </c>
      <c r="B69" t="s">
        <v>215</v>
      </c>
      <c r="C69" t="s">
        <v>49</v>
      </c>
      <c r="D69" t="s">
        <v>216</v>
      </c>
      <c r="E69">
        <v>4.9000000000000004</v>
      </c>
    </row>
    <row r="70" spans="1:5" x14ac:dyDescent="0.3">
      <c r="A70" t="s">
        <v>217</v>
      </c>
      <c r="B70" t="s">
        <v>218</v>
      </c>
      <c r="C70" t="s">
        <v>45</v>
      </c>
      <c r="D70" t="s">
        <v>219</v>
      </c>
      <c r="E70">
        <v>4.5999999999999996</v>
      </c>
    </row>
    <row r="71" spans="1:5" x14ac:dyDescent="0.3">
      <c r="A71" t="s">
        <v>220</v>
      </c>
      <c r="B71" t="s">
        <v>221</v>
      </c>
      <c r="C71" t="s">
        <v>45</v>
      </c>
      <c r="D71" t="s">
        <v>222</v>
      </c>
      <c r="E71">
        <v>3.8</v>
      </c>
    </row>
    <row r="72" spans="1:5" x14ac:dyDescent="0.3">
      <c r="A72" t="s">
        <v>223</v>
      </c>
      <c r="B72" t="s">
        <v>224</v>
      </c>
      <c r="C72" t="s">
        <v>49</v>
      </c>
      <c r="D72" t="s">
        <v>225</v>
      </c>
      <c r="E72">
        <v>4.0999999999999996</v>
      </c>
    </row>
    <row r="73" spans="1:5" x14ac:dyDescent="0.3">
      <c r="A73" t="s">
        <v>226</v>
      </c>
      <c r="B73" t="s">
        <v>227</v>
      </c>
      <c r="C73" t="s">
        <v>7</v>
      </c>
      <c r="D73" t="s">
        <v>228</v>
      </c>
      <c r="E73">
        <v>3.9</v>
      </c>
    </row>
    <row r="74" spans="1:5" x14ac:dyDescent="0.3">
      <c r="A74" t="s">
        <v>229</v>
      </c>
      <c r="B74" t="s">
        <v>230</v>
      </c>
      <c r="C74" t="s">
        <v>74</v>
      </c>
      <c r="D74" t="s">
        <v>231</v>
      </c>
      <c r="E74">
        <v>4.3</v>
      </c>
    </row>
    <row r="75" spans="1:5" x14ac:dyDescent="0.3">
      <c r="A75" t="s">
        <v>232</v>
      </c>
      <c r="B75" t="s">
        <v>233</v>
      </c>
      <c r="C75" t="s">
        <v>49</v>
      </c>
      <c r="D75" t="s">
        <v>234</v>
      </c>
      <c r="E75">
        <v>4.2</v>
      </c>
    </row>
    <row r="76" spans="1:5" x14ac:dyDescent="0.3">
      <c r="A76" t="s">
        <v>235</v>
      </c>
      <c r="B76" t="s">
        <v>236</v>
      </c>
      <c r="C76" t="s">
        <v>49</v>
      </c>
      <c r="D76" t="s">
        <v>237</v>
      </c>
      <c r="E76">
        <v>3.5</v>
      </c>
    </row>
    <row r="77" spans="1:5" x14ac:dyDescent="0.3">
      <c r="A77" t="s">
        <v>238</v>
      </c>
      <c r="B77" t="s">
        <v>239</v>
      </c>
      <c r="C77" t="s">
        <v>74</v>
      </c>
      <c r="D77" t="s">
        <v>240</v>
      </c>
      <c r="E77">
        <v>4.5</v>
      </c>
    </row>
    <row r="78" spans="1:5" x14ac:dyDescent="0.3">
      <c r="A78" t="s">
        <v>241</v>
      </c>
      <c r="B78" t="s">
        <v>242</v>
      </c>
      <c r="C78" t="s">
        <v>7</v>
      </c>
      <c r="D78" t="s">
        <v>243</v>
      </c>
      <c r="E78">
        <v>3.9</v>
      </c>
    </row>
    <row r="79" spans="1:5" x14ac:dyDescent="0.3">
      <c r="A79" t="s">
        <v>244</v>
      </c>
      <c r="B79" t="s">
        <v>245</v>
      </c>
      <c r="C79" t="s">
        <v>35</v>
      </c>
      <c r="D79" t="s">
        <v>246</v>
      </c>
      <c r="E79">
        <v>4.9000000000000004</v>
      </c>
    </row>
    <row r="80" spans="1:5" x14ac:dyDescent="0.3">
      <c r="A80" t="s">
        <v>247</v>
      </c>
      <c r="B80" t="s">
        <v>248</v>
      </c>
      <c r="C80" t="s">
        <v>49</v>
      </c>
      <c r="D80" t="s">
        <v>249</v>
      </c>
      <c r="E80">
        <v>4.2</v>
      </c>
    </row>
    <row r="81" spans="1:5" x14ac:dyDescent="0.3">
      <c r="A81" t="s">
        <v>250</v>
      </c>
      <c r="B81" t="s">
        <v>251</v>
      </c>
      <c r="C81" t="s">
        <v>22</v>
      </c>
      <c r="D81" t="s">
        <v>252</v>
      </c>
      <c r="E81">
        <v>4.7</v>
      </c>
    </row>
    <row r="82" spans="1:5" x14ac:dyDescent="0.3">
      <c r="A82" t="s">
        <v>253</v>
      </c>
      <c r="B82" t="s">
        <v>254</v>
      </c>
      <c r="C82" t="s">
        <v>49</v>
      </c>
      <c r="D82" t="s">
        <v>255</v>
      </c>
      <c r="E82">
        <v>4.2</v>
      </c>
    </row>
    <row r="83" spans="1:5" x14ac:dyDescent="0.3">
      <c r="A83" t="s">
        <v>256</v>
      </c>
      <c r="B83" t="s">
        <v>257</v>
      </c>
      <c r="C83" t="s">
        <v>74</v>
      </c>
      <c r="D83" t="s">
        <v>258</v>
      </c>
      <c r="E83">
        <v>4.9000000000000004</v>
      </c>
    </row>
    <row r="84" spans="1:5" x14ac:dyDescent="0.3">
      <c r="A84" t="s">
        <v>259</v>
      </c>
      <c r="B84" t="s">
        <v>260</v>
      </c>
      <c r="C84" t="s">
        <v>7</v>
      </c>
      <c r="D84" t="s">
        <v>261</v>
      </c>
      <c r="E84">
        <v>4.5</v>
      </c>
    </row>
    <row r="85" spans="1:5" x14ac:dyDescent="0.3">
      <c r="A85" t="s">
        <v>262</v>
      </c>
      <c r="B85" t="s">
        <v>263</v>
      </c>
      <c r="C85" t="s">
        <v>49</v>
      </c>
      <c r="D85" t="s">
        <v>264</v>
      </c>
      <c r="E85">
        <v>4.9000000000000004</v>
      </c>
    </row>
    <row r="86" spans="1:5" x14ac:dyDescent="0.3">
      <c r="A86" t="s">
        <v>265</v>
      </c>
      <c r="B86" t="s">
        <v>266</v>
      </c>
      <c r="C86" t="s">
        <v>45</v>
      </c>
      <c r="D86" t="s">
        <v>267</v>
      </c>
      <c r="E86">
        <v>4.2</v>
      </c>
    </row>
    <row r="87" spans="1:5" x14ac:dyDescent="0.3">
      <c r="A87" t="s">
        <v>268</v>
      </c>
      <c r="B87" t="s">
        <v>269</v>
      </c>
      <c r="C87" t="s">
        <v>74</v>
      </c>
      <c r="D87" t="s">
        <v>270</v>
      </c>
      <c r="E87">
        <v>4</v>
      </c>
    </row>
    <row r="88" spans="1:5" x14ac:dyDescent="0.3">
      <c r="A88" t="s">
        <v>271</v>
      </c>
      <c r="B88" t="s">
        <v>272</v>
      </c>
      <c r="C88" t="s">
        <v>35</v>
      </c>
      <c r="D88" t="s">
        <v>273</v>
      </c>
      <c r="E88">
        <v>4.8</v>
      </c>
    </row>
    <row r="89" spans="1:5" x14ac:dyDescent="0.3">
      <c r="A89" t="s">
        <v>274</v>
      </c>
      <c r="B89" t="s">
        <v>275</v>
      </c>
      <c r="C89" t="s">
        <v>45</v>
      </c>
      <c r="D89" t="s">
        <v>276</v>
      </c>
      <c r="E89">
        <v>4.5999999999999996</v>
      </c>
    </row>
    <row r="90" spans="1:5" x14ac:dyDescent="0.3">
      <c r="A90" t="s">
        <v>277</v>
      </c>
      <c r="B90" t="s">
        <v>278</v>
      </c>
      <c r="C90" t="s">
        <v>35</v>
      </c>
      <c r="D90" t="s">
        <v>279</v>
      </c>
      <c r="E90">
        <v>4.5999999999999996</v>
      </c>
    </row>
    <row r="91" spans="1:5" x14ac:dyDescent="0.3">
      <c r="A91" t="s">
        <v>280</v>
      </c>
      <c r="B91" t="s">
        <v>281</v>
      </c>
      <c r="C91" t="s">
        <v>35</v>
      </c>
      <c r="D91" t="s">
        <v>282</v>
      </c>
      <c r="E91">
        <v>4.8</v>
      </c>
    </row>
    <row r="92" spans="1:5" x14ac:dyDescent="0.3">
      <c r="A92" t="s">
        <v>283</v>
      </c>
      <c r="B92" t="s">
        <v>284</v>
      </c>
      <c r="C92" t="s">
        <v>74</v>
      </c>
      <c r="D92" t="s">
        <v>285</v>
      </c>
      <c r="E92">
        <v>3.9</v>
      </c>
    </row>
    <row r="93" spans="1:5" x14ac:dyDescent="0.3">
      <c r="A93" t="s">
        <v>286</v>
      </c>
      <c r="B93" t="s">
        <v>287</v>
      </c>
      <c r="C93" t="s">
        <v>15</v>
      </c>
      <c r="D93" t="s">
        <v>288</v>
      </c>
      <c r="E93">
        <v>5</v>
      </c>
    </row>
    <row r="94" spans="1:5" x14ac:dyDescent="0.3">
      <c r="A94" t="s">
        <v>289</v>
      </c>
      <c r="B94" t="s">
        <v>290</v>
      </c>
      <c r="C94" t="s">
        <v>35</v>
      </c>
      <c r="D94" t="s">
        <v>291</v>
      </c>
      <c r="E94">
        <v>4.5</v>
      </c>
    </row>
    <row r="95" spans="1:5" x14ac:dyDescent="0.3">
      <c r="A95" t="s">
        <v>292</v>
      </c>
      <c r="B95" t="s">
        <v>293</v>
      </c>
      <c r="C95" t="s">
        <v>11</v>
      </c>
      <c r="D95" t="s">
        <v>294</v>
      </c>
      <c r="E95">
        <v>4.9000000000000004</v>
      </c>
    </row>
    <row r="96" spans="1:5" x14ac:dyDescent="0.3">
      <c r="A96" t="s">
        <v>295</v>
      </c>
      <c r="B96" t="s">
        <v>296</v>
      </c>
      <c r="C96" t="s">
        <v>49</v>
      </c>
      <c r="D96" t="s">
        <v>297</v>
      </c>
      <c r="E96">
        <v>4.0999999999999996</v>
      </c>
    </row>
    <row r="97" spans="1:5" x14ac:dyDescent="0.3">
      <c r="A97" t="s">
        <v>298</v>
      </c>
      <c r="B97" t="s">
        <v>299</v>
      </c>
      <c r="C97" t="s">
        <v>11</v>
      </c>
      <c r="D97" t="s">
        <v>300</v>
      </c>
      <c r="E97">
        <v>4.5</v>
      </c>
    </row>
    <row r="98" spans="1:5" x14ac:dyDescent="0.3">
      <c r="A98" t="s">
        <v>301</v>
      </c>
      <c r="B98" t="s">
        <v>302</v>
      </c>
      <c r="C98" t="s">
        <v>74</v>
      </c>
      <c r="D98" t="s">
        <v>303</v>
      </c>
      <c r="E98">
        <v>3.9</v>
      </c>
    </row>
    <row r="99" spans="1:5" x14ac:dyDescent="0.3">
      <c r="A99" t="s">
        <v>304</v>
      </c>
      <c r="B99" t="s">
        <v>305</v>
      </c>
      <c r="C99" t="s">
        <v>35</v>
      </c>
      <c r="D99" t="s">
        <v>306</v>
      </c>
      <c r="E99">
        <v>4</v>
      </c>
    </row>
    <row r="100" spans="1:5" x14ac:dyDescent="0.3">
      <c r="A100" t="s">
        <v>307</v>
      </c>
      <c r="B100" t="s">
        <v>308</v>
      </c>
      <c r="C100" t="s">
        <v>22</v>
      </c>
      <c r="D100" t="s">
        <v>309</v>
      </c>
      <c r="E100">
        <v>4.4000000000000004</v>
      </c>
    </row>
    <row r="101" spans="1:5" x14ac:dyDescent="0.3">
      <c r="A101" t="s">
        <v>310</v>
      </c>
      <c r="B101" t="s">
        <v>311</v>
      </c>
      <c r="C101" t="s">
        <v>7</v>
      </c>
      <c r="D101" t="s">
        <v>312</v>
      </c>
      <c r="E101">
        <v>4.5999999999999996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1"/>
  <sheetViews>
    <sheetView workbookViewId="0">
      <selection activeCell="G14" sqref="G14"/>
    </sheetView>
  </sheetViews>
  <sheetFormatPr defaultRowHeight="14.4" x14ac:dyDescent="0.3"/>
  <cols>
    <col min="1" max="1" width="14.44140625" customWidth="1"/>
    <col min="2" max="2" width="17.33203125" customWidth="1"/>
    <col min="3" max="3" width="17.44140625" customWidth="1"/>
    <col min="4" max="4" width="14.6640625" customWidth="1"/>
    <col min="5" max="5" width="13.6640625" customWidth="1"/>
  </cols>
  <sheetData>
    <row r="1" spans="1:5" x14ac:dyDescent="0.3">
      <c r="A1" s="1" t="s">
        <v>313</v>
      </c>
      <c r="B1" s="1" t="s">
        <v>314</v>
      </c>
      <c r="C1" s="1" t="s">
        <v>315</v>
      </c>
      <c r="D1" s="1" t="s">
        <v>2</v>
      </c>
      <c r="E1" s="1" t="s">
        <v>316</v>
      </c>
    </row>
    <row r="2" spans="1:5" x14ac:dyDescent="0.3">
      <c r="A2" t="s">
        <v>317</v>
      </c>
      <c r="B2" t="s">
        <v>318</v>
      </c>
      <c r="C2">
        <v>7622636195</v>
      </c>
      <c r="D2" t="s">
        <v>11</v>
      </c>
      <c r="E2">
        <v>488</v>
      </c>
    </row>
    <row r="3" spans="1:5" x14ac:dyDescent="0.3">
      <c r="A3" t="s">
        <v>319</v>
      </c>
      <c r="B3" t="s">
        <v>320</v>
      </c>
      <c r="C3">
        <v>7677852174</v>
      </c>
      <c r="D3" t="s">
        <v>22</v>
      </c>
      <c r="E3">
        <v>1700</v>
      </c>
    </row>
    <row r="4" spans="1:5" x14ac:dyDescent="0.3">
      <c r="A4" t="s">
        <v>321</v>
      </c>
      <c r="B4" t="s">
        <v>322</v>
      </c>
      <c r="C4">
        <v>9483150364</v>
      </c>
      <c r="D4" t="s">
        <v>11</v>
      </c>
      <c r="E4">
        <v>760</v>
      </c>
    </row>
    <row r="5" spans="1:5" x14ac:dyDescent="0.3">
      <c r="A5" t="s">
        <v>323</v>
      </c>
      <c r="B5" t="s">
        <v>324</v>
      </c>
      <c r="C5">
        <v>8864954923</v>
      </c>
      <c r="D5" t="s">
        <v>35</v>
      </c>
      <c r="E5">
        <v>889</v>
      </c>
    </row>
    <row r="6" spans="1:5" x14ac:dyDescent="0.3">
      <c r="A6" t="s">
        <v>325</v>
      </c>
      <c r="B6" t="s">
        <v>326</v>
      </c>
      <c r="C6">
        <v>9441942491</v>
      </c>
      <c r="D6" t="s">
        <v>35</v>
      </c>
      <c r="E6">
        <v>616</v>
      </c>
    </row>
    <row r="7" spans="1:5" x14ac:dyDescent="0.3">
      <c r="A7" t="s">
        <v>327</v>
      </c>
      <c r="B7" t="s">
        <v>328</v>
      </c>
      <c r="C7">
        <v>8600254397</v>
      </c>
      <c r="D7" t="s">
        <v>22</v>
      </c>
      <c r="E7">
        <v>1734</v>
      </c>
    </row>
    <row r="8" spans="1:5" x14ac:dyDescent="0.3">
      <c r="A8" t="s">
        <v>329</v>
      </c>
      <c r="B8" t="s">
        <v>330</v>
      </c>
      <c r="C8">
        <v>9693827318</v>
      </c>
      <c r="D8" t="s">
        <v>49</v>
      </c>
      <c r="E8">
        <v>1527</v>
      </c>
    </row>
    <row r="9" spans="1:5" x14ac:dyDescent="0.3">
      <c r="A9" t="s">
        <v>331</v>
      </c>
      <c r="B9" t="s">
        <v>332</v>
      </c>
      <c r="C9">
        <v>7432720750</v>
      </c>
      <c r="D9" t="s">
        <v>49</v>
      </c>
      <c r="E9">
        <v>1532</v>
      </c>
    </row>
    <row r="10" spans="1:5" x14ac:dyDescent="0.3">
      <c r="A10" t="s">
        <v>333</v>
      </c>
      <c r="B10" t="s">
        <v>334</v>
      </c>
      <c r="C10">
        <v>8921925429</v>
      </c>
      <c r="D10" t="s">
        <v>35</v>
      </c>
      <c r="E10">
        <v>1615</v>
      </c>
    </row>
    <row r="11" spans="1:5" x14ac:dyDescent="0.3">
      <c r="A11" t="s">
        <v>335</v>
      </c>
      <c r="B11" t="s">
        <v>336</v>
      </c>
      <c r="C11">
        <v>8323773962</v>
      </c>
      <c r="D11" t="s">
        <v>49</v>
      </c>
      <c r="E11">
        <v>443</v>
      </c>
    </row>
    <row r="12" spans="1:5" x14ac:dyDescent="0.3">
      <c r="A12" t="s">
        <v>337</v>
      </c>
      <c r="B12" t="s">
        <v>338</v>
      </c>
      <c r="C12">
        <v>8421613577</v>
      </c>
      <c r="D12" t="s">
        <v>45</v>
      </c>
      <c r="E12">
        <v>670</v>
      </c>
    </row>
    <row r="13" spans="1:5" x14ac:dyDescent="0.3">
      <c r="A13" t="s">
        <v>339</v>
      </c>
      <c r="B13" t="s">
        <v>340</v>
      </c>
      <c r="C13">
        <v>9906882385</v>
      </c>
      <c r="D13" t="s">
        <v>7</v>
      </c>
      <c r="E13">
        <v>375</v>
      </c>
    </row>
    <row r="14" spans="1:5" x14ac:dyDescent="0.3">
      <c r="A14" t="s">
        <v>341</v>
      </c>
      <c r="B14" t="s">
        <v>342</v>
      </c>
      <c r="C14">
        <v>7768191958</v>
      </c>
      <c r="D14" t="s">
        <v>15</v>
      </c>
      <c r="E14">
        <v>1329</v>
      </c>
    </row>
    <row r="15" spans="1:5" x14ac:dyDescent="0.3">
      <c r="A15" t="s">
        <v>343</v>
      </c>
      <c r="B15" t="s">
        <v>344</v>
      </c>
      <c r="C15">
        <v>9935814999</v>
      </c>
      <c r="D15" t="s">
        <v>35</v>
      </c>
      <c r="E15">
        <v>1632</v>
      </c>
    </row>
    <row r="16" spans="1:5" x14ac:dyDescent="0.3">
      <c r="A16" t="s">
        <v>345</v>
      </c>
      <c r="B16" t="s">
        <v>346</v>
      </c>
      <c r="C16">
        <v>9357835398</v>
      </c>
      <c r="D16" t="s">
        <v>74</v>
      </c>
      <c r="E16">
        <v>1689</v>
      </c>
    </row>
    <row r="17" spans="1:5" x14ac:dyDescent="0.3">
      <c r="A17" t="s">
        <v>347</v>
      </c>
      <c r="B17" t="s">
        <v>348</v>
      </c>
      <c r="C17">
        <v>9906982101</v>
      </c>
      <c r="D17" t="s">
        <v>22</v>
      </c>
      <c r="E17">
        <v>1929</v>
      </c>
    </row>
    <row r="18" spans="1:5" x14ac:dyDescent="0.3">
      <c r="A18" t="s">
        <v>349</v>
      </c>
      <c r="B18" t="s">
        <v>350</v>
      </c>
      <c r="C18">
        <v>9385574821</v>
      </c>
      <c r="D18" t="s">
        <v>15</v>
      </c>
      <c r="E18">
        <v>526</v>
      </c>
    </row>
    <row r="19" spans="1:5" x14ac:dyDescent="0.3">
      <c r="A19" t="s">
        <v>351</v>
      </c>
      <c r="B19" t="s">
        <v>352</v>
      </c>
      <c r="C19">
        <v>7720635938</v>
      </c>
      <c r="D19" t="s">
        <v>45</v>
      </c>
      <c r="E19">
        <v>359</v>
      </c>
    </row>
    <row r="20" spans="1:5" x14ac:dyDescent="0.3">
      <c r="A20" t="s">
        <v>353</v>
      </c>
      <c r="B20" t="s">
        <v>354</v>
      </c>
      <c r="C20">
        <v>8893360887</v>
      </c>
      <c r="D20" t="s">
        <v>7</v>
      </c>
      <c r="E20">
        <v>411</v>
      </c>
    </row>
    <row r="21" spans="1:5" x14ac:dyDescent="0.3">
      <c r="A21" t="s">
        <v>355</v>
      </c>
      <c r="B21" t="s">
        <v>356</v>
      </c>
      <c r="C21">
        <v>6489595745</v>
      </c>
      <c r="D21" t="s">
        <v>22</v>
      </c>
      <c r="E21">
        <v>1806</v>
      </c>
    </row>
    <row r="22" spans="1:5" x14ac:dyDescent="0.3">
      <c r="A22" t="s">
        <v>357</v>
      </c>
      <c r="B22" t="s">
        <v>358</v>
      </c>
      <c r="C22">
        <v>6956232408</v>
      </c>
      <c r="D22" t="s">
        <v>35</v>
      </c>
      <c r="E22">
        <v>596</v>
      </c>
    </row>
    <row r="23" spans="1:5" x14ac:dyDescent="0.3">
      <c r="A23" t="s">
        <v>359</v>
      </c>
      <c r="B23" t="s">
        <v>360</v>
      </c>
      <c r="C23">
        <v>6609876216</v>
      </c>
      <c r="D23" t="s">
        <v>35</v>
      </c>
      <c r="E23">
        <v>1490</v>
      </c>
    </row>
    <row r="24" spans="1:5" x14ac:dyDescent="0.3">
      <c r="A24" t="s">
        <v>361</v>
      </c>
      <c r="B24" t="s">
        <v>362</v>
      </c>
      <c r="C24">
        <v>7598340492</v>
      </c>
      <c r="D24" t="s">
        <v>74</v>
      </c>
      <c r="E24">
        <v>607</v>
      </c>
    </row>
    <row r="25" spans="1:5" x14ac:dyDescent="0.3">
      <c r="A25" t="s">
        <v>363</v>
      </c>
      <c r="B25" t="s">
        <v>364</v>
      </c>
      <c r="C25">
        <v>9869489771</v>
      </c>
      <c r="D25" t="s">
        <v>74</v>
      </c>
      <c r="E25">
        <v>1018</v>
      </c>
    </row>
    <row r="26" spans="1:5" x14ac:dyDescent="0.3">
      <c r="A26" t="s">
        <v>365</v>
      </c>
      <c r="B26" t="s">
        <v>366</v>
      </c>
      <c r="C26">
        <v>6965481258</v>
      </c>
      <c r="D26" t="s">
        <v>74</v>
      </c>
      <c r="E26">
        <v>667</v>
      </c>
    </row>
    <row r="27" spans="1:5" x14ac:dyDescent="0.3">
      <c r="A27" t="s">
        <v>367</v>
      </c>
      <c r="B27" t="s">
        <v>368</v>
      </c>
      <c r="C27">
        <v>7554445184</v>
      </c>
      <c r="D27" t="s">
        <v>49</v>
      </c>
      <c r="E27">
        <v>998</v>
      </c>
    </row>
    <row r="28" spans="1:5" x14ac:dyDescent="0.3">
      <c r="A28" t="s">
        <v>369</v>
      </c>
      <c r="B28" t="s">
        <v>370</v>
      </c>
      <c r="C28">
        <v>9379841477</v>
      </c>
      <c r="D28" t="s">
        <v>45</v>
      </c>
      <c r="E28">
        <v>1637</v>
      </c>
    </row>
    <row r="29" spans="1:5" x14ac:dyDescent="0.3">
      <c r="A29" t="s">
        <v>371</v>
      </c>
      <c r="B29" t="s">
        <v>372</v>
      </c>
      <c r="C29">
        <v>8727307508</v>
      </c>
      <c r="D29" t="s">
        <v>45</v>
      </c>
      <c r="E29">
        <v>645</v>
      </c>
    </row>
    <row r="30" spans="1:5" x14ac:dyDescent="0.3">
      <c r="A30" t="s">
        <v>373</v>
      </c>
      <c r="B30" t="s">
        <v>374</v>
      </c>
      <c r="C30">
        <v>8180005486</v>
      </c>
      <c r="D30" t="s">
        <v>49</v>
      </c>
      <c r="E30">
        <v>415</v>
      </c>
    </row>
    <row r="31" spans="1:5" x14ac:dyDescent="0.3">
      <c r="A31" t="s">
        <v>375</v>
      </c>
      <c r="B31" t="s">
        <v>376</v>
      </c>
      <c r="C31">
        <v>8476578057</v>
      </c>
      <c r="D31" t="s">
        <v>74</v>
      </c>
      <c r="E31">
        <v>729</v>
      </c>
    </row>
    <row r="32" spans="1:5" x14ac:dyDescent="0.3">
      <c r="A32" t="s">
        <v>377</v>
      </c>
      <c r="B32" t="s">
        <v>378</v>
      </c>
      <c r="C32">
        <v>9459315857</v>
      </c>
      <c r="D32" t="s">
        <v>74</v>
      </c>
      <c r="E32">
        <v>675</v>
      </c>
    </row>
    <row r="33" spans="1:5" x14ac:dyDescent="0.3">
      <c r="A33" t="s">
        <v>379</v>
      </c>
      <c r="B33" t="s">
        <v>380</v>
      </c>
      <c r="C33">
        <v>9475332899</v>
      </c>
      <c r="D33" t="s">
        <v>11</v>
      </c>
      <c r="E33">
        <v>666</v>
      </c>
    </row>
    <row r="34" spans="1:5" x14ac:dyDescent="0.3">
      <c r="A34" t="s">
        <v>381</v>
      </c>
      <c r="B34" t="s">
        <v>382</v>
      </c>
      <c r="C34">
        <v>6632625799</v>
      </c>
      <c r="D34" t="s">
        <v>15</v>
      </c>
      <c r="E34">
        <v>229</v>
      </c>
    </row>
    <row r="35" spans="1:5" x14ac:dyDescent="0.3">
      <c r="A35" t="s">
        <v>383</v>
      </c>
      <c r="B35" t="s">
        <v>384</v>
      </c>
      <c r="C35">
        <v>7343090698</v>
      </c>
      <c r="D35" t="s">
        <v>22</v>
      </c>
      <c r="E35">
        <v>461</v>
      </c>
    </row>
    <row r="36" spans="1:5" x14ac:dyDescent="0.3">
      <c r="A36" t="s">
        <v>385</v>
      </c>
      <c r="B36" t="s">
        <v>386</v>
      </c>
      <c r="C36">
        <v>8938425136</v>
      </c>
      <c r="D36" t="s">
        <v>7</v>
      </c>
      <c r="E36">
        <v>1731</v>
      </c>
    </row>
    <row r="37" spans="1:5" x14ac:dyDescent="0.3">
      <c r="A37" t="s">
        <v>387</v>
      </c>
      <c r="B37" t="s">
        <v>388</v>
      </c>
      <c r="C37">
        <v>6890829916</v>
      </c>
      <c r="D37" t="s">
        <v>15</v>
      </c>
      <c r="E37">
        <v>315</v>
      </c>
    </row>
    <row r="38" spans="1:5" x14ac:dyDescent="0.3">
      <c r="A38" t="s">
        <v>389</v>
      </c>
      <c r="B38" t="s">
        <v>390</v>
      </c>
      <c r="C38">
        <v>7498535823</v>
      </c>
      <c r="D38" t="s">
        <v>74</v>
      </c>
      <c r="E38">
        <v>1732</v>
      </c>
    </row>
    <row r="39" spans="1:5" x14ac:dyDescent="0.3">
      <c r="A39" t="s">
        <v>391</v>
      </c>
      <c r="B39" t="s">
        <v>392</v>
      </c>
      <c r="C39">
        <v>7219954871</v>
      </c>
      <c r="D39" t="s">
        <v>49</v>
      </c>
      <c r="E39">
        <v>1416</v>
      </c>
    </row>
    <row r="40" spans="1:5" x14ac:dyDescent="0.3">
      <c r="A40" t="s">
        <v>393</v>
      </c>
      <c r="B40" t="s">
        <v>394</v>
      </c>
      <c r="C40">
        <v>6502678202</v>
      </c>
      <c r="D40" t="s">
        <v>49</v>
      </c>
      <c r="E40">
        <v>1356</v>
      </c>
    </row>
    <row r="41" spans="1:5" x14ac:dyDescent="0.3">
      <c r="A41" t="s">
        <v>395</v>
      </c>
      <c r="B41" t="s">
        <v>396</v>
      </c>
      <c r="C41">
        <v>6194271280</v>
      </c>
      <c r="D41" t="s">
        <v>45</v>
      </c>
      <c r="E41">
        <v>228</v>
      </c>
    </row>
    <row r="42" spans="1:5" x14ac:dyDescent="0.3">
      <c r="A42" t="s">
        <v>397</v>
      </c>
      <c r="B42" t="s">
        <v>398</v>
      </c>
      <c r="C42">
        <v>6557069821</v>
      </c>
      <c r="D42" t="s">
        <v>11</v>
      </c>
      <c r="E42">
        <v>372</v>
      </c>
    </row>
    <row r="43" spans="1:5" x14ac:dyDescent="0.3">
      <c r="A43" t="s">
        <v>399</v>
      </c>
      <c r="B43" t="s">
        <v>400</v>
      </c>
      <c r="C43">
        <v>6845243942</v>
      </c>
      <c r="D43" t="s">
        <v>45</v>
      </c>
      <c r="E43">
        <v>1173</v>
      </c>
    </row>
    <row r="44" spans="1:5" x14ac:dyDescent="0.3">
      <c r="A44" t="s">
        <v>401</v>
      </c>
      <c r="B44" t="s">
        <v>402</v>
      </c>
      <c r="C44">
        <v>9050756773</v>
      </c>
      <c r="D44" t="s">
        <v>15</v>
      </c>
      <c r="E44">
        <v>1523</v>
      </c>
    </row>
    <row r="45" spans="1:5" x14ac:dyDescent="0.3">
      <c r="A45" t="s">
        <v>403</v>
      </c>
      <c r="B45" t="s">
        <v>404</v>
      </c>
      <c r="C45">
        <v>6709790666</v>
      </c>
      <c r="D45" t="s">
        <v>35</v>
      </c>
      <c r="E45">
        <v>788</v>
      </c>
    </row>
    <row r="46" spans="1:5" x14ac:dyDescent="0.3">
      <c r="A46" t="s">
        <v>405</v>
      </c>
      <c r="B46" t="s">
        <v>406</v>
      </c>
      <c r="C46">
        <v>8120738991</v>
      </c>
      <c r="D46" t="s">
        <v>7</v>
      </c>
      <c r="E46">
        <v>1460</v>
      </c>
    </row>
    <row r="47" spans="1:5" x14ac:dyDescent="0.3">
      <c r="A47" t="s">
        <v>407</v>
      </c>
      <c r="B47" t="s">
        <v>408</v>
      </c>
      <c r="C47">
        <v>6863083311</v>
      </c>
      <c r="D47" t="s">
        <v>15</v>
      </c>
      <c r="E47">
        <v>1644</v>
      </c>
    </row>
    <row r="48" spans="1:5" x14ac:dyDescent="0.3">
      <c r="A48" t="s">
        <v>409</v>
      </c>
      <c r="B48" t="s">
        <v>410</v>
      </c>
      <c r="C48">
        <v>8090097579</v>
      </c>
      <c r="D48" t="s">
        <v>22</v>
      </c>
      <c r="E48">
        <v>514</v>
      </c>
    </row>
    <row r="49" spans="1:5" x14ac:dyDescent="0.3">
      <c r="A49" t="s">
        <v>411</v>
      </c>
      <c r="B49" t="s">
        <v>412</v>
      </c>
      <c r="C49">
        <v>7284998658</v>
      </c>
      <c r="D49" t="s">
        <v>7</v>
      </c>
      <c r="E49">
        <v>576</v>
      </c>
    </row>
    <row r="50" spans="1:5" x14ac:dyDescent="0.3">
      <c r="A50" t="s">
        <v>413</v>
      </c>
      <c r="B50" t="s">
        <v>414</v>
      </c>
      <c r="C50">
        <v>6076792239</v>
      </c>
      <c r="D50" t="s">
        <v>74</v>
      </c>
      <c r="E50">
        <v>1069</v>
      </c>
    </row>
    <row r="51" spans="1:5" x14ac:dyDescent="0.3">
      <c r="A51" t="s">
        <v>415</v>
      </c>
      <c r="B51" t="s">
        <v>416</v>
      </c>
      <c r="C51">
        <v>6945929097</v>
      </c>
      <c r="D51" t="s">
        <v>45</v>
      </c>
      <c r="E51">
        <v>1684</v>
      </c>
    </row>
    <row r="52" spans="1:5" x14ac:dyDescent="0.3">
      <c r="A52" t="s">
        <v>417</v>
      </c>
      <c r="B52" t="s">
        <v>418</v>
      </c>
      <c r="C52">
        <v>6697168560</v>
      </c>
      <c r="D52" t="s">
        <v>49</v>
      </c>
      <c r="E52">
        <v>1317</v>
      </c>
    </row>
    <row r="53" spans="1:5" x14ac:dyDescent="0.3">
      <c r="A53" t="s">
        <v>419</v>
      </c>
      <c r="B53" t="s">
        <v>420</v>
      </c>
      <c r="C53">
        <v>9977492927</v>
      </c>
      <c r="D53" t="s">
        <v>35</v>
      </c>
      <c r="E53">
        <v>421</v>
      </c>
    </row>
    <row r="54" spans="1:5" x14ac:dyDescent="0.3">
      <c r="A54" t="s">
        <v>421</v>
      </c>
      <c r="B54" t="s">
        <v>422</v>
      </c>
      <c r="C54">
        <v>8381526654</v>
      </c>
      <c r="D54" t="s">
        <v>49</v>
      </c>
      <c r="E54">
        <v>1389</v>
      </c>
    </row>
    <row r="55" spans="1:5" x14ac:dyDescent="0.3">
      <c r="A55" t="s">
        <v>423</v>
      </c>
      <c r="B55" t="s">
        <v>424</v>
      </c>
      <c r="C55">
        <v>7112300803</v>
      </c>
      <c r="D55" t="s">
        <v>22</v>
      </c>
      <c r="E55">
        <v>667</v>
      </c>
    </row>
    <row r="56" spans="1:5" x14ac:dyDescent="0.3">
      <c r="A56" t="s">
        <v>425</v>
      </c>
      <c r="B56" t="s">
        <v>426</v>
      </c>
      <c r="C56">
        <v>7007401606</v>
      </c>
      <c r="D56" t="s">
        <v>45</v>
      </c>
      <c r="E56">
        <v>799</v>
      </c>
    </row>
    <row r="57" spans="1:5" x14ac:dyDescent="0.3">
      <c r="A57" t="s">
        <v>427</v>
      </c>
      <c r="B57" t="s">
        <v>428</v>
      </c>
      <c r="C57">
        <v>9047977536</v>
      </c>
      <c r="D57" t="s">
        <v>22</v>
      </c>
      <c r="E57">
        <v>859</v>
      </c>
    </row>
    <row r="58" spans="1:5" x14ac:dyDescent="0.3">
      <c r="A58" t="s">
        <v>429</v>
      </c>
      <c r="B58" t="s">
        <v>430</v>
      </c>
      <c r="C58">
        <v>7292202050</v>
      </c>
      <c r="D58" t="s">
        <v>22</v>
      </c>
      <c r="E58">
        <v>1330</v>
      </c>
    </row>
    <row r="59" spans="1:5" x14ac:dyDescent="0.3">
      <c r="A59" t="s">
        <v>431</v>
      </c>
      <c r="B59" t="s">
        <v>432</v>
      </c>
      <c r="C59">
        <v>8453449166</v>
      </c>
      <c r="D59" t="s">
        <v>49</v>
      </c>
      <c r="E59">
        <v>1292</v>
      </c>
    </row>
    <row r="60" spans="1:5" x14ac:dyDescent="0.3">
      <c r="A60" t="s">
        <v>433</v>
      </c>
      <c r="B60" t="s">
        <v>434</v>
      </c>
      <c r="C60">
        <v>7592665258</v>
      </c>
      <c r="D60" t="s">
        <v>7</v>
      </c>
      <c r="E60">
        <v>1082</v>
      </c>
    </row>
    <row r="61" spans="1:5" x14ac:dyDescent="0.3">
      <c r="A61" t="s">
        <v>435</v>
      </c>
      <c r="B61" t="s">
        <v>436</v>
      </c>
      <c r="C61">
        <v>9724247858</v>
      </c>
      <c r="D61" t="s">
        <v>22</v>
      </c>
      <c r="E61">
        <v>788</v>
      </c>
    </row>
    <row r="62" spans="1:5" x14ac:dyDescent="0.3">
      <c r="A62" t="s">
        <v>437</v>
      </c>
      <c r="B62" t="s">
        <v>438</v>
      </c>
      <c r="C62">
        <v>9271579717</v>
      </c>
      <c r="D62" t="s">
        <v>49</v>
      </c>
      <c r="E62">
        <v>992</v>
      </c>
    </row>
    <row r="63" spans="1:5" x14ac:dyDescent="0.3">
      <c r="A63" t="s">
        <v>439</v>
      </c>
      <c r="B63" t="s">
        <v>440</v>
      </c>
      <c r="C63">
        <v>8382654714</v>
      </c>
      <c r="D63" t="s">
        <v>35</v>
      </c>
      <c r="E63">
        <v>1102</v>
      </c>
    </row>
    <row r="64" spans="1:5" x14ac:dyDescent="0.3">
      <c r="A64" t="s">
        <v>441</v>
      </c>
      <c r="B64" t="s">
        <v>442</v>
      </c>
      <c r="C64">
        <v>6525196378</v>
      </c>
      <c r="D64" t="s">
        <v>11</v>
      </c>
      <c r="E64">
        <v>295</v>
      </c>
    </row>
    <row r="65" spans="1:5" x14ac:dyDescent="0.3">
      <c r="A65" t="s">
        <v>443</v>
      </c>
      <c r="B65" t="s">
        <v>444</v>
      </c>
      <c r="C65">
        <v>7677611869</v>
      </c>
      <c r="D65" t="s">
        <v>74</v>
      </c>
      <c r="E65">
        <v>1299</v>
      </c>
    </row>
    <row r="66" spans="1:5" x14ac:dyDescent="0.3">
      <c r="A66" t="s">
        <v>445</v>
      </c>
      <c r="B66" t="s">
        <v>446</v>
      </c>
      <c r="C66">
        <v>6111154915</v>
      </c>
      <c r="D66" t="s">
        <v>7</v>
      </c>
      <c r="E66">
        <v>353</v>
      </c>
    </row>
    <row r="67" spans="1:5" x14ac:dyDescent="0.3">
      <c r="A67" t="s">
        <v>447</v>
      </c>
      <c r="B67" t="s">
        <v>448</v>
      </c>
      <c r="C67">
        <v>6274895986</v>
      </c>
      <c r="D67" t="s">
        <v>35</v>
      </c>
      <c r="E67">
        <v>1810</v>
      </c>
    </row>
    <row r="68" spans="1:5" x14ac:dyDescent="0.3">
      <c r="A68" t="s">
        <v>449</v>
      </c>
      <c r="B68" t="s">
        <v>450</v>
      </c>
      <c r="C68">
        <v>9363956707</v>
      </c>
      <c r="D68" t="s">
        <v>7</v>
      </c>
      <c r="E68">
        <v>1183</v>
      </c>
    </row>
    <row r="69" spans="1:5" x14ac:dyDescent="0.3">
      <c r="A69" t="s">
        <v>451</v>
      </c>
      <c r="B69" t="s">
        <v>452</v>
      </c>
      <c r="C69">
        <v>8865293646</v>
      </c>
      <c r="D69" t="s">
        <v>74</v>
      </c>
      <c r="E69">
        <v>739</v>
      </c>
    </row>
    <row r="70" spans="1:5" x14ac:dyDescent="0.3">
      <c r="A70" t="s">
        <v>453</v>
      </c>
      <c r="B70" t="s">
        <v>454</v>
      </c>
      <c r="C70">
        <v>6683858762</v>
      </c>
      <c r="D70" t="s">
        <v>49</v>
      </c>
      <c r="E70">
        <v>1375</v>
      </c>
    </row>
    <row r="71" spans="1:5" x14ac:dyDescent="0.3">
      <c r="A71" t="s">
        <v>455</v>
      </c>
      <c r="B71" t="s">
        <v>456</v>
      </c>
      <c r="C71">
        <v>8371261623</v>
      </c>
      <c r="D71" t="s">
        <v>11</v>
      </c>
      <c r="E71">
        <v>1370</v>
      </c>
    </row>
    <row r="72" spans="1:5" x14ac:dyDescent="0.3">
      <c r="A72" t="s">
        <v>457</v>
      </c>
      <c r="B72" t="s">
        <v>458</v>
      </c>
      <c r="C72">
        <v>8384410161</v>
      </c>
      <c r="D72" t="s">
        <v>35</v>
      </c>
      <c r="E72">
        <v>1580</v>
      </c>
    </row>
    <row r="73" spans="1:5" x14ac:dyDescent="0.3">
      <c r="A73" t="s">
        <v>459</v>
      </c>
      <c r="B73" t="s">
        <v>460</v>
      </c>
      <c r="C73">
        <v>6840142885</v>
      </c>
      <c r="D73" t="s">
        <v>35</v>
      </c>
      <c r="E73">
        <v>726</v>
      </c>
    </row>
    <row r="74" spans="1:5" x14ac:dyDescent="0.3">
      <c r="A74" t="s">
        <v>461</v>
      </c>
      <c r="B74" t="s">
        <v>462</v>
      </c>
      <c r="C74">
        <v>7119980390</v>
      </c>
      <c r="D74" t="s">
        <v>7</v>
      </c>
      <c r="E74">
        <v>1345</v>
      </c>
    </row>
    <row r="75" spans="1:5" x14ac:dyDescent="0.3">
      <c r="A75" t="s">
        <v>463</v>
      </c>
      <c r="B75" t="s">
        <v>464</v>
      </c>
      <c r="C75">
        <v>9043377965</v>
      </c>
      <c r="D75" t="s">
        <v>45</v>
      </c>
      <c r="E75">
        <v>663</v>
      </c>
    </row>
    <row r="76" spans="1:5" x14ac:dyDescent="0.3">
      <c r="A76" t="s">
        <v>465</v>
      </c>
      <c r="B76" t="s">
        <v>466</v>
      </c>
      <c r="C76">
        <v>6961201042</v>
      </c>
      <c r="D76" t="s">
        <v>15</v>
      </c>
      <c r="E76">
        <v>1379</v>
      </c>
    </row>
    <row r="77" spans="1:5" x14ac:dyDescent="0.3">
      <c r="A77" t="s">
        <v>467</v>
      </c>
      <c r="B77" t="s">
        <v>468</v>
      </c>
      <c r="C77">
        <v>8132122692</v>
      </c>
      <c r="D77" t="s">
        <v>49</v>
      </c>
      <c r="E77">
        <v>1867</v>
      </c>
    </row>
    <row r="78" spans="1:5" x14ac:dyDescent="0.3">
      <c r="A78" t="s">
        <v>469</v>
      </c>
      <c r="B78" t="s">
        <v>470</v>
      </c>
      <c r="C78">
        <v>8527759688</v>
      </c>
      <c r="D78" t="s">
        <v>35</v>
      </c>
      <c r="E78">
        <v>435</v>
      </c>
    </row>
    <row r="79" spans="1:5" x14ac:dyDescent="0.3">
      <c r="A79" t="s">
        <v>471</v>
      </c>
      <c r="B79" t="s">
        <v>472</v>
      </c>
      <c r="C79">
        <v>8648775121</v>
      </c>
      <c r="D79" t="s">
        <v>49</v>
      </c>
      <c r="E79">
        <v>232</v>
      </c>
    </row>
    <row r="80" spans="1:5" x14ac:dyDescent="0.3">
      <c r="A80" t="s">
        <v>473</v>
      </c>
      <c r="B80" t="s">
        <v>474</v>
      </c>
      <c r="C80">
        <v>8579057011</v>
      </c>
      <c r="D80" t="s">
        <v>35</v>
      </c>
      <c r="E80">
        <v>418</v>
      </c>
    </row>
    <row r="81" spans="1:5" x14ac:dyDescent="0.3">
      <c r="A81" t="s">
        <v>475</v>
      </c>
      <c r="B81" t="s">
        <v>476</v>
      </c>
      <c r="C81">
        <v>7558937684</v>
      </c>
      <c r="D81" t="s">
        <v>35</v>
      </c>
      <c r="E81">
        <v>257</v>
      </c>
    </row>
    <row r="82" spans="1:5" x14ac:dyDescent="0.3">
      <c r="A82" t="s">
        <v>477</v>
      </c>
      <c r="B82" t="s">
        <v>478</v>
      </c>
      <c r="C82">
        <v>8815469511</v>
      </c>
      <c r="D82" t="s">
        <v>45</v>
      </c>
      <c r="E82">
        <v>1377</v>
      </c>
    </row>
    <row r="83" spans="1:5" x14ac:dyDescent="0.3">
      <c r="A83" t="s">
        <v>479</v>
      </c>
      <c r="B83" t="s">
        <v>480</v>
      </c>
      <c r="C83">
        <v>9189378104</v>
      </c>
      <c r="D83" t="s">
        <v>45</v>
      </c>
      <c r="E83">
        <v>1916</v>
      </c>
    </row>
    <row r="84" spans="1:5" x14ac:dyDescent="0.3">
      <c r="A84" t="s">
        <v>481</v>
      </c>
      <c r="B84" t="s">
        <v>482</v>
      </c>
      <c r="C84">
        <v>8077158132</v>
      </c>
      <c r="D84" t="s">
        <v>35</v>
      </c>
      <c r="E84">
        <v>1276</v>
      </c>
    </row>
    <row r="85" spans="1:5" x14ac:dyDescent="0.3">
      <c r="A85" t="s">
        <v>483</v>
      </c>
      <c r="B85" t="s">
        <v>484</v>
      </c>
      <c r="C85">
        <v>6327141785</v>
      </c>
      <c r="D85" t="s">
        <v>49</v>
      </c>
      <c r="E85">
        <v>1758</v>
      </c>
    </row>
    <row r="86" spans="1:5" x14ac:dyDescent="0.3">
      <c r="A86" t="s">
        <v>485</v>
      </c>
      <c r="B86" t="s">
        <v>486</v>
      </c>
      <c r="C86">
        <v>9059926472</v>
      </c>
      <c r="D86" t="s">
        <v>7</v>
      </c>
      <c r="E86">
        <v>1931</v>
      </c>
    </row>
    <row r="87" spans="1:5" x14ac:dyDescent="0.3">
      <c r="A87" t="s">
        <v>487</v>
      </c>
      <c r="B87" t="s">
        <v>488</v>
      </c>
      <c r="C87">
        <v>6215676989</v>
      </c>
      <c r="D87" t="s">
        <v>35</v>
      </c>
      <c r="E87">
        <v>965</v>
      </c>
    </row>
    <row r="88" spans="1:5" x14ac:dyDescent="0.3">
      <c r="A88" t="s">
        <v>489</v>
      </c>
      <c r="B88" t="s">
        <v>490</v>
      </c>
      <c r="C88">
        <v>9926273440</v>
      </c>
      <c r="D88" t="s">
        <v>35</v>
      </c>
      <c r="E88">
        <v>773</v>
      </c>
    </row>
    <row r="89" spans="1:5" x14ac:dyDescent="0.3">
      <c r="A89" t="s">
        <v>491</v>
      </c>
      <c r="B89" t="s">
        <v>492</v>
      </c>
      <c r="C89">
        <v>7571587919</v>
      </c>
      <c r="D89" t="s">
        <v>74</v>
      </c>
      <c r="E89">
        <v>850</v>
      </c>
    </row>
    <row r="90" spans="1:5" x14ac:dyDescent="0.3">
      <c r="A90" t="s">
        <v>493</v>
      </c>
      <c r="B90" t="s">
        <v>494</v>
      </c>
      <c r="C90">
        <v>8545291439</v>
      </c>
      <c r="D90" t="s">
        <v>45</v>
      </c>
      <c r="E90">
        <v>719</v>
      </c>
    </row>
    <row r="91" spans="1:5" x14ac:dyDescent="0.3">
      <c r="A91" t="s">
        <v>495</v>
      </c>
      <c r="B91" t="s">
        <v>496</v>
      </c>
      <c r="C91">
        <v>9719709865</v>
      </c>
      <c r="D91" t="s">
        <v>22</v>
      </c>
      <c r="E91">
        <v>731</v>
      </c>
    </row>
    <row r="92" spans="1:5" x14ac:dyDescent="0.3">
      <c r="A92" t="s">
        <v>497</v>
      </c>
      <c r="B92" t="s">
        <v>498</v>
      </c>
      <c r="C92">
        <v>9060242456</v>
      </c>
      <c r="D92" t="s">
        <v>11</v>
      </c>
      <c r="E92">
        <v>933</v>
      </c>
    </row>
    <row r="93" spans="1:5" x14ac:dyDescent="0.3">
      <c r="A93" t="s">
        <v>499</v>
      </c>
      <c r="B93" t="s">
        <v>500</v>
      </c>
      <c r="C93">
        <v>6253774871</v>
      </c>
      <c r="D93" t="s">
        <v>45</v>
      </c>
      <c r="E93">
        <v>771</v>
      </c>
    </row>
    <row r="94" spans="1:5" x14ac:dyDescent="0.3">
      <c r="A94" t="s">
        <v>501</v>
      </c>
      <c r="B94" t="s">
        <v>502</v>
      </c>
      <c r="C94">
        <v>9615521844</v>
      </c>
      <c r="D94" t="s">
        <v>22</v>
      </c>
      <c r="E94">
        <v>1542</v>
      </c>
    </row>
    <row r="95" spans="1:5" x14ac:dyDescent="0.3">
      <c r="A95" t="s">
        <v>503</v>
      </c>
      <c r="B95" t="s">
        <v>504</v>
      </c>
      <c r="C95">
        <v>6121580483</v>
      </c>
      <c r="D95" t="s">
        <v>15</v>
      </c>
      <c r="E95">
        <v>994</v>
      </c>
    </row>
    <row r="96" spans="1:5" x14ac:dyDescent="0.3">
      <c r="A96" t="s">
        <v>505</v>
      </c>
      <c r="B96" t="s">
        <v>506</v>
      </c>
      <c r="C96">
        <v>7719985650</v>
      </c>
      <c r="D96" t="s">
        <v>35</v>
      </c>
      <c r="E96">
        <v>1199</v>
      </c>
    </row>
    <row r="97" spans="1:5" x14ac:dyDescent="0.3">
      <c r="A97" t="s">
        <v>507</v>
      </c>
      <c r="B97" t="s">
        <v>508</v>
      </c>
      <c r="C97">
        <v>6692886882</v>
      </c>
      <c r="D97" t="s">
        <v>15</v>
      </c>
      <c r="E97">
        <v>873</v>
      </c>
    </row>
    <row r="98" spans="1:5" x14ac:dyDescent="0.3">
      <c r="A98" t="s">
        <v>509</v>
      </c>
      <c r="B98" t="s">
        <v>510</v>
      </c>
      <c r="C98">
        <v>6626631138</v>
      </c>
      <c r="D98" t="s">
        <v>74</v>
      </c>
      <c r="E98">
        <v>205</v>
      </c>
    </row>
    <row r="99" spans="1:5" x14ac:dyDescent="0.3">
      <c r="A99" t="s">
        <v>511</v>
      </c>
      <c r="B99" t="s">
        <v>512</v>
      </c>
      <c r="C99">
        <v>9308339700</v>
      </c>
      <c r="D99" t="s">
        <v>49</v>
      </c>
      <c r="E99">
        <v>1385</v>
      </c>
    </row>
    <row r="100" spans="1:5" x14ac:dyDescent="0.3">
      <c r="A100" t="s">
        <v>513</v>
      </c>
      <c r="B100" t="s">
        <v>514</v>
      </c>
      <c r="C100">
        <v>9416274100</v>
      </c>
      <c r="D100" t="s">
        <v>45</v>
      </c>
      <c r="E100">
        <v>1781</v>
      </c>
    </row>
    <row r="101" spans="1:5" x14ac:dyDescent="0.3">
      <c r="A101" t="s">
        <v>515</v>
      </c>
      <c r="B101" t="s">
        <v>516</v>
      </c>
      <c r="C101">
        <v>7889849431</v>
      </c>
      <c r="D101" t="s">
        <v>35</v>
      </c>
      <c r="E101">
        <v>1785</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1"/>
  <sheetViews>
    <sheetView workbookViewId="0">
      <selection activeCell="F15" sqref="F15"/>
    </sheetView>
  </sheetViews>
  <sheetFormatPr defaultRowHeight="14.4" x14ac:dyDescent="0.3"/>
  <cols>
    <col min="1" max="1" width="11.77734375" customWidth="1"/>
    <col min="2" max="2" width="15" customWidth="1"/>
    <col min="3" max="3" width="14.44140625" customWidth="1"/>
    <col min="4" max="4" width="11.6640625" customWidth="1"/>
  </cols>
  <sheetData>
    <row r="1" spans="1:4" x14ac:dyDescent="0.3">
      <c r="A1" s="1" t="s">
        <v>517</v>
      </c>
      <c r="B1" s="1" t="s">
        <v>518</v>
      </c>
      <c r="C1" s="1" t="s">
        <v>519</v>
      </c>
      <c r="D1" s="1" t="s">
        <v>520</v>
      </c>
    </row>
    <row r="2" spans="1:4" x14ac:dyDescent="0.3">
      <c r="A2" t="s">
        <v>521</v>
      </c>
      <c r="B2" t="s">
        <v>522</v>
      </c>
      <c r="C2">
        <v>134</v>
      </c>
      <c r="D2">
        <v>64</v>
      </c>
    </row>
    <row r="3" spans="1:4" x14ac:dyDescent="0.3">
      <c r="A3" t="s">
        <v>523</v>
      </c>
      <c r="B3" t="s">
        <v>524</v>
      </c>
      <c r="C3">
        <v>221</v>
      </c>
      <c r="D3">
        <v>68</v>
      </c>
    </row>
    <row r="4" spans="1:4" x14ac:dyDescent="0.3">
      <c r="A4" t="s">
        <v>525</v>
      </c>
      <c r="B4" t="s">
        <v>526</v>
      </c>
      <c r="C4">
        <v>168</v>
      </c>
      <c r="D4">
        <v>84</v>
      </c>
    </row>
    <row r="5" spans="1:4" x14ac:dyDescent="0.3">
      <c r="A5" t="s">
        <v>527</v>
      </c>
      <c r="B5" t="s">
        <v>528</v>
      </c>
      <c r="C5">
        <v>146</v>
      </c>
      <c r="D5">
        <v>43</v>
      </c>
    </row>
    <row r="6" spans="1:4" x14ac:dyDescent="0.3">
      <c r="A6" t="s">
        <v>529</v>
      </c>
      <c r="B6" t="s">
        <v>530</v>
      </c>
      <c r="C6">
        <v>204</v>
      </c>
      <c r="D6">
        <v>68</v>
      </c>
    </row>
    <row r="7" spans="1:4" x14ac:dyDescent="0.3">
      <c r="A7" t="s">
        <v>531</v>
      </c>
      <c r="B7" t="s">
        <v>532</v>
      </c>
      <c r="C7">
        <v>227</v>
      </c>
      <c r="D7">
        <v>85</v>
      </c>
    </row>
    <row r="8" spans="1:4" x14ac:dyDescent="0.3">
      <c r="A8" t="s">
        <v>533</v>
      </c>
      <c r="B8" t="s">
        <v>534</v>
      </c>
      <c r="C8">
        <v>238</v>
      </c>
      <c r="D8">
        <v>67</v>
      </c>
    </row>
    <row r="9" spans="1:4" x14ac:dyDescent="0.3">
      <c r="A9" t="s">
        <v>535</v>
      </c>
      <c r="B9" t="s">
        <v>536</v>
      </c>
      <c r="C9">
        <v>232</v>
      </c>
      <c r="D9">
        <v>74</v>
      </c>
    </row>
    <row r="10" spans="1:4" x14ac:dyDescent="0.3">
      <c r="A10" t="s">
        <v>537</v>
      </c>
      <c r="B10" t="s">
        <v>538</v>
      </c>
      <c r="C10">
        <v>205</v>
      </c>
      <c r="D10">
        <v>84</v>
      </c>
    </row>
    <row r="11" spans="1:4" x14ac:dyDescent="0.3">
      <c r="A11" t="s">
        <v>539</v>
      </c>
      <c r="B11" t="s">
        <v>540</v>
      </c>
      <c r="C11">
        <v>155</v>
      </c>
      <c r="D11">
        <v>62</v>
      </c>
    </row>
    <row r="12" spans="1:4" x14ac:dyDescent="0.3">
      <c r="A12" t="s">
        <v>541</v>
      </c>
      <c r="B12" t="s">
        <v>542</v>
      </c>
      <c r="C12">
        <v>184</v>
      </c>
      <c r="D12">
        <v>57</v>
      </c>
    </row>
    <row r="13" spans="1:4" x14ac:dyDescent="0.3">
      <c r="A13" t="s">
        <v>543</v>
      </c>
      <c r="B13" t="s">
        <v>544</v>
      </c>
      <c r="C13">
        <v>214</v>
      </c>
      <c r="D13">
        <v>73</v>
      </c>
    </row>
    <row r="14" spans="1:4" x14ac:dyDescent="0.3">
      <c r="A14" t="s">
        <v>545</v>
      </c>
      <c r="B14" t="s">
        <v>546</v>
      </c>
      <c r="C14">
        <v>126</v>
      </c>
      <c r="D14">
        <v>45</v>
      </c>
    </row>
    <row r="15" spans="1:4" x14ac:dyDescent="0.3">
      <c r="A15" t="s">
        <v>547</v>
      </c>
      <c r="B15" t="s">
        <v>548</v>
      </c>
      <c r="C15">
        <v>138</v>
      </c>
      <c r="D15">
        <v>50</v>
      </c>
    </row>
    <row r="16" spans="1:4" x14ac:dyDescent="0.3">
      <c r="A16" t="s">
        <v>549</v>
      </c>
      <c r="B16" t="s">
        <v>550</v>
      </c>
      <c r="C16">
        <v>133</v>
      </c>
      <c r="D16">
        <v>79</v>
      </c>
    </row>
    <row r="17" spans="1:4" x14ac:dyDescent="0.3">
      <c r="A17" t="s">
        <v>551</v>
      </c>
      <c r="B17" t="s">
        <v>552</v>
      </c>
      <c r="C17">
        <v>238</v>
      </c>
      <c r="D17">
        <v>69</v>
      </c>
    </row>
    <row r="18" spans="1:4" x14ac:dyDescent="0.3">
      <c r="A18" t="s">
        <v>553</v>
      </c>
      <c r="B18" t="s">
        <v>554</v>
      </c>
      <c r="C18">
        <v>215</v>
      </c>
      <c r="D18">
        <v>60</v>
      </c>
    </row>
    <row r="19" spans="1:4" x14ac:dyDescent="0.3">
      <c r="A19" t="s">
        <v>555</v>
      </c>
      <c r="B19" t="s">
        <v>556</v>
      </c>
      <c r="C19">
        <v>197</v>
      </c>
      <c r="D19">
        <v>75</v>
      </c>
    </row>
    <row r="20" spans="1:4" x14ac:dyDescent="0.3">
      <c r="A20" t="s">
        <v>557</v>
      </c>
      <c r="B20" t="s">
        <v>558</v>
      </c>
      <c r="C20">
        <v>160</v>
      </c>
      <c r="D20">
        <v>84</v>
      </c>
    </row>
    <row r="21" spans="1:4" x14ac:dyDescent="0.3">
      <c r="A21" t="s">
        <v>559</v>
      </c>
      <c r="B21" t="s">
        <v>560</v>
      </c>
      <c r="C21">
        <v>108</v>
      </c>
      <c r="D21">
        <v>55</v>
      </c>
    </row>
    <row r="22" spans="1:4" x14ac:dyDescent="0.3">
      <c r="A22" t="s">
        <v>561</v>
      </c>
      <c r="B22" t="s">
        <v>562</v>
      </c>
      <c r="C22">
        <v>104</v>
      </c>
      <c r="D22">
        <v>63</v>
      </c>
    </row>
    <row r="23" spans="1:4" x14ac:dyDescent="0.3">
      <c r="A23" t="s">
        <v>563</v>
      </c>
      <c r="B23" t="s">
        <v>564</v>
      </c>
      <c r="C23">
        <v>220</v>
      </c>
      <c r="D23">
        <v>65</v>
      </c>
    </row>
    <row r="24" spans="1:4" x14ac:dyDescent="0.3">
      <c r="A24" t="s">
        <v>565</v>
      </c>
      <c r="B24" t="s">
        <v>566</v>
      </c>
      <c r="C24">
        <v>191</v>
      </c>
      <c r="D24">
        <v>41</v>
      </c>
    </row>
    <row r="25" spans="1:4" x14ac:dyDescent="0.3">
      <c r="A25" t="s">
        <v>567</v>
      </c>
      <c r="B25" t="s">
        <v>568</v>
      </c>
      <c r="C25">
        <v>168</v>
      </c>
      <c r="D25">
        <v>56</v>
      </c>
    </row>
    <row r="26" spans="1:4" x14ac:dyDescent="0.3">
      <c r="A26" t="s">
        <v>569</v>
      </c>
      <c r="B26" t="s">
        <v>570</v>
      </c>
      <c r="C26">
        <v>135</v>
      </c>
      <c r="D26">
        <v>77</v>
      </c>
    </row>
    <row r="27" spans="1:4" x14ac:dyDescent="0.3">
      <c r="A27" t="s">
        <v>571</v>
      </c>
      <c r="B27" t="s">
        <v>572</v>
      </c>
      <c r="C27">
        <v>131</v>
      </c>
      <c r="D27">
        <v>41</v>
      </c>
    </row>
    <row r="28" spans="1:4" x14ac:dyDescent="0.3">
      <c r="A28" t="s">
        <v>573</v>
      </c>
      <c r="B28" t="s">
        <v>574</v>
      </c>
      <c r="C28">
        <v>113</v>
      </c>
      <c r="D28">
        <v>50</v>
      </c>
    </row>
    <row r="29" spans="1:4" x14ac:dyDescent="0.3">
      <c r="A29" t="s">
        <v>575</v>
      </c>
      <c r="B29" t="s">
        <v>576</v>
      </c>
      <c r="C29">
        <v>120</v>
      </c>
      <c r="D29">
        <v>75</v>
      </c>
    </row>
    <row r="30" spans="1:4" x14ac:dyDescent="0.3">
      <c r="A30" t="s">
        <v>577</v>
      </c>
      <c r="B30" t="s">
        <v>578</v>
      </c>
      <c r="C30">
        <v>106</v>
      </c>
      <c r="D30">
        <v>70</v>
      </c>
    </row>
    <row r="31" spans="1:4" x14ac:dyDescent="0.3">
      <c r="A31" t="s">
        <v>579</v>
      </c>
      <c r="B31" t="s">
        <v>580</v>
      </c>
      <c r="C31">
        <v>176</v>
      </c>
      <c r="D31">
        <v>62</v>
      </c>
    </row>
    <row r="32" spans="1:4" x14ac:dyDescent="0.3">
      <c r="A32" t="s">
        <v>581</v>
      </c>
      <c r="B32" t="s">
        <v>582</v>
      </c>
      <c r="C32">
        <v>120</v>
      </c>
      <c r="D32">
        <v>89</v>
      </c>
    </row>
    <row r="33" spans="1:4" x14ac:dyDescent="0.3">
      <c r="A33" t="s">
        <v>583</v>
      </c>
      <c r="B33" t="s">
        <v>584</v>
      </c>
      <c r="C33">
        <v>221</v>
      </c>
      <c r="D33">
        <v>83</v>
      </c>
    </row>
    <row r="34" spans="1:4" x14ac:dyDescent="0.3">
      <c r="A34" t="s">
        <v>585</v>
      </c>
      <c r="B34" t="s">
        <v>586</v>
      </c>
      <c r="C34">
        <v>217</v>
      </c>
      <c r="D34">
        <v>47</v>
      </c>
    </row>
    <row r="35" spans="1:4" x14ac:dyDescent="0.3">
      <c r="A35" t="s">
        <v>587</v>
      </c>
      <c r="B35" t="s">
        <v>588</v>
      </c>
      <c r="C35">
        <v>155</v>
      </c>
      <c r="D35">
        <v>72</v>
      </c>
    </row>
    <row r="36" spans="1:4" x14ac:dyDescent="0.3">
      <c r="A36" t="s">
        <v>589</v>
      </c>
      <c r="B36" t="s">
        <v>590</v>
      </c>
      <c r="C36">
        <v>140</v>
      </c>
      <c r="D36">
        <v>71</v>
      </c>
    </row>
    <row r="37" spans="1:4" x14ac:dyDescent="0.3">
      <c r="A37" t="s">
        <v>591</v>
      </c>
      <c r="B37" t="s">
        <v>592</v>
      </c>
      <c r="C37">
        <v>109</v>
      </c>
      <c r="D37">
        <v>62</v>
      </c>
    </row>
    <row r="38" spans="1:4" x14ac:dyDescent="0.3">
      <c r="A38" t="s">
        <v>593</v>
      </c>
      <c r="B38" t="s">
        <v>594</v>
      </c>
      <c r="C38">
        <v>201</v>
      </c>
      <c r="D38">
        <v>54</v>
      </c>
    </row>
    <row r="39" spans="1:4" x14ac:dyDescent="0.3">
      <c r="A39" t="s">
        <v>595</v>
      </c>
      <c r="B39" t="s">
        <v>596</v>
      </c>
      <c r="C39">
        <v>231</v>
      </c>
      <c r="D39">
        <v>70</v>
      </c>
    </row>
    <row r="40" spans="1:4" x14ac:dyDescent="0.3">
      <c r="A40" t="s">
        <v>597</v>
      </c>
      <c r="B40" t="s">
        <v>598</v>
      </c>
      <c r="C40">
        <v>196</v>
      </c>
      <c r="D40">
        <v>45</v>
      </c>
    </row>
    <row r="41" spans="1:4" x14ac:dyDescent="0.3">
      <c r="A41" t="s">
        <v>599</v>
      </c>
      <c r="B41" t="s">
        <v>600</v>
      </c>
      <c r="C41">
        <v>197</v>
      </c>
      <c r="D41">
        <v>80</v>
      </c>
    </row>
    <row r="42" spans="1:4" x14ac:dyDescent="0.3">
      <c r="A42" t="s">
        <v>601</v>
      </c>
      <c r="B42" t="s">
        <v>602</v>
      </c>
      <c r="C42">
        <v>111</v>
      </c>
      <c r="D42">
        <v>55</v>
      </c>
    </row>
    <row r="43" spans="1:4" x14ac:dyDescent="0.3">
      <c r="A43" t="s">
        <v>603</v>
      </c>
      <c r="B43" t="s">
        <v>604</v>
      </c>
      <c r="C43">
        <v>244</v>
      </c>
      <c r="D43">
        <v>89</v>
      </c>
    </row>
    <row r="44" spans="1:4" x14ac:dyDescent="0.3">
      <c r="A44" t="s">
        <v>605</v>
      </c>
      <c r="B44" t="s">
        <v>606</v>
      </c>
      <c r="C44">
        <v>139</v>
      </c>
      <c r="D44">
        <v>62</v>
      </c>
    </row>
    <row r="45" spans="1:4" x14ac:dyDescent="0.3">
      <c r="A45" t="s">
        <v>607</v>
      </c>
      <c r="B45" t="s">
        <v>608</v>
      </c>
      <c r="C45">
        <v>244</v>
      </c>
      <c r="D45">
        <v>70</v>
      </c>
    </row>
    <row r="46" spans="1:4" x14ac:dyDescent="0.3">
      <c r="A46" t="s">
        <v>609</v>
      </c>
      <c r="B46" t="s">
        <v>610</v>
      </c>
      <c r="C46">
        <v>240</v>
      </c>
      <c r="D46">
        <v>64</v>
      </c>
    </row>
    <row r="47" spans="1:4" x14ac:dyDescent="0.3">
      <c r="A47" t="s">
        <v>611</v>
      </c>
      <c r="B47" t="s">
        <v>612</v>
      </c>
      <c r="C47">
        <v>239</v>
      </c>
      <c r="D47">
        <v>43</v>
      </c>
    </row>
    <row r="48" spans="1:4" x14ac:dyDescent="0.3">
      <c r="A48" t="s">
        <v>613</v>
      </c>
      <c r="B48" t="s">
        <v>614</v>
      </c>
      <c r="C48">
        <v>140</v>
      </c>
      <c r="D48">
        <v>85</v>
      </c>
    </row>
    <row r="49" spans="1:4" x14ac:dyDescent="0.3">
      <c r="A49" t="s">
        <v>615</v>
      </c>
      <c r="B49" t="s">
        <v>616</v>
      </c>
      <c r="C49">
        <v>201</v>
      </c>
      <c r="D49">
        <v>42</v>
      </c>
    </row>
    <row r="50" spans="1:4" x14ac:dyDescent="0.3">
      <c r="A50" t="s">
        <v>617</v>
      </c>
      <c r="B50" t="s">
        <v>618</v>
      </c>
      <c r="C50">
        <v>144</v>
      </c>
      <c r="D50">
        <v>41</v>
      </c>
    </row>
    <row r="51" spans="1:4" x14ac:dyDescent="0.3">
      <c r="A51" t="s">
        <v>619</v>
      </c>
      <c r="B51" t="s">
        <v>620</v>
      </c>
      <c r="C51">
        <v>101</v>
      </c>
      <c r="D51">
        <v>81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01"/>
  <sheetViews>
    <sheetView workbookViewId="0">
      <selection sqref="A1:J501"/>
    </sheetView>
  </sheetViews>
  <sheetFormatPr defaultRowHeight="14.4" x14ac:dyDescent="0.3"/>
  <cols>
    <col min="1" max="1" width="10.44140625" customWidth="1"/>
    <col min="2" max="2" width="10.33203125" bestFit="1" customWidth="1"/>
    <col min="3" max="3" width="13.77734375" customWidth="1"/>
    <col min="4" max="4" width="14.77734375" customWidth="1"/>
    <col min="5" max="5" width="11.77734375" customWidth="1"/>
    <col min="6" max="6" width="10.21875" customWidth="1"/>
    <col min="7" max="7" width="15.6640625" customWidth="1"/>
    <col min="8" max="8" width="17.5546875" bestFit="1" customWidth="1"/>
    <col min="9" max="9" width="17.88671875" bestFit="1" customWidth="1"/>
    <col min="10" max="10" width="7.88671875" bestFit="1" customWidth="1"/>
  </cols>
  <sheetData>
    <row r="1" spans="1:10" x14ac:dyDescent="0.3">
      <c r="A1" s="1" t="s">
        <v>621</v>
      </c>
      <c r="B1" s="1" t="s">
        <v>622</v>
      </c>
      <c r="C1" s="1" t="s">
        <v>313</v>
      </c>
      <c r="D1" s="1" t="s">
        <v>0</v>
      </c>
      <c r="E1" s="1" t="s">
        <v>517</v>
      </c>
      <c r="F1" s="1" t="s">
        <v>623</v>
      </c>
      <c r="G1" s="1" t="s">
        <v>624</v>
      </c>
      <c r="H1" s="1" t="s">
        <v>1421</v>
      </c>
      <c r="I1" s="1" t="s">
        <v>1422</v>
      </c>
      <c r="J1" s="1" t="s">
        <v>1423</v>
      </c>
    </row>
    <row r="2" spans="1:10" x14ac:dyDescent="0.3">
      <c r="A2" t="s">
        <v>625</v>
      </c>
      <c r="B2" t="s">
        <v>626</v>
      </c>
      <c r="C2" t="s">
        <v>347</v>
      </c>
      <c r="D2" t="s">
        <v>13</v>
      </c>
      <c r="E2" t="s">
        <v>607</v>
      </c>
      <c r="F2">
        <v>3</v>
      </c>
      <c r="G2">
        <v>173</v>
      </c>
      <c r="H2" t="str">
        <f>IF(VLOOKUP(C2,Customers!A:E,5,FALSE)&gt;=1000,"YES","NO")</f>
        <v>YES</v>
      </c>
      <c r="I2">
        <f t="shared" ref="I2:I65" si="0">IF(H2="YES",G2*0.5,G2)</f>
        <v>86.5</v>
      </c>
      <c r="J2">
        <f>(I2 - VLOOKUP(E2,Desserts!A:D,4,FALSE)) * F2</f>
        <v>49.5</v>
      </c>
    </row>
    <row r="3" spans="1:10" x14ac:dyDescent="0.3">
      <c r="A3" t="s">
        <v>627</v>
      </c>
      <c r="B3" t="s">
        <v>628</v>
      </c>
      <c r="C3" t="s">
        <v>453</v>
      </c>
      <c r="D3" t="s">
        <v>301</v>
      </c>
      <c r="E3" t="s">
        <v>521</v>
      </c>
      <c r="F3">
        <v>4</v>
      </c>
      <c r="G3">
        <v>135</v>
      </c>
      <c r="H3" t="str">
        <f>IF(VLOOKUP(C3,Customers!A:E,5,FALSE)&gt;=1000,"YES","NO")</f>
        <v>YES</v>
      </c>
      <c r="I3">
        <f t="shared" si="0"/>
        <v>67.5</v>
      </c>
      <c r="J3">
        <f>(I3 - VLOOKUP(E3,Desserts!A:D,4,FALSE)) * F3</f>
        <v>14</v>
      </c>
    </row>
    <row r="4" spans="1:10" x14ac:dyDescent="0.3">
      <c r="A4" t="s">
        <v>629</v>
      </c>
      <c r="B4" t="s">
        <v>630</v>
      </c>
      <c r="C4" t="s">
        <v>473</v>
      </c>
      <c r="D4" t="s">
        <v>190</v>
      </c>
      <c r="E4" t="s">
        <v>549</v>
      </c>
      <c r="F4">
        <v>1</v>
      </c>
      <c r="G4">
        <v>142</v>
      </c>
      <c r="H4" t="str">
        <f>IF(VLOOKUP(C4,Customers!A:E,5,FALSE)&gt;=1000,"YES","NO")</f>
        <v>NO</v>
      </c>
      <c r="I4">
        <f t="shared" si="0"/>
        <v>142</v>
      </c>
      <c r="J4">
        <f>(I4 - VLOOKUP(E4,Desserts!A:D,4,FALSE)) * F4</f>
        <v>63</v>
      </c>
    </row>
    <row r="5" spans="1:10" x14ac:dyDescent="0.3">
      <c r="A5" t="s">
        <v>631</v>
      </c>
      <c r="B5" t="s">
        <v>632</v>
      </c>
      <c r="C5" t="s">
        <v>509</v>
      </c>
      <c r="D5" t="s">
        <v>232</v>
      </c>
      <c r="E5" t="s">
        <v>603</v>
      </c>
      <c r="F5">
        <v>4</v>
      </c>
      <c r="G5">
        <v>188</v>
      </c>
      <c r="H5" t="str">
        <f>IF(VLOOKUP(C5,Customers!A:E,5,FALSE)&gt;=1000,"YES","NO")</f>
        <v>NO</v>
      </c>
      <c r="I5">
        <f t="shared" si="0"/>
        <v>188</v>
      </c>
      <c r="J5">
        <f>(I5 - VLOOKUP(E5,Desserts!A:D,4,FALSE)) * F5</f>
        <v>396</v>
      </c>
    </row>
    <row r="6" spans="1:10" x14ac:dyDescent="0.3">
      <c r="A6" t="s">
        <v>633</v>
      </c>
      <c r="B6" t="s">
        <v>634</v>
      </c>
      <c r="C6" t="s">
        <v>357</v>
      </c>
      <c r="D6" t="s">
        <v>79</v>
      </c>
      <c r="E6" t="s">
        <v>581</v>
      </c>
      <c r="F6">
        <v>4</v>
      </c>
      <c r="G6">
        <v>161</v>
      </c>
      <c r="H6" t="str">
        <f>IF(VLOOKUP(C6,Customers!A:E,5,FALSE)&gt;=1000,"YES","NO")</f>
        <v>NO</v>
      </c>
      <c r="I6">
        <f t="shared" si="0"/>
        <v>161</v>
      </c>
      <c r="J6">
        <f>(I6 - VLOOKUP(E6,Desserts!A:D,4,FALSE)) * F6</f>
        <v>288</v>
      </c>
    </row>
    <row r="7" spans="1:10" x14ac:dyDescent="0.3">
      <c r="A7" t="s">
        <v>635</v>
      </c>
      <c r="B7" t="s">
        <v>636</v>
      </c>
      <c r="C7" t="s">
        <v>439</v>
      </c>
      <c r="D7" t="s">
        <v>69</v>
      </c>
      <c r="E7" t="s">
        <v>587</v>
      </c>
      <c r="F7">
        <v>2</v>
      </c>
      <c r="G7">
        <v>158</v>
      </c>
      <c r="H7" t="str">
        <f>IF(VLOOKUP(C7,Customers!A:E,5,FALSE)&gt;=1000,"YES","NO")</f>
        <v>YES</v>
      </c>
      <c r="I7">
        <f t="shared" si="0"/>
        <v>79</v>
      </c>
      <c r="J7">
        <f>(I7 - VLOOKUP(E7,Desserts!A:D,4,FALSE)) * F7</f>
        <v>14</v>
      </c>
    </row>
    <row r="8" spans="1:10" x14ac:dyDescent="0.3">
      <c r="A8" t="s">
        <v>637</v>
      </c>
      <c r="B8" t="s">
        <v>638</v>
      </c>
      <c r="C8" t="s">
        <v>463</v>
      </c>
      <c r="D8" t="s">
        <v>226</v>
      </c>
      <c r="E8" t="s">
        <v>537</v>
      </c>
      <c r="F8">
        <v>5</v>
      </c>
      <c r="G8">
        <v>160</v>
      </c>
      <c r="H8" t="str">
        <f>IF(VLOOKUP(C8,Customers!A:E,5,FALSE)&gt;=1000,"YES","NO")</f>
        <v>NO</v>
      </c>
      <c r="I8">
        <f t="shared" si="0"/>
        <v>160</v>
      </c>
      <c r="J8">
        <f>(I8 - VLOOKUP(E8,Desserts!A:D,4,FALSE)) * F8</f>
        <v>380</v>
      </c>
    </row>
    <row r="9" spans="1:10" x14ac:dyDescent="0.3">
      <c r="A9" t="s">
        <v>639</v>
      </c>
      <c r="B9" t="s">
        <v>640</v>
      </c>
      <c r="C9" t="s">
        <v>403</v>
      </c>
      <c r="D9" t="s">
        <v>295</v>
      </c>
      <c r="E9" t="s">
        <v>565</v>
      </c>
      <c r="F9">
        <v>4</v>
      </c>
      <c r="G9">
        <v>179</v>
      </c>
      <c r="H9" t="str">
        <f>IF(VLOOKUP(C9,Customers!A:E,5,FALSE)&gt;=1000,"YES","NO")</f>
        <v>NO</v>
      </c>
      <c r="I9">
        <f t="shared" si="0"/>
        <v>179</v>
      </c>
      <c r="J9">
        <f>(I9 - VLOOKUP(E9,Desserts!A:D,4,FALSE)) * F9</f>
        <v>552</v>
      </c>
    </row>
    <row r="10" spans="1:10" x14ac:dyDescent="0.3">
      <c r="A10" t="s">
        <v>641</v>
      </c>
      <c r="B10" t="s">
        <v>642</v>
      </c>
      <c r="C10" t="s">
        <v>515</v>
      </c>
      <c r="D10" t="s">
        <v>172</v>
      </c>
      <c r="E10" t="s">
        <v>539</v>
      </c>
      <c r="F10">
        <v>4</v>
      </c>
      <c r="G10">
        <v>139</v>
      </c>
      <c r="H10" t="str">
        <f>IF(VLOOKUP(C10,Customers!A:E,5,FALSE)&gt;=1000,"YES","NO")</f>
        <v>YES</v>
      </c>
      <c r="I10">
        <f t="shared" si="0"/>
        <v>69.5</v>
      </c>
      <c r="J10">
        <f>(I10 - VLOOKUP(E10,Desserts!A:D,4,FALSE)) * F10</f>
        <v>30</v>
      </c>
    </row>
    <row r="11" spans="1:10" x14ac:dyDescent="0.3">
      <c r="A11" t="s">
        <v>643</v>
      </c>
      <c r="B11" t="s">
        <v>644</v>
      </c>
      <c r="C11" t="s">
        <v>341</v>
      </c>
      <c r="D11" t="s">
        <v>157</v>
      </c>
      <c r="E11" t="s">
        <v>579</v>
      </c>
      <c r="F11">
        <v>5</v>
      </c>
      <c r="G11">
        <v>248</v>
      </c>
      <c r="H11" t="str">
        <f>IF(VLOOKUP(C11,Customers!A:E,5,FALSE)&gt;=1000,"YES","NO")</f>
        <v>YES</v>
      </c>
      <c r="I11">
        <f t="shared" si="0"/>
        <v>124</v>
      </c>
      <c r="J11">
        <f>(I11 - VLOOKUP(E11,Desserts!A:D,4,FALSE)) * F11</f>
        <v>310</v>
      </c>
    </row>
    <row r="12" spans="1:10" x14ac:dyDescent="0.3">
      <c r="A12" t="s">
        <v>645</v>
      </c>
      <c r="B12" t="s">
        <v>646</v>
      </c>
      <c r="C12" t="s">
        <v>417</v>
      </c>
      <c r="D12" t="s">
        <v>157</v>
      </c>
      <c r="E12" t="s">
        <v>617</v>
      </c>
      <c r="F12">
        <v>3</v>
      </c>
      <c r="G12">
        <v>178</v>
      </c>
      <c r="H12" t="str">
        <f>IF(VLOOKUP(C12,Customers!A:E,5,FALSE)&gt;=1000,"YES","NO")</f>
        <v>YES</v>
      </c>
      <c r="I12">
        <f t="shared" si="0"/>
        <v>89</v>
      </c>
      <c r="J12">
        <f>(I12 - VLOOKUP(E12,Desserts!A:D,4,FALSE)) * F12</f>
        <v>144</v>
      </c>
    </row>
    <row r="13" spans="1:10" x14ac:dyDescent="0.3">
      <c r="A13" t="s">
        <v>647</v>
      </c>
      <c r="B13" t="s">
        <v>646</v>
      </c>
      <c r="C13" t="s">
        <v>383</v>
      </c>
      <c r="D13" t="s">
        <v>229</v>
      </c>
      <c r="E13" t="s">
        <v>527</v>
      </c>
      <c r="F13">
        <v>2</v>
      </c>
      <c r="G13">
        <v>240</v>
      </c>
      <c r="H13" t="str">
        <f>IF(VLOOKUP(C13,Customers!A:E,5,FALSE)&gt;=1000,"YES","NO")</f>
        <v>NO</v>
      </c>
      <c r="I13">
        <f t="shared" si="0"/>
        <v>240</v>
      </c>
      <c r="J13">
        <f>(I13 - VLOOKUP(E13,Desserts!A:D,4,FALSE)) * F13</f>
        <v>394</v>
      </c>
    </row>
    <row r="14" spans="1:10" x14ac:dyDescent="0.3">
      <c r="A14" t="s">
        <v>648</v>
      </c>
      <c r="B14" t="s">
        <v>649</v>
      </c>
      <c r="C14" t="s">
        <v>499</v>
      </c>
      <c r="D14" t="s">
        <v>30</v>
      </c>
      <c r="E14" t="s">
        <v>613</v>
      </c>
      <c r="F14">
        <v>1</v>
      </c>
      <c r="G14">
        <v>121</v>
      </c>
      <c r="H14" t="str">
        <f>IF(VLOOKUP(C14,Customers!A:E,5,FALSE)&gt;=1000,"YES","NO")</f>
        <v>NO</v>
      </c>
      <c r="I14">
        <f t="shared" si="0"/>
        <v>121</v>
      </c>
      <c r="J14">
        <f>(I14 - VLOOKUP(E14,Desserts!A:D,4,FALSE)) * F14</f>
        <v>36</v>
      </c>
    </row>
    <row r="15" spans="1:10" x14ac:dyDescent="0.3">
      <c r="A15" t="s">
        <v>650</v>
      </c>
      <c r="B15" t="s">
        <v>651</v>
      </c>
      <c r="C15" t="s">
        <v>317</v>
      </c>
      <c r="D15" t="s">
        <v>241</v>
      </c>
      <c r="E15" t="s">
        <v>577</v>
      </c>
      <c r="F15">
        <v>2</v>
      </c>
      <c r="G15">
        <v>233</v>
      </c>
      <c r="H15" t="str">
        <f>IF(VLOOKUP(C15,Customers!A:E,5,FALSE)&gt;=1000,"YES","NO")</f>
        <v>NO</v>
      </c>
      <c r="I15">
        <f t="shared" si="0"/>
        <v>233</v>
      </c>
      <c r="J15">
        <f>(I15 - VLOOKUP(E15,Desserts!A:D,4,FALSE)) * F15</f>
        <v>326</v>
      </c>
    </row>
    <row r="16" spans="1:10" x14ac:dyDescent="0.3">
      <c r="A16" t="s">
        <v>652</v>
      </c>
      <c r="B16" t="s">
        <v>653</v>
      </c>
      <c r="C16" t="s">
        <v>441</v>
      </c>
      <c r="D16" t="s">
        <v>69</v>
      </c>
      <c r="E16" t="s">
        <v>613</v>
      </c>
      <c r="F16">
        <v>2</v>
      </c>
      <c r="G16">
        <v>228</v>
      </c>
      <c r="H16" t="str">
        <f>IF(VLOOKUP(C16,Customers!A:E,5,FALSE)&gt;=1000,"YES","NO")</f>
        <v>NO</v>
      </c>
      <c r="I16">
        <f t="shared" si="0"/>
        <v>228</v>
      </c>
      <c r="J16">
        <f>(I16 - VLOOKUP(E16,Desserts!A:D,4,FALSE)) * F16</f>
        <v>286</v>
      </c>
    </row>
    <row r="17" spans="1:10" x14ac:dyDescent="0.3">
      <c r="A17" t="s">
        <v>654</v>
      </c>
      <c r="B17" t="s">
        <v>655</v>
      </c>
      <c r="C17" t="s">
        <v>437</v>
      </c>
      <c r="D17" t="s">
        <v>97</v>
      </c>
      <c r="E17" t="s">
        <v>597</v>
      </c>
      <c r="F17">
        <v>3</v>
      </c>
      <c r="G17">
        <v>202</v>
      </c>
      <c r="H17" t="str">
        <f>IF(VLOOKUP(C17,Customers!A:E,5,FALSE)&gt;=1000,"YES","NO")</f>
        <v>NO</v>
      </c>
      <c r="I17">
        <f t="shared" si="0"/>
        <v>202</v>
      </c>
      <c r="J17">
        <f>(I17 - VLOOKUP(E17,Desserts!A:D,4,FALSE)) * F17</f>
        <v>471</v>
      </c>
    </row>
    <row r="18" spans="1:10" x14ac:dyDescent="0.3">
      <c r="A18" t="s">
        <v>656</v>
      </c>
      <c r="B18" t="s">
        <v>657</v>
      </c>
      <c r="C18" t="s">
        <v>503</v>
      </c>
      <c r="D18" t="s">
        <v>69</v>
      </c>
      <c r="E18" t="s">
        <v>555</v>
      </c>
      <c r="F18">
        <v>4</v>
      </c>
      <c r="G18">
        <v>132</v>
      </c>
      <c r="H18" t="str">
        <f>IF(VLOOKUP(C18,Customers!A:E,5,FALSE)&gt;=1000,"YES","NO")</f>
        <v>NO</v>
      </c>
      <c r="I18">
        <f t="shared" si="0"/>
        <v>132</v>
      </c>
      <c r="J18">
        <f>(I18 - VLOOKUP(E18,Desserts!A:D,4,FALSE)) * F18</f>
        <v>228</v>
      </c>
    </row>
    <row r="19" spans="1:10" x14ac:dyDescent="0.3">
      <c r="A19" t="s">
        <v>658</v>
      </c>
      <c r="B19" t="s">
        <v>659</v>
      </c>
      <c r="C19" t="s">
        <v>473</v>
      </c>
      <c r="D19" t="s">
        <v>100</v>
      </c>
      <c r="E19" t="s">
        <v>603</v>
      </c>
      <c r="F19">
        <v>5</v>
      </c>
      <c r="G19">
        <v>226</v>
      </c>
      <c r="H19" t="str">
        <f>IF(VLOOKUP(C19,Customers!A:E,5,FALSE)&gt;=1000,"YES","NO")</f>
        <v>NO</v>
      </c>
      <c r="I19">
        <f t="shared" si="0"/>
        <v>226</v>
      </c>
      <c r="J19">
        <f>(I19 - VLOOKUP(E19,Desserts!A:D,4,FALSE)) * F19</f>
        <v>685</v>
      </c>
    </row>
    <row r="20" spans="1:10" x14ac:dyDescent="0.3">
      <c r="A20" t="s">
        <v>660</v>
      </c>
      <c r="B20" t="s">
        <v>661</v>
      </c>
      <c r="C20" t="s">
        <v>349</v>
      </c>
      <c r="D20" t="s">
        <v>51</v>
      </c>
      <c r="E20" t="s">
        <v>581</v>
      </c>
      <c r="F20">
        <v>1</v>
      </c>
      <c r="G20">
        <v>225</v>
      </c>
      <c r="H20" t="str">
        <f>IF(VLOOKUP(C20,Customers!A:E,5,FALSE)&gt;=1000,"YES","NO")</f>
        <v>NO</v>
      </c>
      <c r="I20">
        <f t="shared" si="0"/>
        <v>225</v>
      </c>
      <c r="J20">
        <f>(I20 - VLOOKUP(E20,Desserts!A:D,4,FALSE)) * F20</f>
        <v>136</v>
      </c>
    </row>
    <row r="21" spans="1:10" x14ac:dyDescent="0.3">
      <c r="A21" t="s">
        <v>662</v>
      </c>
      <c r="B21" t="s">
        <v>663</v>
      </c>
      <c r="C21" t="s">
        <v>399</v>
      </c>
      <c r="D21" t="s">
        <v>196</v>
      </c>
      <c r="E21" t="s">
        <v>525</v>
      </c>
      <c r="F21">
        <v>2</v>
      </c>
      <c r="G21">
        <v>221</v>
      </c>
      <c r="H21" t="str">
        <f>IF(VLOOKUP(C21,Customers!A:E,5,FALSE)&gt;=1000,"YES","NO")</f>
        <v>YES</v>
      </c>
      <c r="I21">
        <f t="shared" si="0"/>
        <v>110.5</v>
      </c>
      <c r="J21">
        <f>(I21 - VLOOKUP(E21,Desserts!A:D,4,FALSE)) * F21</f>
        <v>53</v>
      </c>
    </row>
    <row r="22" spans="1:10" x14ac:dyDescent="0.3">
      <c r="A22" t="s">
        <v>664</v>
      </c>
      <c r="B22" t="s">
        <v>665</v>
      </c>
      <c r="C22" t="s">
        <v>433</v>
      </c>
      <c r="D22" t="s">
        <v>271</v>
      </c>
      <c r="E22" t="s">
        <v>589</v>
      </c>
      <c r="F22">
        <v>2</v>
      </c>
      <c r="G22">
        <v>147</v>
      </c>
      <c r="H22" t="str">
        <f>IF(VLOOKUP(C22,Customers!A:E,5,FALSE)&gt;=1000,"YES","NO")</f>
        <v>YES</v>
      </c>
      <c r="I22">
        <f t="shared" si="0"/>
        <v>73.5</v>
      </c>
      <c r="J22">
        <f>(I22 - VLOOKUP(E22,Desserts!A:D,4,FALSE)) * F22</f>
        <v>5</v>
      </c>
    </row>
    <row r="23" spans="1:10" x14ac:dyDescent="0.3">
      <c r="A23" t="s">
        <v>666</v>
      </c>
      <c r="B23" t="s">
        <v>667</v>
      </c>
      <c r="C23" t="s">
        <v>443</v>
      </c>
      <c r="D23" t="s">
        <v>69</v>
      </c>
      <c r="E23" t="s">
        <v>569</v>
      </c>
      <c r="F23">
        <v>2</v>
      </c>
      <c r="G23">
        <v>213</v>
      </c>
      <c r="H23" t="str">
        <f>IF(VLOOKUP(C23,Customers!A:E,5,FALSE)&gt;=1000,"YES","NO")</f>
        <v>YES</v>
      </c>
      <c r="I23">
        <f t="shared" si="0"/>
        <v>106.5</v>
      </c>
      <c r="J23">
        <f>(I23 - VLOOKUP(E23,Desserts!A:D,4,FALSE)) * F23</f>
        <v>59</v>
      </c>
    </row>
    <row r="24" spans="1:10" x14ac:dyDescent="0.3">
      <c r="A24" t="s">
        <v>668</v>
      </c>
      <c r="B24" t="s">
        <v>669</v>
      </c>
      <c r="C24" t="s">
        <v>507</v>
      </c>
      <c r="D24" t="s">
        <v>54</v>
      </c>
      <c r="E24" t="s">
        <v>577</v>
      </c>
      <c r="F24">
        <v>3</v>
      </c>
      <c r="G24">
        <v>115</v>
      </c>
      <c r="H24" t="str">
        <f>IF(VLOOKUP(C24,Customers!A:E,5,FALSE)&gt;=1000,"YES","NO")</f>
        <v>NO</v>
      </c>
      <c r="I24">
        <f t="shared" si="0"/>
        <v>115</v>
      </c>
      <c r="J24">
        <f>(I24 - VLOOKUP(E24,Desserts!A:D,4,FALSE)) * F24</f>
        <v>135</v>
      </c>
    </row>
    <row r="25" spans="1:10" x14ac:dyDescent="0.3">
      <c r="A25" t="s">
        <v>670</v>
      </c>
      <c r="B25" t="s">
        <v>671</v>
      </c>
      <c r="C25" t="s">
        <v>425</v>
      </c>
      <c r="D25" t="s">
        <v>97</v>
      </c>
      <c r="E25" t="s">
        <v>591</v>
      </c>
      <c r="F25">
        <v>4</v>
      </c>
      <c r="G25">
        <v>241</v>
      </c>
      <c r="H25" t="str">
        <f>IF(VLOOKUP(C25,Customers!A:E,5,FALSE)&gt;=1000,"YES","NO")</f>
        <v>NO</v>
      </c>
      <c r="I25">
        <f t="shared" si="0"/>
        <v>241</v>
      </c>
      <c r="J25">
        <f>(I25 - VLOOKUP(E25,Desserts!A:D,4,FALSE)) * F25</f>
        <v>716</v>
      </c>
    </row>
    <row r="26" spans="1:10" x14ac:dyDescent="0.3">
      <c r="A26" t="s">
        <v>672</v>
      </c>
      <c r="B26" t="s">
        <v>673</v>
      </c>
      <c r="C26" t="s">
        <v>467</v>
      </c>
      <c r="D26" t="s">
        <v>20</v>
      </c>
      <c r="E26" t="s">
        <v>573</v>
      </c>
      <c r="F26">
        <v>2</v>
      </c>
      <c r="G26">
        <v>104</v>
      </c>
      <c r="H26" t="str">
        <f>IF(VLOOKUP(C26,Customers!A:E,5,FALSE)&gt;=1000,"YES","NO")</f>
        <v>YES</v>
      </c>
      <c r="I26">
        <f t="shared" si="0"/>
        <v>52</v>
      </c>
      <c r="J26">
        <f>(I26 - VLOOKUP(E26,Desserts!A:D,4,FALSE)) * F26</f>
        <v>4</v>
      </c>
    </row>
    <row r="27" spans="1:10" x14ac:dyDescent="0.3">
      <c r="A27" t="s">
        <v>674</v>
      </c>
      <c r="B27" t="s">
        <v>675</v>
      </c>
      <c r="C27" t="s">
        <v>347</v>
      </c>
      <c r="D27" t="s">
        <v>235</v>
      </c>
      <c r="E27" t="s">
        <v>549</v>
      </c>
      <c r="F27">
        <v>5</v>
      </c>
      <c r="G27">
        <v>206</v>
      </c>
      <c r="H27" t="str">
        <f>IF(VLOOKUP(C27,Customers!A:E,5,FALSE)&gt;=1000,"YES","NO")</f>
        <v>YES</v>
      </c>
      <c r="I27">
        <f t="shared" si="0"/>
        <v>103</v>
      </c>
      <c r="J27">
        <f>(I27 - VLOOKUP(E27,Desserts!A:D,4,FALSE)) * F27</f>
        <v>120</v>
      </c>
    </row>
    <row r="28" spans="1:10" x14ac:dyDescent="0.3">
      <c r="A28" t="s">
        <v>676</v>
      </c>
      <c r="B28" t="s">
        <v>677</v>
      </c>
      <c r="C28" t="s">
        <v>481</v>
      </c>
      <c r="D28" t="s">
        <v>304</v>
      </c>
      <c r="E28" t="s">
        <v>551</v>
      </c>
      <c r="F28">
        <v>5</v>
      </c>
      <c r="G28">
        <v>176</v>
      </c>
      <c r="H28" t="str">
        <f>IF(VLOOKUP(C28,Customers!A:E,5,FALSE)&gt;=1000,"YES","NO")</f>
        <v>YES</v>
      </c>
      <c r="I28">
        <f t="shared" si="0"/>
        <v>88</v>
      </c>
      <c r="J28">
        <f>(I28 - VLOOKUP(E28,Desserts!A:D,4,FALSE)) * F28</f>
        <v>95</v>
      </c>
    </row>
    <row r="29" spans="1:10" x14ac:dyDescent="0.3">
      <c r="A29" t="s">
        <v>678</v>
      </c>
      <c r="B29" t="s">
        <v>679</v>
      </c>
      <c r="C29" t="s">
        <v>447</v>
      </c>
      <c r="D29" t="s">
        <v>136</v>
      </c>
      <c r="E29" t="s">
        <v>591</v>
      </c>
      <c r="F29">
        <v>2</v>
      </c>
      <c r="G29">
        <v>201</v>
      </c>
      <c r="H29" t="str">
        <f>IF(VLOOKUP(C29,Customers!A:E,5,FALSE)&gt;=1000,"YES","NO")</f>
        <v>YES</v>
      </c>
      <c r="I29">
        <f t="shared" si="0"/>
        <v>100.5</v>
      </c>
      <c r="J29">
        <f>(I29 - VLOOKUP(E29,Desserts!A:D,4,FALSE)) * F29</f>
        <v>77</v>
      </c>
    </row>
    <row r="30" spans="1:10" x14ac:dyDescent="0.3">
      <c r="A30" t="s">
        <v>680</v>
      </c>
      <c r="B30" t="s">
        <v>681</v>
      </c>
      <c r="C30" t="s">
        <v>377</v>
      </c>
      <c r="D30" t="s">
        <v>106</v>
      </c>
      <c r="E30" t="s">
        <v>617</v>
      </c>
      <c r="F30">
        <v>1</v>
      </c>
      <c r="G30">
        <v>222</v>
      </c>
      <c r="H30" t="str">
        <f>IF(VLOOKUP(C30,Customers!A:E,5,FALSE)&gt;=1000,"YES","NO")</f>
        <v>NO</v>
      </c>
      <c r="I30">
        <f t="shared" si="0"/>
        <v>222</v>
      </c>
      <c r="J30">
        <f>(I30 - VLOOKUP(E30,Desserts!A:D,4,FALSE)) * F30</f>
        <v>181</v>
      </c>
    </row>
    <row r="31" spans="1:10" x14ac:dyDescent="0.3">
      <c r="A31" t="s">
        <v>682</v>
      </c>
      <c r="B31" t="s">
        <v>683</v>
      </c>
      <c r="C31" t="s">
        <v>361</v>
      </c>
      <c r="D31" t="s">
        <v>106</v>
      </c>
      <c r="E31" t="s">
        <v>521</v>
      </c>
      <c r="F31">
        <v>4</v>
      </c>
      <c r="G31">
        <v>156</v>
      </c>
      <c r="H31" t="str">
        <f>IF(VLOOKUP(C31,Customers!A:E,5,FALSE)&gt;=1000,"YES","NO")</f>
        <v>NO</v>
      </c>
      <c r="I31">
        <f t="shared" si="0"/>
        <v>156</v>
      </c>
      <c r="J31">
        <f>(I31 - VLOOKUP(E31,Desserts!A:D,4,FALSE)) * F31</f>
        <v>368</v>
      </c>
    </row>
    <row r="32" spans="1:10" x14ac:dyDescent="0.3">
      <c r="A32" t="s">
        <v>684</v>
      </c>
      <c r="B32" t="s">
        <v>685</v>
      </c>
      <c r="C32" t="s">
        <v>375</v>
      </c>
      <c r="D32" t="s">
        <v>238</v>
      </c>
      <c r="E32" t="s">
        <v>533</v>
      </c>
      <c r="F32">
        <v>5</v>
      </c>
      <c r="G32">
        <v>175</v>
      </c>
      <c r="H32" t="str">
        <f>IF(VLOOKUP(C32,Customers!A:E,5,FALSE)&gt;=1000,"YES","NO")</f>
        <v>NO</v>
      </c>
      <c r="I32">
        <f t="shared" si="0"/>
        <v>175</v>
      </c>
      <c r="J32">
        <f>(I32 - VLOOKUP(E32,Desserts!A:D,4,FALSE)) * F32</f>
        <v>540</v>
      </c>
    </row>
    <row r="33" spans="1:10" x14ac:dyDescent="0.3">
      <c r="A33" t="s">
        <v>686</v>
      </c>
      <c r="B33" t="s">
        <v>687</v>
      </c>
      <c r="C33" t="s">
        <v>417</v>
      </c>
      <c r="D33" t="s">
        <v>169</v>
      </c>
      <c r="E33" t="s">
        <v>553</v>
      </c>
      <c r="F33">
        <v>2</v>
      </c>
      <c r="G33">
        <v>154</v>
      </c>
      <c r="H33" t="str">
        <f>IF(VLOOKUP(C33,Customers!A:E,5,FALSE)&gt;=1000,"YES","NO")</f>
        <v>YES</v>
      </c>
      <c r="I33">
        <f t="shared" si="0"/>
        <v>77</v>
      </c>
      <c r="J33">
        <f>(I33 - VLOOKUP(E33,Desserts!A:D,4,FALSE)) * F33</f>
        <v>34</v>
      </c>
    </row>
    <row r="34" spans="1:10" x14ac:dyDescent="0.3">
      <c r="A34" t="s">
        <v>688</v>
      </c>
      <c r="B34" t="s">
        <v>689</v>
      </c>
      <c r="C34" t="s">
        <v>347</v>
      </c>
      <c r="D34" t="s">
        <v>94</v>
      </c>
      <c r="E34" t="s">
        <v>549</v>
      </c>
      <c r="F34">
        <v>2</v>
      </c>
      <c r="G34">
        <v>183</v>
      </c>
      <c r="H34" t="str">
        <f>IF(VLOOKUP(C34,Customers!A:E,5,FALSE)&gt;=1000,"YES","NO")</f>
        <v>YES</v>
      </c>
      <c r="I34">
        <f t="shared" si="0"/>
        <v>91.5</v>
      </c>
      <c r="J34">
        <f>(I34 - VLOOKUP(E34,Desserts!A:D,4,FALSE)) * F34</f>
        <v>25</v>
      </c>
    </row>
    <row r="35" spans="1:10" x14ac:dyDescent="0.3">
      <c r="A35" t="s">
        <v>690</v>
      </c>
      <c r="B35" t="s">
        <v>636</v>
      </c>
      <c r="C35" t="s">
        <v>325</v>
      </c>
      <c r="D35" t="s">
        <v>289</v>
      </c>
      <c r="E35" t="s">
        <v>533</v>
      </c>
      <c r="F35">
        <v>3</v>
      </c>
      <c r="G35">
        <v>222</v>
      </c>
      <c r="H35" t="str">
        <f>IF(VLOOKUP(C35,Customers!A:E,5,FALSE)&gt;=1000,"YES","NO")</f>
        <v>NO</v>
      </c>
      <c r="I35">
        <f t="shared" si="0"/>
        <v>222</v>
      </c>
      <c r="J35">
        <f>(I35 - VLOOKUP(E35,Desserts!A:D,4,FALSE)) * F35</f>
        <v>465</v>
      </c>
    </row>
    <row r="36" spans="1:10" x14ac:dyDescent="0.3">
      <c r="A36" t="s">
        <v>691</v>
      </c>
      <c r="B36" t="s">
        <v>692</v>
      </c>
      <c r="C36" t="s">
        <v>433</v>
      </c>
      <c r="D36" t="s">
        <v>265</v>
      </c>
      <c r="E36" t="s">
        <v>525</v>
      </c>
      <c r="F36">
        <v>1</v>
      </c>
      <c r="G36">
        <v>217</v>
      </c>
      <c r="H36" t="str">
        <f>IF(VLOOKUP(C36,Customers!A:E,5,FALSE)&gt;=1000,"YES","NO")</f>
        <v>YES</v>
      </c>
      <c r="I36">
        <f t="shared" si="0"/>
        <v>108.5</v>
      </c>
      <c r="J36">
        <f>(I36 - VLOOKUP(E36,Desserts!A:D,4,FALSE)) * F36</f>
        <v>24.5</v>
      </c>
    </row>
    <row r="37" spans="1:10" x14ac:dyDescent="0.3">
      <c r="A37" t="s">
        <v>693</v>
      </c>
      <c r="B37" t="s">
        <v>640</v>
      </c>
      <c r="C37" t="s">
        <v>443</v>
      </c>
      <c r="D37" t="s">
        <v>238</v>
      </c>
      <c r="E37" t="s">
        <v>577</v>
      </c>
      <c r="F37">
        <v>5</v>
      </c>
      <c r="G37">
        <v>126</v>
      </c>
      <c r="H37" t="str">
        <f>IF(VLOOKUP(C37,Customers!A:E,5,FALSE)&gt;=1000,"YES","NO")</f>
        <v>YES</v>
      </c>
      <c r="I37">
        <f t="shared" si="0"/>
        <v>63</v>
      </c>
      <c r="J37">
        <f>(I37 - VLOOKUP(E37,Desserts!A:D,4,FALSE)) * F37</f>
        <v>-35</v>
      </c>
    </row>
    <row r="38" spans="1:10" x14ac:dyDescent="0.3">
      <c r="A38" t="s">
        <v>694</v>
      </c>
      <c r="B38" t="s">
        <v>695</v>
      </c>
      <c r="C38" t="s">
        <v>377</v>
      </c>
      <c r="D38" t="s">
        <v>166</v>
      </c>
      <c r="E38" t="s">
        <v>603</v>
      </c>
      <c r="F38">
        <v>5</v>
      </c>
      <c r="G38">
        <v>139</v>
      </c>
      <c r="H38" t="str">
        <f>IF(VLOOKUP(C38,Customers!A:E,5,FALSE)&gt;=1000,"YES","NO")</f>
        <v>NO</v>
      </c>
      <c r="I38">
        <f t="shared" si="0"/>
        <v>139</v>
      </c>
      <c r="J38">
        <f>(I38 - VLOOKUP(E38,Desserts!A:D,4,FALSE)) * F38</f>
        <v>250</v>
      </c>
    </row>
    <row r="39" spans="1:10" x14ac:dyDescent="0.3">
      <c r="A39" t="s">
        <v>696</v>
      </c>
      <c r="B39" t="s">
        <v>697</v>
      </c>
      <c r="C39" t="s">
        <v>361</v>
      </c>
      <c r="D39" t="s">
        <v>148</v>
      </c>
      <c r="E39" t="s">
        <v>579</v>
      </c>
      <c r="F39">
        <v>1</v>
      </c>
      <c r="G39">
        <v>203</v>
      </c>
      <c r="H39" t="str">
        <f>IF(VLOOKUP(C39,Customers!A:E,5,FALSE)&gt;=1000,"YES","NO")</f>
        <v>NO</v>
      </c>
      <c r="I39">
        <f t="shared" si="0"/>
        <v>203</v>
      </c>
      <c r="J39">
        <f>(I39 - VLOOKUP(E39,Desserts!A:D,4,FALSE)) * F39</f>
        <v>141</v>
      </c>
    </row>
    <row r="40" spans="1:10" x14ac:dyDescent="0.3">
      <c r="A40" t="s">
        <v>698</v>
      </c>
      <c r="B40" t="s">
        <v>699</v>
      </c>
      <c r="C40" t="s">
        <v>385</v>
      </c>
      <c r="D40" t="s">
        <v>109</v>
      </c>
      <c r="E40" t="s">
        <v>527</v>
      </c>
      <c r="F40">
        <v>2</v>
      </c>
      <c r="G40">
        <v>174</v>
      </c>
      <c r="H40" t="str">
        <f>IF(VLOOKUP(C40,Customers!A:E,5,FALSE)&gt;=1000,"YES","NO")</f>
        <v>YES</v>
      </c>
      <c r="I40">
        <f t="shared" si="0"/>
        <v>87</v>
      </c>
      <c r="J40">
        <f>(I40 - VLOOKUP(E40,Desserts!A:D,4,FALSE)) * F40</f>
        <v>88</v>
      </c>
    </row>
    <row r="41" spans="1:10" x14ac:dyDescent="0.3">
      <c r="A41" t="s">
        <v>700</v>
      </c>
      <c r="B41" t="s">
        <v>701</v>
      </c>
      <c r="C41" t="s">
        <v>381</v>
      </c>
      <c r="D41" t="s">
        <v>112</v>
      </c>
      <c r="E41" t="s">
        <v>583</v>
      </c>
      <c r="F41">
        <v>1</v>
      </c>
      <c r="G41">
        <v>219</v>
      </c>
      <c r="H41" t="str">
        <f>IF(VLOOKUP(C41,Customers!A:E,5,FALSE)&gt;=1000,"YES","NO")</f>
        <v>NO</v>
      </c>
      <c r="I41">
        <f t="shared" si="0"/>
        <v>219</v>
      </c>
      <c r="J41">
        <f>(I41 - VLOOKUP(E41,Desserts!A:D,4,FALSE)) * F41</f>
        <v>136</v>
      </c>
    </row>
    <row r="42" spans="1:10" x14ac:dyDescent="0.3">
      <c r="A42" t="s">
        <v>702</v>
      </c>
      <c r="B42" t="s">
        <v>703</v>
      </c>
      <c r="C42" t="s">
        <v>383</v>
      </c>
      <c r="D42" t="s">
        <v>280</v>
      </c>
      <c r="E42" t="s">
        <v>583</v>
      </c>
      <c r="F42">
        <v>3</v>
      </c>
      <c r="G42">
        <v>243</v>
      </c>
      <c r="H42" t="str">
        <f>IF(VLOOKUP(C42,Customers!A:E,5,FALSE)&gt;=1000,"YES","NO")</f>
        <v>NO</v>
      </c>
      <c r="I42">
        <f t="shared" si="0"/>
        <v>243</v>
      </c>
      <c r="J42">
        <f>(I42 - VLOOKUP(E42,Desserts!A:D,4,FALSE)) * F42</f>
        <v>480</v>
      </c>
    </row>
    <row r="43" spans="1:10" x14ac:dyDescent="0.3">
      <c r="A43" t="s">
        <v>704</v>
      </c>
      <c r="B43" t="s">
        <v>705</v>
      </c>
      <c r="C43" t="s">
        <v>367</v>
      </c>
      <c r="D43" t="s">
        <v>280</v>
      </c>
      <c r="E43" t="s">
        <v>523</v>
      </c>
      <c r="F43">
        <v>3</v>
      </c>
      <c r="G43">
        <v>234</v>
      </c>
      <c r="H43" t="str">
        <f>IF(VLOOKUP(C43,Customers!A:E,5,FALSE)&gt;=1000,"YES","NO")</f>
        <v>NO</v>
      </c>
      <c r="I43">
        <f t="shared" si="0"/>
        <v>234</v>
      </c>
      <c r="J43">
        <f>(I43 - VLOOKUP(E43,Desserts!A:D,4,FALSE)) * F43</f>
        <v>498</v>
      </c>
    </row>
    <row r="44" spans="1:10" x14ac:dyDescent="0.3">
      <c r="A44" t="s">
        <v>706</v>
      </c>
      <c r="B44" t="s">
        <v>642</v>
      </c>
      <c r="C44" t="s">
        <v>375</v>
      </c>
      <c r="D44" t="s">
        <v>151</v>
      </c>
      <c r="E44" t="s">
        <v>567</v>
      </c>
      <c r="F44">
        <v>5</v>
      </c>
      <c r="G44">
        <v>115</v>
      </c>
      <c r="H44" t="str">
        <f>IF(VLOOKUP(C44,Customers!A:E,5,FALSE)&gt;=1000,"YES","NO")</f>
        <v>NO</v>
      </c>
      <c r="I44">
        <f t="shared" si="0"/>
        <v>115</v>
      </c>
      <c r="J44">
        <f>(I44 - VLOOKUP(E44,Desserts!A:D,4,FALSE)) * F44</f>
        <v>295</v>
      </c>
    </row>
    <row r="45" spans="1:10" x14ac:dyDescent="0.3">
      <c r="A45" t="s">
        <v>707</v>
      </c>
      <c r="B45" t="s">
        <v>708</v>
      </c>
      <c r="C45" t="s">
        <v>457</v>
      </c>
      <c r="D45" t="s">
        <v>235</v>
      </c>
      <c r="E45" t="s">
        <v>563</v>
      </c>
      <c r="F45">
        <v>1</v>
      </c>
      <c r="G45">
        <v>124</v>
      </c>
      <c r="H45" t="str">
        <f>IF(VLOOKUP(C45,Customers!A:E,5,FALSE)&gt;=1000,"YES","NO")</f>
        <v>YES</v>
      </c>
      <c r="I45">
        <f t="shared" si="0"/>
        <v>62</v>
      </c>
      <c r="J45">
        <f>(I45 - VLOOKUP(E45,Desserts!A:D,4,FALSE)) * F45</f>
        <v>-3</v>
      </c>
    </row>
    <row r="46" spans="1:10" x14ac:dyDescent="0.3">
      <c r="A46" t="s">
        <v>709</v>
      </c>
      <c r="B46" t="s">
        <v>710</v>
      </c>
      <c r="C46" t="s">
        <v>439</v>
      </c>
      <c r="D46" t="s">
        <v>85</v>
      </c>
      <c r="E46" t="s">
        <v>577</v>
      </c>
      <c r="F46">
        <v>5</v>
      </c>
      <c r="G46">
        <v>211</v>
      </c>
      <c r="H46" t="str">
        <f>IF(VLOOKUP(C46,Customers!A:E,5,FALSE)&gt;=1000,"YES","NO")</f>
        <v>YES</v>
      </c>
      <c r="I46">
        <f t="shared" si="0"/>
        <v>105.5</v>
      </c>
      <c r="J46">
        <f>(I46 - VLOOKUP(E46,Desserts!A:D,4,FALSE)) * F46</f>
        <v>177.5</v>
      </c>
    </row>
    <row r="47" spans="1:10" x14ac:dyDescent="0.3">
      <c r="A47" t="s">
        <v>711</v>
      </c>
      <c r="B47" t="s">
        <v>681</v>
      </c>
      <c r="C47" t="s">
        <v>421</v>
      </c>
      <c r="D47" t="s">
        <v>265</v>
      </c>
      <c r="E47" t="s">
        <v>521</v>
      </c>
      <c r="F47">
        <v>5</v>
      </c>
      <c r="G47">
        <v>161</v>
      </c>
      <c r="H47" t="str">
        <f>IF(VLOOKUP(C47,Customers!A:E,5,FALSE)&gt;=1000,"YES","NO")</f>
        <v>YES</v>
      </c>
      <c r="I47">
        <f t="shared" si="0"/>
        <v>80.5</v>
      </c>
      <c r="J47">
        <f>(I47 - VLOOKUP(E47,Desserts!A:D,4,FALSE)) * F47</f>
        <v>82.5</v>
      </c>
    </row>
    <row r="48" spans="1:10" x14ac:dyDescent="0.3">
      <c r="A48" t="s">
        <v>712</v>
      </c>
      <c r="B48" t="s">
        <v>713</v>
      </c>
      <c r="C48" t="s">
        <v>431</v>
      </c>
      <c r="D48" t="s">
        <v>292</v>
      </c>
      <c r="E48" t="s">
        <v>555</v>
      </c>
      <c r="F48">
        <v>5</v>
      </c>
      <c r="G48">
        <v>143</v>
      </c>
      <c r="H48" t="str">
        <f>IF(VLOOKUP(C48,Customers!A:E,5,FALSE)&gt;=1000,"YES","NO")</f>
        <v>YES</v>
      </c>
      <c r="I48">
        <f t="shared" si="0"/>
        <v>71.5</v>
      </c>
      <c r="J48">
        <f>(I48 - VLOOKUP(E48,Desserts!A:D,4,FALSE)) * F48</f>
        <v>-17.5</v>
      </c>
    </row>
    <row r="49" spans="1:10" x14ac:dyDescent="0.3">
      <c r="A49" t="s">
        <v>714</v>
      </c>
      <c r="B49" t="s">
        <v>715</v>
      </c>
      <c r="C49" t="s">
        <v>469</v>
      </c>
      <c r="D49" t="s">
        <v>106</v>
      </c>
      <c r="E49" t="s">
        <v>599</v>
      </c>
      <c r="F49">
        <v>5</v>
      </c>
      <c r="G49">
        <v>165</v>
      </c>
      <c r="H49" t="str">
        <f>IF(VLOOKUP(C49,Customers!A:E,5,FALSE)&gt;=1000,"YES","NO")</f>
        <v>NO</v>
      </c>
      <c r="I49">
        <f t="shared" si="0"/>
        <v>165</v>
      </c>
      <c r="J49">
        <f>(I49 - VLOOKUP(E49,Desserts!A:D,4,FALSE)) * F49</f>
        <v>425</v>
      </c>
    </row>
    <row r="50" spans="1:10" x14ac:dyDescent="0.3">
      <c r="A50" t="s">
        <v>716</v>
      </c>
      <c r="B50" t="s">
        <v>717</v>
      </c>
      <c r="C50" t="s">
        <v>335</v>
      </c>
      <c r="D50" t="s">
        <v>57</v>
      </c>
      <c r="E50" t="s">
        <v>535</v>
      </c>
      <c r="F50">
        <v>4</v>
      </c>
      <c r="G50">
        <v>108</v>
      </c>
      <c r="H50" t="str">
        <f>IF(VLOOKUP(C50,Customers!A:E,5,FALSE)&gt;=1000,"YES","NO")</f>
        <v>NO</v>
      </c>
      <c r="I50">
        <f t="shared" si="0"/>
        <v>108</v>
      </c>
      <c r="J50">
        <f>(I50 - VLOOKUP(E50,Desserts!A:D,4,FALSE)) * F50</f>
        <v>136</v>
      </c>
    </row>
    <row r="51" spans="1:10" x14ac:dyDescent="0.3">
      <c r="A51" t="s">
        <v>718</v>
      </c>
      <c r="B51" t="s">
        <v>719</v>
      </c>
      <c r="C51" t="s">
        <v>401</v>
      </c>
      <c r="D51" t="s">
        <v>307</v>
      </c>
      <c r="E51" t="s">
        <v>585</v>
      </c>
      <c r="F51">
        <v>4</v>
      </c>
      <c r="G51">
        <v>150</v>
      </c>
      <c r="H51" t="str">
        <f>IF(VLOOKUP(C51,Customers!A:E,5,FALSE)&gt;=1000,"YES","NO")</f>
        <v>YES</v>
      </c>
      <c r="I51">
        <f t="shared" si="0"/>
        <v>75</v>
      </c>
      <c r="J51">
        <f>(I51 - VLOOKUP(E51,Desserts!A:D,4,FALSE)) * F51</f>
        <v>112</v>
      </c>
    </row>
    <row r="52" spans="1:10" x14ac:dyDescent="0.3">
      <c r="A52" t="s">
        <v>720</v>
      </c>
      <c r="B52" t="s">
        <v>721</v>
      </c>
      <c r="C52" t="s">
        <v>423</v>
      </c>
      <c r="D52" t="s">
        <v>274</v>
      </c>
      <c r="E52" t="s">
        <v>597</v>
      </c>
      <c r="F52">
        <v>3</v>
      </c>
      <c r="G52">
        <v>121</v>
      </c>
      <c r="H52" t="str">
        <f>IF(VLOOKUP(C52,Customers!A:E,5,FALSE)&gt;=1000,"YES","NO")</f>
        <v>NO</v>
      </c>
      <c r="I52">
        <f t="shared" si="0"/>
        <v>121</v>
      </c>
      <c r="J52">
        <f>(I52 - VLOOKUP(E52,Desserts!A:D,4,FALSE)) * F52</f>
        <v>228</v>
      </c>
    </row>
    <row r="53" spans="1:10" x14ac:dyDescent="0.3">
      <c r="A53" t="s">
        <v>722</v>
      </c>
      <c r="B53" t="s">
        <v>723</v>
      </c>
      <c r="C53" t="s">
        <v>509</v>
      </c>
      <c r="D53" t="s">
        <v>286</v>
      </c>
      <c r="E53" t="s">
        <v>617</v>
      </c>
      <c r="F53">
        <v>4</v>
      </c>
      <c r="G53">
        <v>210</v>
      </c>
      <c r="H53" t="str">
        <f>IF(VLOOKUP(C53,Customers!A:E,5,FALSE)&gt;=1000,"YES","NO")</f>
        <v>NO</v>
      </c>
      <c r="I53">
        <f t="shared" si="0"/>
        <v>210</v>
      </c>
      <c r="J53">
        <f>(I53 - VLOOKUP(E53,Desserts!A:D,4,FALSE)) * F53</f>
        <v>676</v>
      </c>
    </row>
    <row r="54" spans="1:10" x14ac:dyDescent="0.3">
      <c r="A54" t="s">
        <v>724</v>
      </c>
      <c r="B54" t="s">
        <v>725</v>
      </c>
      <c r="C54" t="s">
        <v>397</v>
      </c>
      <c r="D54" t="s">
        <v>214</v>
      </c>
      <c r="E54" t="s">
        <v>567</v>
      </c>
      <c r="F54">
        <v>4</v>
      </c>
      <c r="G54">
        <v>232</v>
      </c>
      <c r="H54" t="str">
        <f>IF(VLOOKUP(C54,Customers!A:E,5,FALSE)&gt;=1000,"YES","NO")</f>
        <v>NO</v>
      </c>
      <c r="I54">
        <f t="shared" si="0"/>
        <v>232</v>
      </c>
      <c r="J54">
        <f>(I54 - VLOOKUP(E54,Desserts!A:D,4,FALSE)) * F54</f>
        <v>704</v>
      </c>
    </row>
    <row r="55" spans="1:10" x14ac:dyDescent="0.3">
      <c r="A55" t="s">
        <v>726</v>
      </c>
      <c r="B55" t="s">
        <v>727</v>
      </c>
      <c r="C55" t="s">
        <v>461</v>
      </c>
      <c r="D55" t="s">
        <v>190</v>
      </c>
      <c r="E55" t="s">
        <v>609</v>
      </c>
      <c r="F55">
        <v>5</v>
      </c>
      <c r="G55">
        <v>116</v>
      </c>
      <c r="H55" t="str">
        <f>IF(VLOOKUP(C55,Customers!A:E,5,FALSE)&gt;=1000,"YES","NO")</f>
        <v>YES</v>
      </c>
      <c r="I55">
        <f t="shared" si="0"/>
        <v>58</v>
      </c>
      <c r="J55">
        <f>(I55 - VLOOKUP(E55,Desserts!A:D,4,FALSE)) * F55</f>
        <v>-30</v>
      </c>
    </row>
    <row r="56" spans="1:10" x14ac:dyDescent="0.3">
      <c r="A56" t="s">
        <v>728</v>
      </c>
      <c r="B56" t="s">
        <v>729</v>
      </c>
      <c r="C56" t="s">
        <v>495</v>
      </c>
      <c r="D56" t="s">
        <v>181</v>
      </c>
      <c r="E56" t="s">
        <v>607</v>
      </c>
      <c r="F56">
        <v>3</v>
      </c>
      <c r="G56">
        <v>214</v>
      </c>
      <c r="H56" t="str">
        <f>IF(VLOOKUP(C56,Customers!A:E,5,FALSE)&gt;=1000,"YES","NO")</f>
        <v>NO</v>
      </c>
      <c r="I56">
        <f t="shared" si="0"/>
        <v>214</v>
      </c>
      <c r="J56">
        <f>(I56 - VLOOKUP(E56,Desserts!A:D,4,FALSE)) * F56</f>
        <v>432</v>
      </c>
    </row>
    <row r="57" spans="1:10" x14ac:dyDescent="0.3">
      <c r="A57" t="s">
        <v>730</v>
      </c>
      <c r="B57" t="s">
        <v>731</v>
      </c>
      <c r="C57" t="s">
        <v>511</v>
      </c>
      <c r="D57" t="s">
        <v>97</v>
      </c>
      <c r="E57" t="s">
        <v>535</v>
      </c>
      <c r="F57">
        <v>2</v>
      </c>
      <c r="G57">
        <v>246</v>
      </c>
      <c r="H57" t="str">
        <f>IF(VLOOKUP(C57,Customers!A:E,5,FALSE)&gt;=1000,"YES","NO")</f>
        <v>YES</v>
      </c>
      <c r="I57">
        <f t="shared" si="0"/>
        <v>123</v>
      </c>
      <c r="J57">
        <f>(I57 - VLOOKUP(E57,Desserts!A:D,4,FALSE)) * F57</f>
        <v>98</v>
      </c>
    </row>
    <row r="58" spans="1:10" x14ac:dyDescent="0.3">
      <c r="A58" t="s">
        <v>732</v>
      </c>
      <c r="B58" t="s">
        <v>733</v>
      </c>
      <c r="C58" t="s">
        <v>485</v>
      </c>
      <c r="D58" t="s">
        <v>268</v>
      </c>
      <c r="E58" t="s">
        <v>567</v>
      </c>
      <c r="F58">
        <v>1</v>
      </c>
      <c r="G58">
        <v>137</v>
      </c>
      <c r="H58" t="str">
        <f>IF(VLOOKUP(C58,Customers!A:E,5,FALSE)&gt;=1000,"YES","NO")</f>
        <v>YES</v>
      </c>
      <c r="I58">
        <f t="shared" si="0"/>
        <v>68.5</v>
      </c>
      <c r="J58">
        <f>(I58 - VLOOKUP(E58,Desserts!A:D,4,FALSE)) * F58</f>
        <v>12.5</v>
      </c>
    </row>
    <row r="59" spans="1:10" x14ac:dyDescent="0.3">
      <c r="A59" t="s">
        <v>734</v>
      </c>
      <c r="B59" t="s">
        <v>735</v>
      </c>
      <c r="C59" t="s">
        <v>431</v>
      </c>
      <c r="D59" t="s">
        <v>79</v>
      </c>
      <c r="E59" t="s">
        <v>609</v>
      </c>
      <c r="F59">
        <v>4</v>
      </c>
      <c r="G59">
        <v>206</v>
      </c>
      <c r="H59" t="str">
        <f>IF(VLOOKUP(C59,Customers!A:E,5,FALSE)&gt;=1000,"YES","NO")</f>
        <v>YES</v>
      </c>
      <c r="I59">
        <f t="shared" si="0"/>
        <v>103</v>
      </c>
      <c r="J59">
        <f>(I59 - VLOOKUP(E59,Desserts!A:D,4,FALSE)) * F59</f>
        <v>156</v>
      </c>
    </row>
    <row r="60" spans="1:10" x14ac:dyDescent="0.3">
      <c r="A60" t="s">
        <v>736</v>
      </c>
      <c r="B60" t="s">
        <v>737</v>
      </c>
      <c r="C60" t="s">
        <v>373</v>
      </c>
      <c r="D60" t="s">
        <v>181</v>
      </c>
      <c r="E60" t="s">
        <v>589</v>
      </c>
      <c r="F60">
        <v>4</v>
      </c>
      <c r="G60">
        <v>201</v>
      </c>
      <c r="H60" t="str">
        <f>IF(VLOOKUP(C60,Customers!A:E,5,FALSE)&gt;=1000,"YES","NO")</f>
        <v>NO</v>
      </c>
      <c r="I60">
        <f t="shared" si="0"/>
        <v>201</v>
      </c>
      <c r="J60">
        <f>(I60 - VLOOKUP(E60,Desserts!A:D,4,FALSE)) * F60</f>
        <v>520</v>
      </c>
    </row>
    <row r="61" spans="1:10" x14ac:dyDescent="0.3">
      <c r="A61" t="s">
        <v>738</v>
      </c>
      <c r="B61" t="s">
        <v>739</v>
      </c>
      <c r="C61" t="s">
        <v>411</v>
      </c>
      <c r="D61" t="s">
        <v>190</v>
      </c>
      <c r="E61" t="s">
        <v>563</v>
      </c>
      <c r="F61">
        <v>4</v>
      </c>
      <c r="G61">
        <v>243</v>
      </c>
      <c r="H61" t="str">
        <f>IF(VLOOKUP(C61,Customers!A:E,5,FALSE)&gt;=1000,"YES","NO")</f>
        <v>NO</v>
      </c>
      <c r="I61">
        <f t="shared" si="0"/>
        <v>243</v>
      </c>
      <c r="J61">
        <f>(I61 - VLOOKUP(E61,Desserts!A:D,4,FALSE)) * F61</f>
        <v>712</v>
      </c>
    </row>
    <row r="62" spans="1:10" x14ac:dyDescent="0.3">
      <c r="A62" t="s">
        <v>740</v>
      </c>
      <c r="B62" t="s">
        <v>741</v>
      </c>
      <c r="C62" t="s">
        <v>319</v>
      </c>
      <c r="D62" t="s">
        <v>30</v>
      </c>
      <c r="E62" t="s">
        <v>561</v>
      </c>
      <c r="F62">
        <v>1</v>
      </c>
      <c r="G62">
        <v>137</v>
      </c>
      <c r="H62" t="str">
        <f>IF(VLOOKUP(C62,Customers!A:E,5,FALSE)&gt;=1000,"YES","NO")</f>
        <v>YES</v>
      </c>
      <c r="I62">
        <f t="shared" si="0"/>
        <v>68.5</v>
      </c>
      <c r="J62">
        <f>(I62 - VLOOKUP(E62,Desserts!A:D,4,FALSE)) * F62</f>
        <v>5.5</v>
      </c>
    </row>
    <row r="63" spans="1:10" x14ac:dyDescent="0.3">
      <c r="A63" t="s">
        <v>742</v>
      </c>
      <c r="B63" t="s">
        <v>743</v>
      </c>
      <c r="C63" t="s">
        <v>365</v>
      </c>
      <c r="D63" t="s">
        <v>199</v>
      </c>
      <c r="E63" t="s">
        <v>603</v>
      </c>
      <c r="F63">
        <v>2</v>
      </c>
      <c r="G63">
        <v>122</v>
      </c>
      <c r="H63" t="str">
        <f>IF(VLOOKUP(C63,Customers!A:E,5,FALSE)&gt;=1000,"YES","NO")</f>
        <v>NO</v>
      </c>
      <c r="I63">
        <f t="shared" si="0"/>
        <v>122</v>
      </c>
      <c r="J63">
        <f>(I63 - VLOOKUP(E63,Desserts!A:D,4,FALSE)) * F63</f>
        <v>66</v>
      </c>
    </row>
    <row r="64" spans="1:10" x14ac:dyDescent="0.3">
      <c r="A64" t="s">
        <v>744</v>
      </c>
      <c r="B64" t="s">
        <v>745</v>
      </c>
      <c r="C64" t="s">
        <v>325</v>
      </c>
      <c r="D64" t="s">
        <v>157</v>
      </c>
      <c r="E64" t="s">
        <v>583</v>
      </c>
      <c r="F64">
        <v>1</v>
      </c>
      <c r="G64">
        <v>212</v>
      </c>
      <c r="H64" t="str">
        <f>IF(VLOOKUP(C64,Customers!A:E,5,FALSE)&gt;=1000,"YES","NO")</f>
        <v>NO</v>
      </c>
      <c r="I64">
        <f t="shared" si="0"/>
        <v>212</v>
      </c>
      <c r="J64">
        <f>(I64 - VLOOKUP(E64,Desserts!A:D,4,FALSE)) * F64</f>
        <v>129</v>
      </c>
    </row>
    <row r="65" spans="1:10" x14ac:dyDescent="0.3">
      <c r="A65" t="s">
        <v>746</v>
      </c>
      <c r="B65" t="s">
        <v>747</v>
      </c>
      <c r="C65" t="s">
        <v>509</v>
      </c>
      <c r="D65" t="s">
        <v>151</v>
      </c>
      <c r="E65" t="s">
        <v>615</v>
      </c>
      <c r="F65">
        <v>2</v>
      </c>
      <c r="G65">
        <v>248</v>
      </c>
      <c r="H65" t="str">
        <f>IF(VLOOKUP(C65,Customers!A:E,5,FALSE)&gt;=1000,"YES","NO")</f>
        <v>NO</v>
      </c>
      <c r="I65">
        <f t="shared" si="0"/>
        <v>248</v>
      </c>
      <c r="J65">
        <f>(I65 - VLOOKUP(E65,Desserts!A:D,4,FALSE)) * F65</f>
        <v>412</v>
      </c>
    </row>
    <row r="66" spans="1:10" x14ac:dyDescent="0.3">
      <c r="A66" t="s">
        <v>748</v>
      </c>
      <c r="B66" t="s">
        <v>749</v>
      </c>
      <c r="C66" t="s">
        <v>409</v>
      </c>
      <c r="D66" t="s">
        <v>265</v>
      </c>
      <c r="E66" t="s">
        <v>617</v>
      </c>
      <c r="F66">
        <v>3</v>
      </c>
      <c r="G66">
        <v>125</v>
      </c>
      <c r="H66" t="str">
        <f>IF(VLOOKUP(C66,Customers!A:E,5,FALSE)&gt;=1000,"YES","NO")</f>
        <v>NO</v>
      </c>
      <c r="I66">
        <f t="shared" ref="I66:I129" si="1">IF(H66="YES",G66*0.5,G66)</f>
        <v>125</v>
      </c>
      <c r="J66">
        <f>(I66 - VLOOKUP(E66,Desserts!A:D,4,FALSE)) * F66</f>
        <v>252</v>
      </c>
    </row>
    <row r="67" spans="1:10" x14ac:dyDescent="0.3">
      <c r="A67" t="s">
        <v>750</v>
      </c>
      <c r="B67" t="s">
        <v>751</v>
      </c>
      <c r="C67" t="s">
        <v>363</v>
      </c>
      <c r="D67" t="s">
        <v>100</v>
      </c>
      <c r="E67" t="s">
        <v>579</v>
      </c>
      <c r="F67">
        <v>2</v>
      </c>
      <c r="G67">
        <v>113</v>
      </c>
      <c r="H67" t="str">
        <f>IF(VLOOKUP(C67,Customers!A:E,5,FALSE)&gt;=1000,"YES","NO")</f>
        <v>YES</v>
      </c>
      <c r="I67">
        <f t="shared" si="1"/>
        <v>56.5</v>
      </c>
      <c r="J67">
        <f>(I67 - VLOOKUP(E67,Desserts!A:D,4,FALSE)) * F67</f>
        <v>-11</v>
      </c>
    </row>
    <row r="68" spans="1:10" x14ac:dyDescent="0.3">
      <c r="A68" t="s">
        <v>752</v>
      </c>
      <c r="B68" t="s">
        <v>753</v>
      </c>
      <c r="C68" t="s">
        <v>393</v>
      </c>
      <c r="D68" t="s">
        <v>274</v>
      </c>
      <c r="E68" t="s">
        <v>561</v>
      </c>
      <c r="F68">
        <v>3</v>
      </c>
      <c r="G68">
        <v>230</v>
      </c>
      <c r="H68" t="str">
        <f>IF(VLOOKUP(C68,Customers!A:E,5,FALSE)&gt;=1000,"YES","NO")</f>
        <v>YES</v>
      </c>
      <c r="I68">
        <f t="shared" si="1"/>
        <v>115</v>
      </c>
      <c r="J68">
        <f>(I68 - VLOOKUP(E68,Desserts!A:D,4,FALSE)) * F68</f>
        <v>156</v>
      </c>
    </row>
    <row r="69" spans="1:10" x14ac:dyDescent="0.3">
      <c r="A69" t="s">
        <v>754</v>
      </c>
      <c r="B69" t="s">
        <v>755</v>
      </c>
      <c r="C69" t="s">
        <v>345</v>
      </c>
      <c r="D69" t="s">
        <v>148</v>
      </c>
      <c r="E69" t="s">
        <v>577</v>
      </c>
      <c r="F69">
        <v>2</v>
      </c>
      <c r="G69">
        <v>130</v>
      </c>
      <c r="H69" t="str">
        <f>IF(VLOOKUP(C69,Customers!A:E,5,FALSE)&gt;=1000,"YES","NO")</f>
        <v>YES</v>
      </c>
      <c r="I69">
        <f t="shared" si="1"/>
        <v>65</v>
      </c>
      <c r="J69">
        <f>(I69 - VLOOKUP(E69,Desserts!A:D,4,FALSE)) * F69</f>
        <v>-10</v>
      </c>
    </row>
    <row r="70" spans="1:10" x14ac:dyDescent="0.3">
      <c r="A70" t="s">
        <v>756</v>
      </c>
      <c r="B70" t="s">
        <v>757</v>
      </c>
      <c r="C70" t="s">
        <v>367</v>
      </c>
      <c r="D70" t="s">
        <v>235</v>
      </c>
      <c r="E70" t="s">
        <v>561</v>
      </c>
      <c r="F70">
        <v>2</v>
      </c>
      <c r="G70">
        <v>235</v>
      </c>
      <c r="H70" t="str">
        <f>IF(VLOOKUP(C70,Customers!A:E,5,FALSE)&gt;=1000,"YES","NO")</f>
        <v>NO</v>
      </c>
      <c r="I70">
        <f t="shared" si="1"/>
        <v>235</v>
      </c>
      <c r="J70">
        <f>(I70 - VLOOKUP(E70,Desserts!A:D,4,FALSE)) * F70</f>
        <v>344</v>
      </c>
    </row>
    <row r="71" spans="1:10" x14ac:dyDescent="0.3">
      <c r="A71" t="s">
        <v>758</v>
      </c>
      <c r="B71" t="s">
        <v>759</v>
      </c>
      <c r="C71" t="s">
        <v>317</v>
      </c>
      <c r="D71" t="s">
        <v>277</v>
      </c>
      <c r="E71" t="s">
        <v>611</v>
      </c>
      <c r="F71">
        <v>1</v>
      </c>
      <c r="G71">
        <v>169</v>
      </c>
      <c r="H71" t="str">
        <f>IF(VLOOKUP(C71,Customers!A:E,5,FALSE)&gt;=1000,"YES","NO")</f>
        <v>NO</v>
      </c>
      <c r="I71">
        <f t="shared" si="1"/>
        <v>169</v>
      </c>
      <c r="J71">
        <f>(I71 - VLOOKUP(E71,Desserts!A:D,4,FALSE)) * F71</f>
        <v>126</v>
      </c>
    </row>
    <row r="72" spans="1:10" x14ac:dyDescent="0.3">
      <c r="A72" t="s">
        <v>760</v>
      </c>
      <c r="B72" t="s">
        <v>761</v>
      </c>
      <c r="C72" t="s">
        <v>497</v>
      </c>
      <c r="D72" t="s">
        <v>27</v>
      </c>
      <c r="E72" t="s">
        <v>557</v>
      </c>
      <c r="F72">
        <v>2</v>
      </c>
      <c r="G72">
        <v>195</v>
      </c>
      <c r="H72" t="str">
        <f>IF(VLOOKUP(C72,Customers!A:E,5,FALSE)&gt;=1000,"YES","NO")</f>
        <v>NO</v>
      </c>
      <c r="I72">
        <f t="shared" si="1"/>
        <v>195</v>
      </c>
      <c r="J72">
        <f>(I72 - VLOOKUP(E72,Desserts!A:D,4,FALSE)) * F72</f>
        <v>222</v>
      </c>
    </row>
    <row r="73" spans="1:10" x14ac:dyDescent="0.3">
      <c r="A73" t="s">
        <v>762</v>
      </c>
      <c r="B73" t="s">
        <v>763</v>
      </c>
      <c r="C73" t="s">
        <v>387</v>
      </c>
      <c r="D73" t="s">
        <v>271</v>
      </c>
      <c r="E73" t="s">
        <v>593</v>
      </c>
      <c r="F73">
        <v>2</v>
      </c>
      <c r="G73">
        <v>200</v>
      </c>
      <c r="H73" t="str">
        <f>IF(VLOOKUP(C73,Customers!A:E,5,FALSE)&gt;=1000,"YES","NO")</f>
        <v>NO</v>
      </c>
      <c r="I73">
        <f t="shared" si="1"/>
        <v>200</v>
      </c>
      <c r="J73">
        <f>(I73 - VLOOKUP(E73,Desserts!A:D,4,FALSE)) * F73</f>
        <v>292</v>
      </c>
    </row>
    <row r="74" spans="1:10" x14ac:dyDescent="0.3">
      <c r="A74" t="s">
        <v>764</v>
      </c>
      <c r="B74" t="s">
        <v>765</v>
      </c>
      <c r="C74" t="s">
        <v>413</v>
      </c>
      <c r="D74" t="s">
        <v>271</v>
      </c>
      <c r="E74" t="s">
        <v>533</v>
      </c>
      <c r="F74">
        <v>3</v>
      </c>
      <c r="G74">
        <v>240</v>
      </c>
      <c r="H74" t="str">
        <f>IF(VLOOKUP(C74,Customers!A:E,5,FALSE)&gt;=1000,"YES","NO")</f>
        <v>YES</v>
      </c>
      <c r="I74">
        <f t="shared" si="1"/>
        <v>120</v>
      </c>
      <c r="J74">
        <f>(I74 - VLOOKUP(E74,Desserts!A:D,4,FALSE)) * F74</f>
        <v>159</v>
      </c>
    </row>
    <row r="75" spans="1:10" x14ac:dyDescent="0.3">
      <c r="A75" t="s">
        <v>766</v>
      </c>
      <c r="B75" t="s">
        <v>767</v>
      </c>
      <c r="C75" t="s">
        <v>489</v>
      </c>
      <c r="D75" t="s">
        <v>51</v>
      </c>
      <c r="E75" t="s">
        <v>565</v>
      </c>
      <c r="F75">
        <v>1</v>
      </c>
      <c r="G75">
        <v>156</v>
      </c>
      <c r="H75" t="str">
        <f>IF(VLOOKUP(C75,Customers!A:E,5,FALSE)&gt;=1000,"YES","NO")</f>
        <v>NO</v>
      </c>
      <c r="I75">
        <f t="shared" si="1"/>
        <v>156</v>
      </c>
      <c r="J75">
        <f>(I75 - VLOOKUP(E75,Desserts!A:D,4,FALSE)) * F75</f>
        <v>115</v>
      </c>
    </row>
    <row r="76" spans="1:10" x14ac:dyDescent="0.3">
      <c r="A76" t="s">
        <v>768</v>
      </c>
      <c r="B76" t="s">
        <v>769</v>
      </c>
      <c r="C76" t="s">
        <v>493</v>
      </c>
      <c r="D76" t="s">
        <v>91</v>
      </c>
      <c r="E76" t="s">
        <v>579</v>
      </c>
      <c r="F76">
        <v>1</v>
      </c>
      <c r="G76">
        <v>191</v>
      </c>
      <c r="H76" t="str">
        <f>IF(VLOOKUP(C76,Customers!A:E,5,FALSE)&gt;=1000,"YES","NO")</f>
        <v>NO</v>
      </c>
      <c r="I76">
        <f t="shared" si="1"/>
        <v>191</v>
      </c>
      <c r="J76">
        <f>(I76 - VLOOKUP(E76,Desserts!A:D,4,FALSE)) * F76</f>
        <v>129</v>
      </c>
    </row>
    <row r="77" spans="1:10" x14ac:dyDescent="0.3">
      <c r="A77" t="s">
        <v>770</v>
      </c>
      <c r="B77" t="s">
        <v>771</v>
      </c>
      <c r="C77" t="s">
        <v>491</v>
      </c>
      <c r="D77" t="s">
        <v>121</v>
      </c>
      <c r="E77" t="s">
        <v>559</v>
      </c>
      <c r="F77">
        <v>3</v>
      </c>
      <c r="G77">
        <v>140</v>
      </c>
      <c r="H77" t="str">
        <f>IF(VLOOKUP(C77,Customers!A:E,5,FALSE)&gt;=1000,"YES","NO")</f>
        <v>NO</v>
      </c>
      <c r="I77">
        <f t="shared" si="1"/>
        <v>140</v>
      </c>
      <c r="J77">
        <f>(I77 - VLOOKUP(E77,Desserts!A:D,4,FALSE)) * F77</f>
        <v>255</v>
      </c>
    </row>
    <row r="78" spans="1:10" x14ac:dyDescent="0.3">
      <c r="A78" t="s">
        <v>772</v>
      </c>
      <c r="B78" t="s">
        <v>773</v>
      </c>
      <c r="C78" t="s">
        <v>477</v>
      </c>
      <c r="D78" t="s">
        <v>166</v>
      </c>
      <c r="E78" t="s">
        <v>597</v>
      </c>
      <c r="F78">
        <v>5</v>
      </c>
      <c r="G78">
        <v>201</v>
      </c>
      <c r="H78" t="str">
        <f>IF(VLOOKUP(C78,Customers!A:E,5,FALSE)&gt;=1000,"YES","NO")</f>
        <v>YES</v>
      </c>
      <c r="I78">
        <f t="shared" si="1"/>
        <v>100.5</v>
      </c>
      <c r="J78">
        <f>(I78 - VLOOKUP(E78,Desserts!A:D,4,FALSE)) * F78</f>
        <v>277.5</v>
      </c>
    </row>
    <row r="79" spans="1:10" x14ac:dyDescent="0.3">
      <c r="A79" t="s">
        <v>774</v>
      </c>
      <c r="B79" t="s">
        <v>775</v>
      </c>
      <c r="C79" t="s">
        <v>321</v>
      </c>
      <c r="D79" t="s">
        <v>9</v>
      </c>
      <c r="E79" t="s">
        <v>575</v>
      </c>
      <c r="F79">
        <v>2</v>
      </c>
      <c r="G79">
        <v>235</v>
      </c>
      <c r="H79" t="str">
        <f>IF(VLOOKUP(C79,Customers!A:E,5,FALSE)&gt;=1000,"YES","NO")</f>
        <v>NO</v>
      </c>
      <c r="I79">
        <f t="shared" si="1"/>
        <v>235</v>
      </c>
      <c r="J79">
        <f>(I79 - VLOOKUP(E79,Desserts!A:D,4,FALSE)) * F79</f>
        <v>320</v>
      </c>
    </row>
    <row r="80" spans="1:10" x14ac:dyDescent="0.3">
      <c r="A80" t="s">
        <v>776</v>
      </c>
      <c r="B80" t="s">
        <v>777</v>
      </c>
      <c r="C80" t="s">
        <v>457</v>
      </c>
      <c r="D80" t="s">
        <v>232</v>
      </c>
      <c r="E80" t="s">
        <v>533</v>
      </c>
      <c r="F80">
        <v>2</v>
      </c>
      <c r="G80">
        <v>173</v>
      </c>
      <c r="H80" t="str">
        <f>IF(VLOOKUP(C80,Customers!A:E,5,FALSE)&gt;=1000,"YES","NO")</f>
        <v>YES</v>
      </c>
      <c r="I80">
        <f t="shared" si="1"/>
        <v>86.5</v>
      </c>
      <c r="J80">
        <f>(I80 - VLOOKUP(E80,Desserts!A:D,4,FALSE)) * F80</f>
        <v>39</v>
      </c>
    </row>
    <row r="81" spans="1:10" x14ac:dyDescent="0.3">
      <c r="A81" t="s">
        <v>778</v>
      </c>
      <c r="B81" t="s">
        <v>779</v>
      </c>
      <c r="C81" t="s">
        <v>317</v>
      </c>
      <c r="D81" t="s">
        <v>100</v>
      </c>
      <c r="E81" t="s">
        <v>615</v>
      </c>
      <c r="F81">
        <v>3</v>
      </c>
      <c r="G81">
        <v>193</v>
      </c>
      <c r="H81" t="str">
        <f>IF(VLOOKUP(C81,Customers!A:E,5,FALSE)&gt;=1000,"YES","NO")</f>
        <v>NO</v>
      </c>
      <c r="I81">
        <f t="shared" si="1"/>
        <v>193</v>
      </c>
      <c r="J81">
        <f>(I81 - VLOOKUP(E81,Desserts!A:D,4,FALSE)) * F81</f>
        <v>453</v>
      </c>
    </row>
    <row r="82" spans="1:10" x14ac:dyDescent="0.3">
      <c r="A82" t="s">
        <v>780</v>
      </c>
      <c r="B82" t="s">
        <v>781</v>
      </c>
      <c r="C82" t="s">
        <v>321</v>
      </c>
      <c r="D82" t="s">
        <v>253</v>
      </c>
      <c r="E82" t="s">
        <v>585</v>
      </c>
      <c r="F82">
        <v>2</v>
      </c>
      <c r="G82">
        <v>213</v>
      </c>
      <c r="H82" t="str">
        <f>IF(VLOOKUP(C82,Customers!A:E,5,FALSE)&gt;=1000,"YES","NO")</f>
        <v>NO</v>
      </c>
      <c r="I82">
        <f t="shared" si="1"/>
        <v>213</v>
      </c>
      <c r="J82">
        <f>(I82 - VLOOKUP(E82,Desserts!A:D,4,FALSE)) * F82</f>
        <v>332</v>
      </c>
    </row>
    <row r="83" spans="1:10" x14ac:dyDescent="0.3">
      <c r="A83" t="s">
        <v>782</v>
      </c>
      <c r="B83" t="s">
        <v>783</v>
      </c>
      <c r="C83" t="s">
        <v>351</v>
      </c>
      <c r="D83" t="s">
        <v>250</v>
      </c>
      <c r="E83" t="s">
        <v>561</v>
      </c>
      <c r="F83">
        <v>1</v>
      </c>
      <c r="G83">
        <v>145</v>
      </c>
      <c r="H83" t="str">
        <f>IF(VLOOKUP(C83,Customers!A:E,5,FALSE)&gt;=1000,"YES","NO")</f>
        <v>NO</v>
      </c>
      <c r="I83">
        <f t="shared" si="1"/>
        <v>145</v>
      </c>
      <c r="J83">
        <f>(I83 - VLOOKUP(E83,Desserts!A:D,4,FALSE)) * F83</f>
        <v>82</v>
      </c>
    </row>
    <row r="84" spans="1:10" x14ac:dyDescent="0.3">
      <c r="A84" t="s">
        <v>784</v>
      </c>
      <c r="B84" t="s">
        <v>785</v>
      </c>
      <c r="C84" t="s">
        <v>509</v>
      </c>
      <c r="D84" t="s">
        <v>127</v>
      </c>
      <c r="E84" t="s">
        <v>523</v>
      </c>
      <c r="F84">
        <v>1</v>
      </c>
      <c r="G84">
        <v>108</v>
      </c>
      <c r="H84" t="str">
        <f>IF(VLOOKUP(C84,Customers!A:E,5,FALSE)&gt;=1000,"YES","NO")</f>
        <v>NO</v>
      </c>
      <c r="I84">
        <f t="shared" si="1"/>
        <v>108</v>
      </c>
      <c r="J84">
        <f>(I84 - VLOOKUP(E84,Desserts!A:D,4,FALSE)) * F84</f>
        <v>40</v>
      </c>
    </row>
    <row r="85" spans="1:10" x14ac:dyDescent="0.3">
      <c r="A85" t="s">
        <v>786</v>
      </c>
      <c r="B85" t="s">
        <v>787</v>
      </c>
      <c r="C85" t="s">
        <v>433</v>
      </c>
      <c r="D85" t="s">
        <v>259</v>
      </c>
      <c r="E85" t="s">
        <v>565</v>
      </c>
      <c r="F85">
        <v>2</v>
      </c>
      <c r="G85">
        <v>211</v>
      </c>
      <c r="H85" t="str">
        <f>IF(VLOOKUP(C85,Customers!A:E,5,FALSE)&gt;=1000,"YES","NO")</f>
        <v>YES</v>
      </c>
      <c r="I85">
        <f t="shared" si="1"/>
        <v>105.5</v>
      </c>
      <c r="J85">
        <f>(I85 - VLOOKUP(E85,Desserts!A:D,4,FALSE)) * F85</f>
        <v>129</v>
      </c>
    </row>
    <row r="86" spans="1:10" x14ac:dyDescent="0.3">
      <c r="A86" t="s">
        <v>788</v>
      </c>
      <c r="B86" t="s">
        <v>789</v>
      </c>
      <c r="C86" t="s">
        <v>413</v>
      </c>
      <c r="D86" t="s">
        <v>217</v>
      </c>
      <c r="E86" t="s">
        <v>617</v>
      </c>
      <c r="F86">
        <v>2</v>
      </c>
      <c r="G86">
        <v>157</v>
      </c>
      <c r="H86" t="str">
        <f>IF(VLOOKUP(C86,Customers!A:E,5,FALSE)&gt;=1000,"YES","NO")</f>
        <v>YES</v>
      </c>
      <c r="I86">
        <f t="shared" si="1"/>
        <v>78.5</v>
      </c>
      <c r="J86">
        <f>(I86 - VLOOKUP(E86,Desserts!A:D,4,FALSE)) * F86</f>
        <v>75</v>
      </c>
    </row>
    <row r="87" spans="1:10" x14ac:dyDescent="0.3">
      <c r="A87" t="s">
        <v>790</v>
      </c>
      <c r="B87" t="s">
        <v>791</v>
      </c>
      <c r="C87" t="s">
        <v>451</v>
      </c>
      <c r="D87" t="s">
        <v>181</v>
      </c>
      <c r="E87" t="s">
        <v>577</v>
      </c>
      <c r="F87">
        <v>2</v>
      </c>
      <c r="G87">
        <v>114</v>
      </c>
      <c r="H87" t="str">
        <f>IF(VLOOKUP(C87,Customers!A:E,5,FALSE)&gt;=1000,"YES","NO")</f>
        <v>NO</v>
      </c>
      <c r="I87">
        <f t="shared" si="1"/>
        <v>114</v>
      </c>
      <c r="J87">
        <f>(I87 - VLOOKUP(E87,Desserts!A:D,4,FALSE)) * F87</f>
        <v>88</v>
      </c>
    </row>
    <row r="88" spans="1:10" x14ac:dyDescent="0.3">
      <c r="A88" t="s">
        <v>792</v>
      </c>
      <c r="B88" t="s">
        <v>793</v>
      </c>
      <c r="C88" t="s">
        <v>341</v>
      </c>
      <c r="D88" t="s">
        <v>66</v>
      </c>
      <c r="E88" t="s">
        <v>595</v>
      </c>
      <c r="F88">
        <v>3</v>
      </c>
      <c r="G88">
        <v>180</v>
      </c>
      <c r="H88" t="str">
        <f>IF(VLOOKUP(C88,Customers!A:E,5,FALSE)&gt;=1000,"YES","NO")</f>
        <v>YES</v>
      </c>
      <c r="I88">
        <f t="shared" si="1"/>
        <v>90</v>
      </c>
      <c r="J88">
        <f>(I88 - VLOOKUP(E88,Desserts!A:D,4,FALSE)) * F88</f>
        <v>60</v>
      </c>
    </row>
    <row r="89" spans="1:10" x14ac:dyDescent="0.3">
      <c r="A89" t="s">
        <v>794</v>
      </c>
      <c r="B89" t="s">
        <v>759</v>
      </c>
      <c r="C89" t="s">
        <v>321</v>
      </c>
      <c r="D89" t="s">
        <v>43</v>
      </c>
      <c r="E89" t="s">
        <v>527</v>
      </c>
      <c r="F89">
        <v>1</v>
      </c>
      <c r="G89">
        <v>181</v>
      </c>
      <c r="H89" t="str">
        <f>IF(VLOOKUP(C89,Customers!A:E,5,FALSE)&gt;=1000,"YES","NO")</f>
        <v>NO</v>
      </c>
      <c r="I89">
        <f t="shared" si="1"/>
        <v>181</v>
      </c>
      <c r="J89">
        <f>(I89 - VLOOKUP(E89,Desserts!A:D,4,FALSE)) * F89</f>
        <v>138</v>
      </c>
    </row>
    <row r="90" spans="1:10" x14ac:dyDescent="0.3">
      <c r="A90" t="s">
        <v>795</v>
      </c>
      <c r="B90" t="s">
        <v>796</v>
      </c>
      <c r="C90" t="s">
        <v>331</v>
      </c>
      <c r="D90" t="s">
        <v>72</v>
      </c>
      <c r="E90" t="s">
        <v>595</v>
      </c>
      <c r="F90">
        <v>3</v>
      </c>
      <c r="G90">
        <v>185</v>
      </c>
      <c r="H90" t="str">
        <f>IF(VLOOKUP(C90,Customers!A:E,5,FALSE)&gt;=1000,"YES","NO")</f>
        <v>YES</v>
      </c>
      <c r="I90">
        <f t="shared" si="1"/>
        <v>92.5</v>
      </c>
      <c r="J90">
        <f>(I90 - VLOOKUP(E90,Desserts!A:D,4,FALSE)) * F90</f>
        <v>67.5</v>
      </c>
    </row>
    <row r="91" spans="1:10" x14ac:dyDescent="0.3">
      <c r="A91" t="s">
        <v>797</v>
      </c>
      <c r="B91" t="s">
        <v>798</v>
      </c>
      <c r="C91" t="s">
        <v>325</v>
      </c>
      <c r="D91" t="s">
        <v>17</v>
      </c>
      <c r="E91" t="s">
        <v>587</v>
      </c>
      <c r="F91">
        <v>4</v>
      </c>
      <c r="G91">
        <v>236</v>
      </c>
      <c r="H91" t="str">
        <f>IF(VLOOKUP(C91,Customers!A:E,5,FALSE)&gt;=1000,"YES","NO")</f>
        <v>NO</v>
      </c>
      <c r="I91">
        <f t="shared" si="1"/>
        <v>236</v>
      </c>
      <c r="J91">
        <f>(I91 - VLOOKUP(E91,Desserts!A:D,4,FALSE)) * F91</f>
        <v>656</v>
      </c>
    </row>
    <row r="92" spans="1:10" x14ac:dyDescent="0.3">
      <c r="A92" t="s">
        <v>799</v>
      </c>
      <c r="B92" t="s">
        <v>800</v>
      </c>
      <c r="C92" t="s">
        <v>407</v>
      </c>
      <c r="D92" t="s">
        <v>40</v>
      </c>
      <c r="E92" t="s">
        <v>581</v>
      </c>
      <c r="F92">
        <v>2</v>
      </c>
      <c r="G92">
        <v>202</v>
      </c>
      <c r="H92" t="str">
        <f>IF(VLOOKUP(C92,Customers!A:E,5,FALSE)&gt;=1000,"YES","NO")</f>
        <v>YES</v>
      </c>
      <c r="I92">
        <f t="shared" si="1"/>
        <v>101</v>
      </c>
      <c r="J92">
        <f>(I92 - VLOOKUP(E92,Desserts!A:D,4,FALSE)) * F92</f>
        <v>24</v>
      </c>
    </row>
    <row r="93" spans="1:10" x14ac:dyDescent="0.3">
      <c r="A93" t="s">
        <v>801</v>
      </c>
      <c r="B93" t="s">
        <v>802</v>
      </c>
      <c r="C93" t="s">
        <v>361</v>
      </c>
      <c r="D93" t="s">
        <v>151</v>
      </c>
      <c r="E93" t="s">
        <v>533</v>
      </c>
      <c r="F93">
        <v>1</v>
      </c>
      <c r="G93">
        <v>241</v>
      </c>
      <c r="H93" t="str">
        <f>IF(VLOOKUP(C93,Customers!A:E,5,FALSE)&gt;=1000,"YES","NO")</f>
        <v>NO</v>
      </c>
      <c r="I93">
        <f t="shared" si="1"/>
        <v>241</v>
      </c>
      <c r="J93">
        <f>(I93 - VLOOKUP(E93,Desserts!A:D,4,FALSE)) * F93</f>
        <v>174</v>
      </c>
    </row>
    <row r="94" spans="1:10" x14ac:dyDescent="0.3">
      <c r="A94" t="s">
        <v>803</v>
      </c>
      <c r="B94" t="s">
        <v>804</v>
      </c>
      <c r="C94" t="s">
        <v>443</v>
      </c>
      <c r="D94" t="s">
        <v>109</v>
      </c>
      <c r="E94" t="s">
        <v>619</v>
      </c>
      <c r="F94">
        <v>2</v>
      </c>
      <c r="G94">
        <v>183</v>
      </c>
      <c r="H94" t="str">
        <f>IF(VLOOKUP(C94,Customers!A:E,5,FALSE)&gt;=1000,"YES","NO")</f>
        <v>YES</v>
      </c>
      <c r="I94">
        <f t="shared" si="1"/>
        <v>91.5</v>
      </c>
      <c r="J94">
        <f>(I94 - VLOOKUP(E94,Desserts!A:D,4,FALSE)) * F94</f>
        <v>21</v>
      </c>
    </row>
    <row r="95" spans="1:10" x14ac:dyDescent="0.3">
      <c r="A95" t="s">
        <v>805</v>
      </c>
      <c r="B95" t="s">
        <v>806</v>
      </c>
      <c r="C95" t="s">
        <v>491</v>
      </c>
      <c r="D95" t="s">
        <v>20</v>
      </c>
      <c r="E95" t="s">
        <v>595</v>
      </c>
      <c r="F95">
        <v>2</v>
      </c>
      <c r="G95">
        <v>196</v>
      </c>
      <c r="H95" t="str">
        <f>IF(VLOOKUP(C95,Customers!A:E,5,FALSE)&gt;=1000,"YES","NO")</f>
        <v>NO</v>
      </c>
      <c r="I95">
        <f t="shared" si="1"/>
        <v>196</v>
      </c>
      <c r="J95">
        <f>(I95 - VLOOKUP(E95,Desserts!A:D,4,FALSE)) * F95</f>
        <v>252</v>
      </c>
    </row>
    <row r="96" spans="1:10" x14ac:dyDescent="0.3">
      <c r="A96" t="s">
        <v>807</v>
      </c>
      <c r="B96" t="s">
        <v>808</v>
      </c>
      <c r="C96" t="s">
        <v>331</v>
      </c>
      <c r="D96" t="s">
        <v>223</v>
      </c>
      <c r="E96" t="s">
        <v>529</v>
      </c>
      <c r="F96">
        <v>1</v>
      </c>
      <c r="G96">
        <v>126</v>
      </c>
      <c r="H96" t="str">
        <f>IF(VLOOKUP(C96,Customers!A:E,5,FALSE)&gt;=1000,"YES","NO")</f>
        <v>YES</v>
      </c>
      <c r="I96">
        <f t="shared" si="1"/>
        <v>63</v>
      </c>
      <c r="J96">
        <f>(I96 - VLOOKUP(E96,Desserts!A:D,4,FALSE)) * F96</f>
        <v>-5</v>
      </c>
    </row>
    <row r="97" spans="1:10" x14ac:dyDescent="0.3">
      <c r="A97" t="s">
        <v>809</v>
      </c>
      <c r="B97" t="s">
        <v>810</v>
      </c>
      <c r="C97" t="s">
        <v>419</v>
      </c>
      <c r="D97" t="s">
        <v>250</v>
      </c>
      <c r="E97" t="s">
        <v>611</v>
      </c>
      <c r="F97">
        <v>4</v>
      </c>
      <c r="G97">
        <v>206</v>
      </c>
      <c r="H97" t="str">
        <f>IF(VLOOKUP(C97,Customers!A:E,5,FALSE)&gt;=1000,"YES","NO")</f>
        <v>NO</v>
      </c>
      <c r="I97">
        <f t="shared" si="1"/>
        <v>206</v>
      </c>
      <c r="J97">
        <f>(I97 - VLOOKUP(E97,Desserts!A:D,4,FALSE)) * F97</f>
        <v>652</v>
      </c>
    </row>
    <row r="98" spans="1:10" x14ac:dyDescent="0.3">
      <c r="A98" t="s">
        <v>811</v>
      </c>
      <c r="B98" t="s">
        <v>812</v>
      </c>
      <c r="C98" t="s">
        <v>387</v>
      </c>
      <c r="D98" t="s">
        <v>208</v>
      </c>
      <c r="E98" t="s">
        <v>545</v>
      </c>
      <c r="F98">
        <v>1</v>
      </c>
      <c r="G98">
        <v>198</v>
      </c>
      <c r="H98" t="str">
        <f>IF(VLOOKUP(C98,Customers!A:E,5,FALSE)&gt;=1000,"YES","NO")</f>
        <v>NO</v>
      </c>
      <c r="I98">
        <f t="shared" si="1"/>
        <v>198</v>
      </c>
      <c r="J98">
        <f>(I98 - VLOOKUP(E98,Desserts!A:D,4,FALSE)) * F98</f>
        <v>153</v>
      </c>
    </row>
    <row r="99" spans="1:10" x14ac:dyDescent="0.3">
      <c r="A99" t="s">
        <v>813</v>
      </c>
      <c r="B99" t="s">
        <v>814</v>
      </c>
      <c r="C99" t="s">
        <v>385</v>
      </c>
      <c r="D99" t="s">
        <v>265</v>
      </c>
      <c r="E99" t="s">
        <v>537</v>
      </c>
      <c r="F99">
        <v>2</v>
      </c>
      <c r="G99">
        <v>218</v>
      </c>
      <c r="H99" t="str">
        <f>IF(VLOOKUP(C99,Customers!A:E,5,FALSE)&gt;=1000,"YES","NO")</f>
        <v>YES</v>
      </c>
      <c r="I99">
        <f t="shared" si="1"/>
        <v>109</v>
      </c>
      <c r="J99">
        <f>(I99 - VLOOKUP(E99,Desserts!A:D,4,FALSE)) * F99</f>
        <v>50</v>
      </c>
    </row>
    <row r="100" spans="1:10" x14ac:dyDescent="0.3">
      <c r="A100" t="s">
        <v>815</v>
      </c>
      <c r="B100" t="s">
        <v>816</v>
      </c>
      <c r="C100" t="s">
        <v>443</v>
      </c>
      <c r="D100" t="s">
        <v>24</v>
      </c>
      <c r="E100" t="s">
        <v>607</v>
      </c>
      <c r="F100">
        <v>4</v>
      </c>
      <c r="G100">
        <v>193</v>
      </c>
      <c r="H100" t="str">
        <f>IF(VLOOKUP(C100,Customers!A:E,5,FALSE)&gt;=1000,"YES","NO")</f>
        <v>YES</v>
      </c>
      <c r="I100">
        <f t="shared" si="1"/>
        <v>96.5</v>
      </c>
      <c r="J100">
        <f>(I100 - VLOOKUP(E100,Desserts!A:D,4,FALSE)) * F100</f>
        <v>106</v>
      </c>
    </row>
    <row r="101" spans="1:10" x14ac:dyDescent="0.3">
      <c r="A101" t="s">
        <v>817</v>
      </c>
      <c r="B101" t="s">
        <v>818</v>
      </c>
      <c r="C101" t="s">
        <v>411</v>
      </c>
      <c r="D101" t="s">
        <v>112</v>
      </c>
      <c r="E101" t="s">
        <v>531</v>
      </c>
      <c r="F101">
        <v>3</v>
      </c>
      <c r="G101">
        <v>240</v>
      </c>
      <c r="H101" t="str">
        <f>IF(VLOOKUP(C101,Customers!A:E,5,FALSE)&gt;=1000,"YES","NO")</f>
        <v>NO</v>
      </c>
      <c r="I101">
        <f t="shared" si="1"/>
        <v>240</v>
      </c>
      <c r="J101">
        <f>(I101 - VLOOKUP(E101,Desserts!A:D,4,FALSE)) * F101</f>
        <v>465</v>
      </c>
    </row>
    <row r="102" spans="1:10" x14ac:dyDescent="0.3">
      <c r="A102" t="s">
        <v>819</v>
      </c>
      <c r="B102" t="s">
        <v>820</v>
      </c>
      <c r="C102" t="s">
        <v>341</v>
      </c>
      <c r="D102" t="s">
        <v>286</v>
      </c>
      <c r="E102" t="s">
        <v>541</v>
      </c>
      <c r="F102">
        <v>5</v>
      </c>
      <c r="G102">
        <v>107</v>
      </c>
      <c r="H102" t="str">
        <f>IF(VLOOKUP(C102,Customers!A:E,5,FALSE)&gt;=1000,"YES","NO")</f>
        <v>YES</v>
      </c>
      <c r="I102">
        <f t="shared" si="1"/>
        <v>53.5</v>
      </c>
      <c r="J102">
        <f>(I102 - VLOOKUP(E102,Desserts!A:D,4,FALSE)) * F102</f>
        <v>-17.5</v>
      </c>
    </row>
    <row r="103" spans="1:10" x14ac:dyDescent="0.3">
      <c r="A103" t="s">
        <v>821</v>
      </c>
      <c r="B103" t="s">
        <v>822</v>
      </c>
      <c r="C103" t="s">
        <v>387</v>
      </c>
      <c r="D103" t="s">
        <v>97</v>
      </c>
      <c r="E103" t="s">
        <v>601</v>
      </c>
      <c r="F103">
        <v>3</v>
      </c>
      <c r="G103">
        <v>158</v>
      </c>
      <c r="H103" t="str">
        <f>IF(VLOOKUP(C103,Customers!A:E,5,FALSE)&gt;=1000,"YES","NO")</f>
        <v>NO</v>
      </c>
      <c r="I103">
        <f t="shared" si="1"/>
        <v>158</v>
      </c>
      <c r="J103">
        <f>(I103 - VLOOKUP(E103,Desserts!A:D,4,FALSE)) * F103</f>
        <v>309</v>
      </c>
    </row>
    <row r="104" spans="1:10" x14ac:dyDescent="0.3">
      <c r="A104" t="s">
        <v>823</v>
      </c>
      <c r="B104" t="s">
        <v>824</v>
      </c>
      <c r="C104" t="s">
        <v>365</v>
      </c>
      <c r="D104" t="s">
        <v>172</v>
      </c>
      <c r="E104" t="s">
        <v>531</v>
      </c>
      <c r="F104">
        <v>5</v>
      </c>
      <c r="G104">
        <v>111</v>
      </c>
      <c r="H104" t="str">
        <f>IF(VLOOKUP(C104,Customers!A:E,5,FALSE)&gt;=1000,"YES","NO")</f>
        <v>NO</v>
      </c>
      <c r="I104">
        <f t="shared" si="1"/>
        <v>111</v>
      </c>
      <c r="J104">
        <f>(I104 - VLOOKUP(E104,Desserts!A:D,4,FALSE)) * F104</f>
        <v>130</v>
      </c>
    </row>
    <row r="105" spans="1:10" x14ac:dyDescent="0.3">
      <c r="A105" t="s">
        <v>825</v>
      </c>
      <c r="B105" t="s">
        <v>826</v>
      </c>
      <c r="C105" t="s">
        <v>355</v>
      </c>
      <c r="D105" t="s">
        <v>37</v>
      </c>
      <c r="E105" t="s">
        <v>589</v>
      </c>
      <c r="F105">
        <v>4</v>
      </c>
      <c r="G105">
        <v>124</v>
      </c>
      <c r="H105" t="str">
        <f>IF(VLOOKUP(C105,Customers!A:E,5,FALSE)&gt;=1000,"YES","NO")</f>
        <v>YES</v>
      </c>
      <c r="I105">
        <f t="shared" si="1"/>
        <v>62</v>
      </c>
      <c r="J105">
        <f>(I105 - VLOOKUP(E105,Desserts!A:D,4,FALSE)) * F105</f>
        <v>-36</v>
      </c>
    </row>
    <row r="106" spans="1:10" x14ac:dyDescent="0.3">
      <c r="A106" t="s">
        <v>827</v>
      </c>
      <c r="B106" t="s">
        <v>828</v>
      </c>
      <c r="C106" t="s">
        <v>365</v>
      </c>
      <c r="D106" t="s">
        <v>274</v>
      </c>
      <c r="E106" t="s">
        <v>529</v>
      </c>
      <c r="F106">
        <v>3</v>
      </c>
      <c r="G106">
        <v>181</v>
      </c>
      <c r="H106" t="str">
        <f>IF(VLOOKUP(C106,Customers!A:E,5,FALSE)&gt;=1000,"YES","NO")</f>
        <v>NO</v>
      </c>
      <c r="I106">
        <f t="shared" si="1"/>
        <v>181</v>
      </c>
      <c r="J106">
        <f>(I106 - VLOOKUP(E106,Desserts!A:D,4,FALSE)) * F106</f>
        <v>339</v>
      </c>
    </row>
    <row r="107" spans="1:10" x14ac:dyDescent="0.3">
      <c r="A107" t="s">
        <v>829</v>
      </c>
      <c r="B107" t="s">
        <v>830</v>
      </c>
      <c r="C107" t="s">
        <v>425</v>
      </c>
      <c r="D107" t="s">
        <v>72</v>
      </c>
      <c r="E107" t="s">
        <v>573</v>
      </c>
      <c r="F107">
        <v>5</v>
      </c>
      <c r="G107">
        <v>182</v>
      </c>
      <c r="H107" t="str">
        <f>IF(VLOOKUP(C107,Customers!A:E,5,FALSE)&gt;=1000,"YES","NO")</f>
        <v>NO</v>
      </c>
      <c r="I107">
        <f t="shared" si="1"/>
        <v>182</v>
      </c>
      <c r="J107">
        <f>(I107 - VLOOKUP(E107,Desserts!A:D,4,FALSE)) * F107</f>
        <v>660</v>
      </c>
    </row>
    <row r="108" spans="1:10" x14ac:dyDescent="0.3">
      <c r="A108" t="s">
        <v>831</v>
      </c>
      <c r="B108" t="s">
        <v>832</v>
      </c>
      <c r="C108" t="s">
        <v>439</v>
      </c>
      <c r="D108" t="s">
        <v>184</v>
      </c>
      <c r="E108" t="s">
        <v>579</v>
      </c>
      <c r="F108">
        <v>3</v>
      </c>
      <c r="G108">
        <v>124</v>
      </c>
      <c r="H108" t="str">
        <f>IF(VLOOKUP(C108,Customers!A:E,5,FALSE)&gt;=1000,"YES","NO")</f>
        <v>YES</v>
      </c>
      <c r="I108">
        <f t="shared" si="1"/>
        <v>62</v>
      </c>
      <c r="J108">
        <f>(I108 - VLOOKUP(E108,Desserts!A:D,4,FALSE)) * F108</f>
        <v>0</v>
      </c>
    </row>
    <row r="109" spans="1:10" x14ac:dyDescent="0.3">
      <c r="A109" t="s">
        <v>833</v>
      </c>
      <c r="B109" t="s">
        <v>834</v>
      </c>
      <c r="C109" t="s">
        <v>457</v>
      </c>
      <c r="D109" t="s">
        <v>295</v>
      </c>
      <c r="E109" t="s">
        <v>569</v>
      </c>
      <c r="F109">
        <v>4</v>
      </c>
      <c r="G109">
        <v>177</v>
      </c>
      <c r="H109" t="str">
        <f>IF(VLOOKUP(C109,Customers!A:E,5,FALSE)&gt;=1000,"YES","NO")</f>
        <v>YES</v>
      </c>
      <c r="I109">
        <f t="shared" si="1"/>
        <v>88.5</v>
      </c>
      <c r="J109">
        <f>(I109 - VLOOKUP(E109,Desserts!A:D,4,FALSE)) * F109</f>
        <v>46</v>
      </c>
    </row>
    <row r="110" spans="1:10" x14ac:dyDescent="0.3">
      <c r="A110" t="s">
        <v>835</v>
      </c>
      <c r="B110" t="s">
        <v>667</v>
      </c>
      <c r="C110" t="s">
        <v>397</v>
      </c>
      <c r="D110" t="s">
        <v>88</v>
      </c>
      <c r="E110" t="s">
        <v>613</v>
      </c>
      <c r="F110">
        <v>3</v>
      </c>
      <c r="G110">
        <v>112</v>
      </c>
      <c r="H110" t="str">
        <f>IF(VLOOKUP(C110,Customers!A:E,5,FALSE)&gt;=1000,"YES","NO")</f>
        <v>NO</v>
      </c>
      <c r="I110">
        <f t="shared" si="1"/>
        <v>112</v>
      </c>
      <c r="J110">
        <f>(I110 - VLOOKUP(E110,Desserts!A:D,4,FALSE)) * F110</f>
        <v>81</v>
      </c>
    </row>
    <row r="111" spans="1:10" x14ac:dyDescent="0.3">
      <c r="A111" t="s">
        <v>836</v>
      </c>
      <c r="B111" t="s">
        <v>837</v>
      </c>
      <c r="C111" t="s">
        <v>343</v>
      </c>
      <c r="D111" t="s">
        <v>205</v>
      </c>
      <c r="E111" t="s">
        <v>563</v>
      </c>
      <c r="F111">
        <v>4</v>
      </c>
      <c r="G111">
        <v>233</v>
      </c>
      <c r="H111" t="str">
        <f>IF(VLOOKUP(C111,Customers!A:E,5,FALSE)&gt;=1000,"YES","NO")</f>
        <v>YES</v>
      </c>
      <c r="I111">
        <f t="shared" si="1"/>
        <v>116.5</v>
      </c>
      <c r="J111">
        <f>(I111 - VLOOKUP(E111,Desserts!A:D,4,FALSE)) * F111</f>
        <v>206</v>
      </c>
    </row>
    <row r="112" spans="1:10" x14ac:dyDescent="0.3">
      <c r="A112" t="s">
        <v>838</v>
      </c>
      <c r="B112" t="s">
        <v>839</v>
      </c>
      <c r="C112" t="s">
        <v>321</v>
      </c>
      <c r="D112" t="s">
        <v>115</v>
      </c>
      <c r="E112" t="s">
        <v>537</v>
      </c>
      <c r="F112">
        <v>3</v>
      </c>
      <c r="G112">
        <v>182</v>
      </c>
      <c r="H112" t="str">
        <f>IF(VLOOKUP(C112,Customers!A:E,5,FALSE)&gt;=1000,"YES","NO")</f>
        <v>NO</v>
      </c>
      <c r="I112">
        <f t="shared" si="1"/>
        <v>182</v>
      </c>
      <c r="J112">
        <f>(I112 - VLOOKUP(E112,Desserts!A:D,4,FALSE)) * F112</f>
        <v>294</v>
      </c>
    </row>
    <row r="113" spans="1:10" x14ac:dyDescent="0.3">
      <c r="A113" t="s">
        <v>840</v>
      </c>
      <c r="B113" t="s">
        <v>723</v>
      </c>
      <c r="C113" t="s">
        <v>505</v>
      </c>
      <c r="D113" t="s">
        <v>63</v>
      </c>
      <c r="E113" t="s">
        <v>577</v>
      </c>
      <c r="F113">
        <v>3</v>
      </c>
      <c r="G113">
        <v>171</v>
      </c>
      <c r="H113" t="str">
        <f>IF(VLOOKUP(C113,Customers!A:E,5,FALSE)&gt;=1000,"YES","NO")</f>
        <v>YES</v>
      </c>
      <c r="I113">
        <f t="shared" si="1"/>
        <v>85.5</v>
      </c>
      <c r="J113">
        <f>(I113 - VLOOKUP(E113,Desserts!A:D,4,FALSE)) * F113</f>
        <v>46.5</v>
      </c>
    </row>
    <row r="114" spans="1:10" x14ac:dyDescent="0.3">
      <c r="A114" t="s">
        <v>841</v>
      </c>
      <c r="B114" t="s">
        <v>842</v>
      </c>
      <c r="C114" t="s">
        <v>513</v>
      </c>
      <c r="D114" t="s">
        <v>106</v>
      </c>
      <c r="E114" t="s">
        <v>579</v>
      </c>
      <c r="F114">
        <v>2</v>
      </c>
      <c r="G114">
        <v>154</v>
      </c>
      <c r="H114" t="str">
        <f>IF(VLOOKUP(C114,Customers!A:E,5,FALSE)&gt;=1000,"YES","NO")</f>
        <v>YES</v>
      </c>
      <c r="I114">
        <f t="shared" si="1"/>
        <v>77</v>
      </c>
      <c r="J114">
        <f>(I114 - VLOOKUP(E114,Desserts!A:D,4,FALSE)) * F114</f>
        <v>30</v>
      </c>
    </row>
    <row r="115" spans="1:10" x14ac:dyDescent="0.3">
      <c r="A115" t="s">
        <v>843</v>
      </c>
      <c r="B115" t="s">
        <v>844</v>
      </c>
      <c r="C115" t="s">
        <v>437</v>
      </c>
      <c r="D115" t="s">
        <v>76</v>
      </c>
      <c r="E115" t="s">
        <v>567</v>
      </c>
      <c r="F115">
        <v>5</v>
      </c>
      <c r="G115">
        <v>228</v>
      </c>
      <c r="H115" t="str">
        <f>IF(VLOOKUP(C115,Customers!A:E,5,FALSE)&gt;=1000,"YES","NO")</f>
        <v>NO</v>
      </c>
      <c r="I115">
        <f t="shared" si="1"/>
        <v>228</v>
      </c>
      <c r="J115">
        <f>(I115 - VLOOKUP(E115,Desserts!A:D,4,FALSE)) * F115</f>
        <v>860</v>
      </c>
    </row>
    <row r="116" spans="1:10" x14ac:dyDescent="0.3">
      <c r="A116" t="s">
        <v>845</v>
      </c>
      <c r="B116" t="s">
        <v>699</v>
      </c>
      <c r="C116" t="s">
        <v>415</v>
      </c>
      <c r="D116" t="s">
        <v>37</v>
      </c>
      <c r="E116" t="s">
        <v>573</v>
      </c>
      <c r="F116">
        <v>2</v>
      </c>
      <c r="G116">
        <v>131</v>
      </c>
      <c r="H116" t="str">
        <f>IF(VLOOKUP(C116,Customers!A:E,5,FALSE)&gt;=1000,"YES","NO")</f>
        <v>YES</v>
      </c>
      <c r="I116">
        <f t="shared" si="1"/>
        <v>65.5</v>
      </c>
      <c r="J116">
        <f>(I116 - VLOOKUP(E116,Desserts!A:D,4,FALSE)) * F116</f>
        <v>31</v>
      </c>
    </row>
    <row r="117" spans="1:10" x14ac:dyDescent="0.3">
      <c r="A117" t="s">
        <v>846</v>
      </c>
      <c r="B117" t="s">
        <v>847</v>
      </c>
      <c r="C117" t="s">
        <v>341</v>
      </c>
      <c r="D117" t="s">
        <v>256</v>
      </c>
      <c r="E117" t="s">
        <v>605</v>
      </c>
      <c r="F117">
        <v>5</v>
      </c>
      <c r="G117">
        <v>235</v>
      </c>
      <c r="H117" t="str">
        <f>IF(VLOOKUP(C117,Customers!A:E,5,FALSE)&gt;=1000,"YES","NO")</f>
        <v>YES</v>
      </c>
      <c r="I117">
        <f t="shared" si="1"/>
        <v>117.5</v>
      </c>
      <c r="J117">
        <f>(I117 - VLOOKUP(E117,Desserts!A:D,4,FALSE)) * F117</f>
        <v>277.5</v>
      </c>
    </row>
    <row r="118" spans="1:10" x14ac:dyDescent="0.3">
      <c r="A118" t="s">
        <v>848</v>
      </c>
      <c r="B118" t="s">
        <v>849</v>
      </c>
      <c r="C118" t="s">
        <v>491</v>
      </c>
      <c r="D118" t="s">
        <v>184</v>
      </c>
      <c r="E118" t="s">
        <v>601</v>
      </c>
      <c r="F118">
        <v>2</v>
      </c>
      <c r="G118">
        <v>250</v>
      </c>
      <c r="H118" t="str">
        <f>IF(VLOOKUP(C118,Customers!A:E,5,FALSE)&gt;=1000,"YES","NO")</f>
        <v>NO</v>
      </c>
      <c r="I118">
        <f t="shared" si="1"/>
        <v>250</v>
      </c>
      <c r="J118">
        <f>(I118 - VLOOKUP(E118,Desserts!A:D,4,FALSE)) * F118</f>
        <v>390</v>
      </c>
    </row>
    <row r="119" spans="1:10" x14ac:dyDescent="0.3">
      <c r="A119" t="s">
        <v>850</v>
      </c>
      <c r="B119" t="s">
        <v>741</v>
      </c>
      <c r="C119" t="s">
        <v>425</v>
      </c>
      <c r="D119" t="s">
        <v>166</v>
      </c>
      <c r="E119" t="s">
        <v>531</v>
      </c>
      <c r="F119">
        <v>1</v>
      </c>
      <c r="G119">
        <v>242</v>
      </c>
      <c r="H119" t="str">
        <f>IF(VLOOKUP(C119,Customers!A:E,5,FALSE)&gt;=1000,"YES","NO")</f>
        <v>NO</v>
      </c>
      <c r="I119">
        <f t="shared" si="1"/>
        <v>242</v>
      </c>
      <c r="J119">
        <f>(I119 - VLOOKUP(E119,Desserts!A:D,4,FALSE)) * F119</f>
        <v>157</v>
      </c>
    </row>
    <row r="120" spans="1:10" x14ac:dyDescent="0.3">
      <c r="A120" t="s">
        <v>851</v>
      </c>
      <c r="B120" t="s">
        <v>852</v>
      </c>
      <c r="C120" t="s">
        <v>507</v>
      </c>
      <c r="D120" t="s">
        <v>100</v>
      </c>
      <c r="E120" t="s">
        <v>601</v>
      </c>
      <c r="F120">
        <v>5</v>
      </c>
      <c r="G120">
        <v>148</v>
      </c>
      <c r="H120" t="str">
        <f>IF(VLOOKUP(C120,Customers!A:E,5,FALSE)&gt;=1000,"YES","NO")</f>
        <v>NO</v>
      </c>
      <c r="I120">
        <f t="shared" si="1"/>
        <v>148</v>
      </c>
      <c r="J120">
        <f>(I120 - VLOOKUP(E120,Desserts!A:D,4,FALSE)) * F120</f>
        <v>465</v>
      </c>
    </row>
    <row r="121" spans="1:10" x14ac:dyDescent="0.3">
      <c r="A121" t="s">
        <v>853</v>
      </c>
      <c r="B121" t="s">
        <v>839</v>
      </c>
      <c r="C121" t="s">
        <v>405</v>
      </c>
      <c r="D121" t="s">
        <v>103</v>
      </c>
      <c r="E121" t="s">
        <v>575</v>
      </c>
      <c r="F121">
        <v>4</v>
      </c>
      <c r="G121">
        <v>240</v>
      </c>
      <c r="H121" t="str">
        <f>IF(VLOOKUP(C121,Customers!A:E,5,FALSE)&gt;=1000,"YES","NO")</f>
        <v>YES</v>
      </c>
      <c r="I121">
        <f t="shared" si="1"/>
        <v>120</v>
      </c>
      <c r="J121">
        <f>(I121 - VLOOKUP(E121,Desserts!A:D,4,FALSE)) * F121</f>
        <v>180</v>
      </c>
    </row>
    <row r="122" spans="1:10" x14ac:dyDescent="0.3">
      <c r="A122" t="s">
        <v>854</v>
      </c>
      <c r="B122" t="s">
        <v>755</v>
      </c>
      <c r="C122" t="s">
        <v>477</v>
      </c>
      <c r="D122" t="s">
        <v>118</v>
      </c>
      <c r="E122" t="s">
        <v>607</v>
      </c>
      <c r="F122">
        <v>4</v>
      </c>
      <c r="G122">
        <v>109</v>
      </c>
      <c r="H122" t="str">
        <f>IF(VLOOKUP(C122,Customers!A:E,5,FALSE)&gt;=1000,"YES","NO")</f>
        <v>YES</v>
      </c>
      <c r="I122">
        <f t="shared" si="1"/>
        <v>54.5</v>
      </c>
      <c r="J122">
        <f>(I122 - VLOOKUP(E122,Desserts!A:D,4,FALSE)) * F122</f>
        <v>-62</v>
      </c>
    </row>
    <row r="123" spans="1:10" x14ac:dyDescent="0.3">
      <c r="A123" t="s">
        <v>855</v>
      </c>
      <c r="B123" t="s">
        <v>856</v>
      </c>
      <c r="C123" t="s">
        <v>453</v>
      </c>
      <c r="D123" t="s">
        <v>277</v>
      </c>
      <c r="E123" t="s">
        <v>571</v>
      </c>
      <c r="F123">
        <v>5</v>
      </c>
      <c r="G123">
        <v>218</v>
      </c>
      <c r="H123" t="str">
        <f>IF(VLOOKUP(C123,Customers!A:E,5,FALSE)&gt;=1000,"YES","NO")</f>
        <v>YES</v>
      </c>
      <c r="I123">
        <f t="shared" si="1"/>
        <v>109</v>
      </c>
      <c r="J123">
        <f>(I123 - VLOOKUP(E123,Desserts!A:D,4,FALSE)) * F123</f>
        <v>340</v>
      </c>
    </row>
    <row r="124" spans="1:10" x14ac:dyDescent="0.3">
      <c r="A124" t="s">
        <v>857</v>
      </c>
      <c r="B124" t="s">
        <v>673</v>
      </c>
      <c r="C124" t="s">
        <v>497</v>
      </c>
      <c r="D124" t="s">
        <v>136</v>
      </c>
      <c r="E124" t="s">
        <v>537</v>
      </c>
      <c r="F124">
        <v>1</v>
      </c>
      <c r="G124">
        <v>198</v>
      </c>
      <c r="H124" t="str">
        <f>IF(VLOOKUP(C124,Customers!A:E,5,FALSE)&gt;=1000,"YES","NO")</f>
        <v>NO</v>
      </c>
      <c r="I124">
        <f t="shared" si="1"/>
        <v>198</v>
      </c>
      <c r="J124">
        <f>(I124 - VLOOKUP(E124,Desserts!A:D,4,FALSE)) * F124</f>
        <v>114</v>
      </c>
    </row>
    <row r="125" spans="1:10" x14ac:dyDescent="0.3">
      <c r="A125" t="s">
        <v>858</v>
      </c>
      <c r="B125" t="s">
        <v>859</v>
      </c>
      <c r="C125" t="s">
        <v>513</v>
      </c>
      <c r="D125" t="s">
        <v>307</v>
      </c>
      <c r="E125" t="s">
        <v>619</v>
      </c>
      <c r="F125">
        <v>5</v>
      </c>
      <c r="G125">
        <v>117</v>
      </c>
      <c r="H125" t="str">
        <f>IF(VLOOKUP(C125,Customers!A:E,5,FALSE)&gt;=1000,"YES","NO")</f>
        <v>YES</v>
      </c>
      <c r="I125">
        <f t="shared" si="1"/>
        <v>58.5</v>
      </c>
      <c r="J125">
        <f>(I125 - VLOOKUP(E125,Desserts!A:D,4,FALSE)) * F125</f>
        <v>-112.5</v>
      </c>
    </row>
    <row r="126" spans="1:10" x14ac:dyDescent="0.3">
      <c r="A126" t="s">
        <v>860</v>
      </c>
      <c r="B126" t="s">
        <v>861</v>
      </c>
      <c r="C126" t="s">
        <v>363</v>
      </c>
      <c r="D126" t="s">
        <v>94</v>
      </c>
      <c r="E126" t="s">
        <v>547</v>
      </c>
      <c r="F126">
        <v>1</v>
      </c>
      <c r="G126">
        <v>131</v>
      </c>
      <c r="H126" t="str">
        <f>IF(VLOOKUP(C126,Customers!A:E,5,FALSE)&gt;=1000,"YES","NO")</f>
        <v>YES</v>
      </c>
      <c r="I126">
        <f t="shared" si="1"/>
        <v>65.5</v>
      </c>
      <c r="J126">
        <f>(I126 - VLOOKUP(E126,Desserts!A:D,4,FALSE)) * F126</f>
        <v>15.5</v>
      </c>
    </row>
    <row r="127" spans="1:10" x14ac:dyDescent="0.3">
      <c r="A127" t="s">
        <v>862</v>
      </c>
      <c r="B127" t="s">
        <v>739</v>
      </c>
      <c r="C127" t="s">
        <v>501</v>
      </c>
      <c r="D127" t="s">
        <v>304</v>
      </c>
      <c r="E127" t="s">
        <v>577</v>
      </c>
      <c r="F127">
        <v>5</v>
      </c>
      <c r="G127">
        <v>230</v>
      </c>
      <c r="H127" t="str">
        <f>IF(VLOOKUP(C127,Customers!A:E,5,FALSE)&gt;=1000,"YES","NO")</f>
        <v>YES</v>
      </c>
      <c r="I127">
        <f t="shared" si="1"/>
        <v>115</v>
      </c>
      <c r="J127">
        <f>(I127 - VLOOKUP(E127,Desserts!A:D,4,FALSE)) * F127</f>
        <v>225</v>
      </c>
    </row>
    <row r="128" spans="1:10" x14ac:dyDescent="0.3">
      <c r="A128" t="s">
        <v>863</v>
      </c>
      <c r="B128" t="s">
        <v>864</v>
      </c>
      <c r="C128" t="s">
        <v>415</v>
      </c>
      <c r="D128" t="s">
        <v>154</v>
      </c>
      <c r="E128" t="s">
        <v>543</v>
      </c>
      <c r="F128">
        <v>3</v>
      </c>
      <c r="G128">
        <v>114</v>
      </c>
      <c r="H128" t="str">
        <f>IF(VLOOKUP(C128,Customers!A:E,5,FALSE)&gt;=1000,"YES","NO")</f>
        <v>YES</v>
      </c>
      <c r="I128">
        <f t="shared" si="1"/>
        <v>57</v>
      </c>
      <c r="J128">
        <f>(I128 - VLOOKUP(E128,Desserts!A:D,4,FALSE)) * F128</f>
        <v>-48</v>
      </c>
    </row>
    <row r="129" spans="1:10" x14ac:dyDescent="0.3">
      <c r="A129" t="s">
        <v>865</v>
      </c>
      <c r="B129" t="s">
        <v>775</v>
      </c>
      <c r="C129" t="s">
        <v>351</v>
      </c>
      <c r="D129" t="s">
        <v>310</v>
      </c>
      <c r="E129" t="s">
        <v>545</v>
      </c>
      <c r="F129">
        <v>2</v>
      </c>
      <c r="G129">
        <v>180</v>
      </c>
      <c r="H129" t="str">
        <f>IF(VLOOKUP(C129,Customers!A:E,5,FALSE)&gt;=1000,"YES","NO")</f>
        <v>NO</v>
      </c>
      <c r="I129">
        <f t="shared" si="1"/>
        <v>180</v>
      </c>
      <c r="J129">
        <f>(I129 - VLOOKUP(E129,Desserts!A:D,4,FALSE)) * F129</f>
        <v>270</v>
      </c>
    </row>
    <row r="130" spans="1:10" x14ac:dyDescent="0.3">
      <c r="A130" t="s">
        <v>866</v>
      </c>
      <c r="B130" t="s">
        <v>867</v>
      </c>
      <c r="C130" t="s">
        <v>379</v>
      </c>
      <c r="D130" t="s">
        <v>85</v>
      </c>
      <c r="E130" t="s">
        <v>619</v>
      </c>
      <c r="F130">
        <v>2</v>
      </c>
      <c r="G130">
        <v>142</v>
      </c>
      <c r="H130" t="str">
        <f>IF(VLOOKUP(C130,Customers!A:E,5,FALSE)&gt;=1000,"YES","NO")</f>
        <v>NO</v>
      </c>
      <c r="I130">
        <f t="shared" ref="I130:I193" si="2">IF(H130="YES",G130*0.5,G130)</f>
        <v>142</v>
      </c>
      <c r="J130">
        <f>(I130 - VLOOKUP(E130,Desserts!A:D,4,FALSE)) * F130</f>
        <v>122</v>
      </c>
    </row>
    <row r="131" spans="1:10" x14ac:dyDescent="0.3">
      <c r="A131" t="s">
        <v>868</v>
      </c>
      <c r="B131" t="s">
        <v>869</v>
      </c>
      <c r="C131" t="s">
        <v>407</v>
      </c>
      <c r="D131" t="s">
        <v>169</v>
      </c>
      <c r="E131" t="s">
        <v>547</v>
      </c>
      <c r="F131">
        <v>1</v>
      </c>
      <c r="G131">
        <v>193</v>
      </c>
      <c r="H131" t="str">
        <f>IF(VLOOKUP(C131,Customers!A:E,5,FALSE)&gt;=1000,"YES","NO")</f>
        <v>YES</v>
      </c>
      <c r="I131">
        <f t="shared" si="2"/>
        <v>96.5</v>
      </c>
      <c r="J131">
        <f>(I131 - VLOOKUP(E131,Desserts!A:D,4,FALSE)) * F131</f>
        <v>46.5</v>
      </c>
    </row>
    <row r="132" spans="1:10" x14ac:dyDescent="0.3">
      <c r="A132" t="s">
        <v>870</v>
      </c>
      <c r="B132" t="s">
        <v>871</v>
      </c>
      <c r="C132" t="s">
        <v>481</v>
      </c>
      <c r="D132" t="s">
        <v>175</v>
      </c>
      <c r="E132" t="s">
        <v>555</v>
      </c>
      <c r="F132">
        <v>4</v>
      </c>
      <c r="G132">
        <v>194</v>
      </c>
      <c r="H132" t="str">
        <f>IF(VLOOKUP(C132,Customers!A:E,5,FALSE)&gt;=1000,"YES","NO")</f>
        <v>YES</v>
      </c>
      <c r="I132">
        <f t="shared" si="2"/>
        <v>97</v>
      </c>
      <c r="J132">
        <f>(I132 - VLOOKUP(E132,Desserts!A:D,4,FALSE)) * F132</f>
        <v>88</v>
      </c>
    </row>
    <row r="133" spans="1:10" x14ac:dyDescent="0.3">
      <c r="A133" t="s">
        <v>872</v>
      </c>
      <c r="B133" t="s">
        <v>873</v>
      </c>
      <c r="C133" t="s">
        <v>321</v>
      </c>
      <c r="D133" t="s">
        <v>205</v>
      </c>
      <c r="E133" t="s">
        <v>527</v>
      </c>
      <c r="F133">
        <v>2</v>
      </c>
      <c r="G133">
        <v>235</v>
      </c>
      <c r="H133" t="str">
        <f>IF(VLOOKUP(C133,Customers!A:E,5,FALSE)&gt;=1000,"YES","NO")</f>
        <v>NO</v>
      </c>
      <c r="I133">
        <f t="shared" si="2"/>
        <v>235</v>
      </c>
      <c r="J133">
        <f>(I133 - VLOOKUP(E133,Desserts!A:D,4,FALSE)) * F133</f>
        <v>384</v>
      </c>
    </row>
    <row r="134" spans="1:10" x14ac:dyDescent="0.3">
      <c r="A134" t="s">
        <v>874</v>
      </c>
      <c r="B134" t="s">
        <v>875</v>
      </c>
      <c r="C134" t="s">
        <v>377</v>
      </c>
      <c r="D134" t="s">
        <v>259</v>
      </c>
      <c r="E134" t="s">
        <v>525</v>
      </c>
      <c r="F134">
        <v>5</v>
      </c>
      <c r="G134">
        <v>180</v>
      </c>
      <c r="H134" t="str">
        <f>IF(VLOOKUP(C134,Customers!A:E,5,FALSE)&gt;=1000,"YES","NO")</f>
        <v>NO</v>
      </c>
      <c r="I134">
        <f t="shared" si="2"/>
        <v>180</v>
      </c>
      <c r="J134">
        <f>(I134 - VLOOKUP(E134,Desserts!A:D,4,FALSE)) * F134</f>
        <v>480</v>
      </c>
    </row>
    <row r="135" spans="1:10" x14ac:dyDescent="0.3">
      <c r="A135" t="s">
        <v>876</v>
      </c>
      <c r="B135" t="s">
        <v>713</v>
      </c>
      <c r="C135" t="s">
        <v>407</v>
      </c>
      <c r="D135" t="s">
        <v>175</v>
      </c>
      <c r="E135" t="s">
        <v>597</v>
      </c>
      <c r="F135">
        <v>4</v>
      </c>
      <c r="G135">
        <v>184</v>
      </c>
      <c r="H135" t="str">
        <f>IF(VLOOKUP(C135,Customers!A:E,5,FALSE)&gt;=1000,"YES","NO")</f>
        <v>YES</v>
      </c>
      <c r="I135">
        <f t="shared" si="2"/>
        <v>92</v>
      </c>
      <c r="J135">
        <f>(I135 - VLOOKUP(E135,Desserts!A:D,4,FALSE)) * F135</f>
        <v>188</v>
      </c>
    </row>
    <row r="136" spans="1:10" x14ac:dyDescent="0.3">
      <c r="A136" t="s">
        <v>877</v>
      </c>
      <c r="B136" t="s">
        <v>878</v>
      </c>
      <c r="C136" t="s">
        <v>385</v>
      </c>
      <c r="D136" t="s">
        <v>262</v>
      </c>
      <c r="E136" t="s">
        <v>599</v>
      </c>
      <c r="F136">
        <v>2</v>
      </c>
      <c r="G136">
        <v>155</v>
      </c>
      <c r="H136" t="str">
        <f>IF(VLOOKUP(C136,Customers!A:E,5,FALSE)&gt;=1000,"YES","NO")</f>
        <v>YES</v>
      </c>
      <c r="I136">
        <f t="shared" si="2"/>
        <v>77.5</v>
      </c>
      <c r="J136">
        <f>(I136 - VLOOKUP(E136,Desserts!A:D,4,FALSE)) * F136</f>
        <v>-5</v>
      </c>
    </row>
    <row r="137" spans="1:10" x14ac:dyDescent="0.3">
      <c r="A137" t="s">
        <v>879</v>
      </c>
      <c r="B137" t="s">
        <v>880</v>
      </c>
      <c r="C137" t="s">
        <v>353</v>
      </c>
      <c r="D137" t="s">
        <v>190</v>
      </c>
      <c r="E137" t="s">
        <v>605</v>
      </c>
      <c r="F137">
        <v>5</v>
      </c>
      <c r="G137">
        <v>146</v>
      </c>
      <c r="H137" t="str">
        <f>IF(VLOOKUP(C137,Customers!A:E,5,FALSE)&gt;=1000,"YES","NO")</f>
        <v>NO</v>
      </c>
      <c r="I137">
        <f t="shared" si="2"/>
        <v>146</v>
      </c>
      <c r="J137">
        <f>(I137 - VLOOKUP(E137,Desserts!A:D,4,FALSE)) * F137</f>
        <v>420</v>
      </c>
    </row>
    <row r="138" spans="1:10" x14ac:dyDescent="0.3">
      <c r="A138" t="s">
        <v>881</v>
      </c>
      <c r="B138" t="s">
        <v>882</v>
      </c>
      <c r="C138" t="s">
        <v>329</v>
      </c>
      <c r="D138" t="s">
        <v>295</v>
      </c>
      <c r="E138" t="s">
        <v>559</v>
      </c>
      <c r="F138">
        <v>5</v>
      </c>
      <c r="G138">
        <v>250</v>
      </c>
      <c r="H138" t="str">
        <f>IF(VLOOKUP(C138,Customers!A:E,5,FALSE)&gt;=1000,"YES","NO")</f>
        <v>YES</v>
      </c>
      <c r="I138">
        <f t="shared" si="2"/>
        <v>125</v>
      </c>
      <c r="J138">
        <f>(I138 - VLOOKUP(E138,Desserts!A:D,4,FALSE)) * F138</f>
        <v>350</v>
      </c>
    </row>
    <row r="139" spans="1:10" x14ac:dyDescent="0.3">
      <c r="A139" t="s">
        <v>883</v>
      </c>
      <c r="B139" t="s">
        <v>677</v>
      </c>
      <c r="C139" t="s">
        <v>383</v>
      </c>
      <c r="D139" t="s">
        <v>60</v>
      </c>
      <c r="E139" t="s">
        <v>549</v>
      </c>
      <c r="F139">
        <v>1</v>
      </c>
      <c r="G139">
        <v>248</v>
      </c>
      <c r="H139" t="str">
        <f>IF(VLOOKUP(C139,Customers!A:E,5,FALSE)&gt;=1000,"YES","NO")</f>
        <v>NO</v>
      </c>
      <c r="I139">
        <f t="shared" si="2"/>
        <v>248</v>
      </c>
      <c r="J139">
        <f>(I139 - VLOOKUP(E139,Desserts!A:D,4,FALSE)) * F139</f>
        <v>169</v>
      </c>
    </row>
    <row r="140" spans="1:10" x14ac:dyDescent="0.3">
      <c r="A140" t="s">
        <v>884</v>
      </c>
      <c r="B140" t="s">
        <v>802</v>
      </c>
      <c r="C140" t="s">
        <v>489</v>
      </c>
      <c r="D140" t="s">
        <v>40</v>
      </c>
      <c r="E140" t="s">
        <v>547</v>
      </c>
      <c r="F140">
        <v>1</v>
      </c>
      <c r="G140">
        <v>132</v>
      </c>
      <c r="H140" t="str">
        <f>IF(VLOOKUP(C140,Customers!A:E,5,FALSE)&gt;=1000,"YES","NO")</f>
        <v>NO</v>
      </c>
      <c r="I140">
        <f t="shared" si="2"/>
        <v>132</v>
      </c>
      <c r="J140">
        <f>(I140 - VLOOKUP(E140,Desserts!A:D,4,FALSE)) * F140</f>
        <v>82</v>
      </c>
    </row>
    <row r="141" spans="1:10" x14ac:dyDescent="0.3">
      <c r="A141" t="s">
        <v>885</v>
      </c>
      <c r="B141" t="s">
        <v>886</v>
      </c>
      <c r="C141" t="s">
        <v>471</v>
      </c>
      <c r="D141" t="s">
        <v>307</v>
      </c>
      <c r="E141" t="s">
        <v>541</v>
      </c>
      <c r="F141">
        <v>5</v>
      </c>
      <c r="G141">
        <v>108</v>
      </c>
      <c r="H141" t="str">
        <f>IF(VLOOKUP(C141,Customers!A:E,5,FALSE)&gt;=1000,"YES","NO")</f>
        <v>NO</v>
      </c>
      <c r="I141">
        <f t="shared" si="2"/>
        <v>108</v>
      </c>
      <c r="J141">
        <f>(I141 - VLOOKUP(E141,Desserts!A:D,4,FALSE)) * F141</f>
        <v>255</v>
      </c>
    </row>
    <row r="142" spans="1:10" x14ac:dyDescent="0.3">
      <c r="A142" t="s">
        <v>887</v>
      </c>
      <c r="B142" t="s">
        <v>888</v>
      </c>
      <c r="C142" t="s">
        <v>391</v>
      </c>
      <c r="D142" t="s">
        <v>82</v>
      </c>
      <c r="E142" t="s">
        <v>573</v>
      </c>
      <c r="F142">
        <v>1</v>
      </c>
      <c r="G142">
        <v>209</v>
      </c>
      <c r="H142" t="str">
        <f>IF(VLOOKUP(C142,Customers!A:E,5,FALSE)&gt;=1000,"YES","NO")</f>
        <v>YES</v>
      </c>
      <c r="I142">
        <f t="shared" si="2"/>
        <v>104.5</v>
      </c>
      <c r="J142">
        <f>(I142 - VLOOKUP(E142,Desserts!A:D,4,FALSE)) * F142</f>
        <v>54.5</v>
      </c>
    </row>
    <row r="143" spans="1:10" x14ac:dyDescent="0.3">
      <c r="A143" t="s">
        <v>889</v>
      </c>
      <c r="B143" t="s">
        <v>890</v>
      </c>
      <c r="C143" t="s">
        <v>473</v>
      </c>
      <c r="D143" t="s">
        <v>127</v>
      </c>
      <c r="E143" t="s">
        <v>555</v>
      </c>
      <c r="F143">
        <v>1</v>
      </c>
      <c r="G143">
        <v>236</v>
      </c>
      <c r="H143" t="str">
        <f>IF(VLOOKUP(C143,Customers!A:E,5,FALSE)&gt;=1000,"YES","NO")</f>
        <v>NO</v>
      </c>
      <c r="I143">
        <f t="shared" si="2"/>
        <v>236</v>
      </c>
      <c r="J143">
        <f>(I143 - VLOOKUP(E143,Desserts!A:D,4,FALSE)) * F143</f>
        <v>161</v>
      </c>
    </row>
    <row r="144" spans="1:10" x14ac:dyDescent="0.3">
      <c r="A144" t="s">
        <v>891</v>
      </c>
      <c r="B144" t="s">
        <v>892</v>
      </c>
      <c r="C144" t="s">
        <v>397</v>
      </c>
      <c r="D144" t="s">
        <v>280</v>
      </c>
      <c r="E144" t="s">
        <v>615</v>
      </c>
      <c r="F144">
        <v>5</v>
      </c>
      <c r="G144">
        <v>112</v>
      </c>
      <c r="H144" t="str">
        <f>IF(VLOOKUP(C144,Customers!A:E,5,FALSE)&gt;=1000,"YES","NO")</f>
        <v>NO</v>
      </c>
      <c r="I144">
        <f t="shared" si="2"/>
        <v>112</v>
      </c>
      <c r="J144">
        <f>(I144 - VLOOKUP(E144,Desserts!A:D,4,FALSE)) * F144</f>
        <v>350</v>
      </c>
    </row>
    <row r="145" spans="1:10" x14ac:dyDescent="0.3">
      <c r="A145" t="s">
        <v>893</v>
      </c>
      <c r="B145" t="s">
        <v>773</v>
      </c>
      <c r="C145" t="s">
        <v>425</v>
      </c>
      <c r="D145" t="s">
        <v>232</v>
      </c>
      <c r="E145" t="s">
        <v>553</v>
      </c>
      <c r="F145">
        <v>5</v>
      </c>
      <c r="G145">
        <v>162</v>
      </c>
      <c r="H145" t="str">
        <f>IF(VLOOKUP(C145,Customers!A:E,5,FALSE)&gt;=1000,"YES","NO")</f>
        <v>NO</v>
      </c>
      <c r="I145">
        <f t="shared" si="2"/>
        <v>162</v>
      </c>
      <c r="J145">
        <f>(I145 - VLOOKUP(E145,Desserts!A:D,4,FALSE)) * F145</f>
        <v>510</v>
      </c>
    </row>
    <row r="146" spans="1:10" x14ac:dyDescent="0.3">
      <c r="A146" t="s">
        <v>894</v>
      </c>
      <c r="B146" t="s">
        <v>895</v>
      </c>
      <c r="C146" t="s">
        <v>357</v>
      </c>
      <c r="D146" t="s">
        <v>133</v>
      </c>
      <c r="E146" t="s">
        <v>583</v>
      </c>
      <c r="F146">
        <v>1</v>
      </c>
      <c r="G146">
        <v>100</v>
      </c>
      <c r="H146" t="str">
        <f>IF(VLOOKUP(C146,Customers!A:E,5,FALSE)&gt;=1000,"YES","NO")</f>
        <v>NO</v>
      </c>
      <c r="I146">
        <f t="shared" si="2"/>
        <v>100</v>
      </c>
      <c r="J146">
        <f>(I146 - VLOOKUP(E146,Desserts!A:D,4,FALSE)) * F146</f>
        <v>17</v>
      </c>
    </row>
    <row r="147" spans="1:10" x14ac:dyDescent="0.3">
      <c r="A147" t="s">
        <v>896</v>
      </c>
      <c r="B147" t="s">
        <v>897</v>
      </c>
      <c r="C147" t="s">
        <v>503</v>
      </c>
      <c r="D147" t="s">
        <v>57</v>
      </c>
      <c r="E147" t="s">
        <v>563</v>
      </c>
      <c r="F147">
        <v>4</v>
      </c>
      <c r="G147">
        <v>232</v>
      </c>
      <c r="H147" t="str">
        <f>IF(VLOOKUP(C147,Customers!A:E,5,FALSE)&gt;=1000,"YES","NO")</f>
        <v>NO</v>
      </c>
      <c r="I147">
        <f t="shared" si="2"/>
        <v>232</v>
      </c>
      <c r="J147">
        <f>(I147 - VLOOKUP(E147,Desserts!A:D,4,FALSE)) * F147</f>
        <v>668</v>
      </c>
    </row>
    <row r="148" spans="1:10" x14ac:dyDescent="0.3">
      <c r="A148" t="s">
        <v>898</v>
      </c>
      <c r="B148" t="s">
        <v>899</v>
      </c>
      <c r="C148" t="s">
        <v>413</v>
      </c>
      <c r="D148" t="s">
        <v>178</v>
      </c>
      <c r="E148" t="s">
        <v>521</v>
      </c>
      <c r="F148">
        <v>2</v>
      </c>
      <c r="G148">
        <v>117</v>
      </c>
      <c r="H148" t="str">
        <f>IF(VLOOKUP(C148,Customers!A:E,5,FALSE)&gt;=1000,"YES","NO")</f>
        <v>YES</v>
      </c>
      <c r="I148">
        <f t="shared" si="2"/>
        <v>58.5</v>
      </c>
      <c r="J148">
        <f>(I148 - VLOOKUP(E148,Desserts!A:D,4,FALSE)) * F148</f>
        <v>-11</v>
      </c>
    </row>
    <row r="149" spans="1:10" x14ac:dyDescent="0.3">
      <c r="A149" t="s">
        <v>900</v>
      </c>
      <c r="B149" t="s">
        <v>901</v>
      </c>
      <c r="C149" t="s">
        <v>513</v>
      </c>
      <c r="D149" t="s">
        <v>178</v>
      </c>
      <c r="E149" t="s">
        <v>605</v>
      </c>
      <c r="F149">
        <v>2</v>
      </c>
      <c r="G149">
        <v>138</v>
      </c>
      <c r="H149" t="str">
        <f>IF(VLOOKUP(C149,Customers!A:E,5,FALSE)&gt;=1000,"YES","NO")</f>
        <v>YES</v>
      </c>
      <c r="I149">
        <f t="shared" si="2"/>
        <v>69</v>
      </c>
      <c r="J149">
        <f>(I149 - VLOOKUP(E149,Desserts!A:D,4,FALSE)) * F149</f>
        <v>14</v>
      </c>
    </row>
    <row r="150" spans="1:10" x14ac:dyDescent="0.3">
      <c r="A150" t="s">
        <v>902</v>
      </c>
      <c r="B150" t="s">
        <v>733</v>
      </c>
      <c r="C150" t="s">
        <v>377</v>
      </c>
      <c r="D150" t="s">
        <v>109</v>
      </c>
      <c r="E150" t="s">
        <v>549</v>
      </c>
      <c r="F150">
        <v>2</v>
      </c>
      <c r="G150">
        <v>178</v>
      </c>
      <c r="H150" t="str">
        <f>IF(VLOOKUP(C150,Customers!A:E,5,FALSE)&gt;=1000,"YES","NO")</f>
        <v>NO</v>
      </c>
      <c r="I150">
        <f t="shared" si="2"/>
        <v>178</v>
      </c>
      <c r="J150">
        <f>(I150 - VLOOKUP(E150,Desserts!A:D,4,FALSE)) * F150</f>
        <v>198</v>
      </c>
    </row>
    <row r="151" spans="1:10" x14ac:dyDescent="0.3">
      <c r="A151" t="s">
        <v>903</v>
      </c>
      <c r="B151" t="s">
        <v>904</v>
      </c>
      <c r="C151" t="s">
        <v>369</v>
      </c>
      <c r="D151" t="s">
        <v>27</v>
      </c>
      <c r="E151" t="s">
        <v>609</v>
      </c>
      <c r="F151">
        <v>1</v>
      </c>
      <c r="G151">
        <v>188</v>
      </c>
      <c r="H151" t="str">
        <f>IF(VLOOKUP(C151,Customers!A:E,5,FALSE)&gt;=1000,"YES","NO")</f>
        <v>YES</v>
      </c>
      <c r="I151">
        <f t="shared" si="2"/>
        <v>94</v>
      </c>
      <c r="J151">
        <f>(I151 - VLOOKUP(E151,Desserts!A:D,4,FALSE)) * F151</f>
        <v>30</v>
      </c>
    </row>
    <row r="152" spans="1:10" x14ac:dyDescent="0.3">
      <c r="A152" t="s">
        <v>905</v>
      </c>
      <c r="B152" t="s">
        <v>880</v>
      </c>
      <c r="C152" t="s">
        <v>437</v>
      </c>
      <c r="D152" t="s">
        <v>97</v>
      </c>
      <c r="E152" t="s">
        <v>595</v>
      </c>
      <c r="F152">
        <v>1</v>
      </c>
      <c r="G152">
        <v>150</v>
      </c>
      <c r="H152" t="str">
        <f>IF(VLOOKUP(C152,Customers!A:E,5,FALSE)&gt;=1000,"YES","NO")</f>
        <v>NO</v>
      </c>
      <c r="I152">
        <f t="shared" si="2"/>
        <v>150</v>
      </c>
      <c r="J152">
        <f>(I152 - VLOOKUP(E152,Desserts!A:D,4,FALSE)) * F152</f>
        <v>80</v>
      </c>
    </row>
    <row r="153" spans="1:10" x14ac:dyDescent="0.3">
      <c r="A153" t="s">
        <v>906</v>
      </c>
      <c r="B153" t="s">
        <v>733</v>
      </c>
      <c r="C153" t="s">
        <v>455</v>
      </c>
      <c r="D153" t="s">
        <v>211</v>
      </c>
      <c r="E153" t="s">
        <v>525</v>
      </c>
      <c r="F153">
        <v>3</v>
      </c>
      <c r="G153">
        <v>121</v>
      </c>
      <c r="H153" t="str">
        <f>IF(VLOOKUP(C153,Customers!A:E,5,FALSE)&gt;=1000,"YES","NO")</f>
        <v>YES</v>
      </c>
      <c r="I153">
        <f t="shared" si="2"/>
        <v>60.5</v>
      </c>
      <c r="J153">
        <f>(I153 - VLOOKUP(E153,Desserts!A:D,4,FALSE)) * F153</f>
        <v>-70.5</v>
      </c>
    </row>
    <row r="154" spans="1:10" x14ac:dyDescent="0.3">
      <c r="A154" t="s">
        <v>907</v>
      </c>
      <c r="B154" t="s">
        <v>908</v>
      </c>
      <c r="C154" t="s">
        <v>405</v>
      </c>
      <c r="D154" t="s">
        <v>193</v>
      </c>
      <c r="E154" t="s">
        <v>567</v>
      </c>
      <c r="F154">
        <v>3</v>
      </c>
      <c r="G154">
        <v>162</v>
      </c>
      <c r="H154" t="str">
        <f>IF(VLOOKUP(C154,Customers!A:E,5,FALSE)&gt;=1000,"YES","NO")</f>
        <v>YES</v>
      </c>
      <c r="I154">
        <f t="shared" si="2"/>
        <v>81</v>
      </c>
      <c r="J154">
        <f>(I154 - VLOOKUP(E154,Desserts!A:D,4,FALSE)) * F154</f>
        <v>75</v>
      </c>
    </row>
    <row r="155" spans="1:10" x14ac:dyDescent="0.3">
      <c r="A155" t="s">
        <v>909</v>
      </c>
      <c r="B155" t="s">
        <v>910</v>
      </c>
      <c r="C155" t="s">
        <v>341</v>
      </c>
      <c r="D155" t="s">
        <v>265</v>
      </c>
      <c r="E155" t="s">
        <v>557</v>
      </c>
      <c r="F155">
        <v>5</v>
      </c>
      <c r="G155">
        <v>169</v>
      </c>
      <c r="H155" t="str">
        <f>IF(VLOOKUP(C155,Customers!A:E,5,FALSE)&gt;=1000,"YES","NO")</f>
        <v>YES</v>
      </c>
      <c r="I155">
        <f t="shared" si="2"/>
        <v>84.5</v>
      </c>
      <c r="J155">
        <f>(I155 - VLOOKUP(E155,Desserts!A:D,4,FALSE)) * F155</f>
        <v>2.5</v>
      </c>
    </row>
    <row r="156" spans="1:10" x14ac:dyDescent="0.3">
      <c r="A156" t="s">
        <v>911</v>
      </c>
      <c r="B156" t="s">
        <v>630</v>
      </c>
      <c r="C156" t="s">
        <v>339</v>
      </c>
      <c r="D156" t="s">
        <v>136</v>
      </c>
      <c r="E156" t="s">
        <v>569</v>
      </c>
      <c r="F156">
        <v>5</v>
      </c>
      <c r="G156">
        <v>219</v>
      </c>
      <c r="H156" t="str">
        <f>IF(VLOOKUP(C156,Customers!A:E,5,FALSE)&gt;=1000,"YES","NO")</f>
        <v>NO</v>
      </c>
      <c r="I156">
        <f t="shared" si="2"/>
        <v>219</v>
      </c>
      <c r="J156">
        <f>(I156 - VLOOKUP(E156,Desserts!A:D,4,FALSE)) * F156</f>
        <v>710</v>
      </c>
    </row>
    <row r="157" spans="1:10" x14ac:dyDescent="0.3">
      <c r="A157" t="s">
        <v>912</v>
      </c>
      <c r="B157" t="s">
        <v>913</v>
      </c>
      <c r="C157" t="s">
        <v>331</v>
      </c>
      <c r="D157" t="s">
        <v>118</v>
      </c>
      <c r="E157" t="s">
        <v>527</v>
      </c>
      <c r="F157">
        <v>5</v>
      </c>
      <c r="G157">
        <v>133</v>
      </c>
      <c r="H157" t="str">
        <f>IF(VLOOKUP(C157,Customers!A:E,5,FALSE)&gt;=1000,"YES","NO")</f>
        <v>YES</v>
      </c>
      <c r="I157">
        <f t="shared" si="2"/>
        <v>66.5</v>
      </c>
      <c r="J157">
        <f>(I157 - VLOOKUP(E157,Desserts!A:D,4,FALSE)) * F157</f>
        <v>117.5</v>
      </c>
    </row>
    <row r="158" spans="1:10" x14ac:dyDescent="0.3">
      <c r="A158" t="s">
        <v>914</v>
      </c>
      <c r="B158" t="s">
        <v>915</v>
      </c>
      <c r="C158" t="s">
        <v>477</v>
      </c>
      <c r="D158" t="s">
        <v>247</v>
      </c>
      <c r="E158" t="s">
        <v>581</v>
      </c>
      <c r="F158">
        <v>4</v>
      </c>
      <c r="G158">
        <v>240</v>
      </c>
      <c r="H158" t="str">
        <f>IF(VLOOKUP(C158,Customers!A:E,5,FALSE)&gt;=1000,"YES","NO")</f>
        <v>YES</v>
      </c>
      <c r="I158">
        <f t="shared" si="2"/>
        <v>120</v>
      </c>
      <c r="J158">
        <f>(I158 - VLOOKUP(E158,Desserts!A:D,4,FALSE)) * F158</f>
        <v>124</v>
      </c>
    </row>
    <row r="159" spans="1:10" x14ac:dyDescent="0.3">
      <c r="A159" t="s">
        <v>916</v>
      </c>
      <c r="B159" t="s">
        <v>713</v>
      </c>
      <c r="C159" t="s">
        <v>405</v>
      </c>
      <c r="D159" t="s">
        <v>220</v>
      </c>
      <c r="E159" t="s">
        <v>613</v>
      </c>
      <c r="F159">
        <v>2</v>
      </c>
      <c r="G159">
        <v>203</v>
      </c>
      <c r="H159" t="str">
        <f>IF(VLOOKUP(C159,Customers!A:E,5,FALSE)&gt;=1000,"YES","NO")</f>
        <v>YES</v>
      </c>
      <c r="I159">
        <f t="shared" si="2"/>
        <v>101.5</v>
      </c>
      <c r="J159">
        <f>(I159 - VLOOKUP(E159,Desserts!A:D,4,FALSE)) * F159</f>
        <v>33</v>
      </c>
    </row>
    <row r="160" spans="1:10" x14ac:dyDescent="0.3">
      <c r="A160" t="s">
        <v>917</v>
      </c>
      <c r="B160" t="s">
        <v>747</v>
      </c>
      <c r="C160" t="s">
        <v>505</v>
      </c>
      <c r="D160" t="s">
        <v>142</v>
      </c>
      <c r="E160" t="s">
        <v>599</v>
      </c>
      <c r="F160">
        <v>5</v>
      </c>
      <c r="G160">
        <v>236</v>
      </c>
      <c r="H160" t="str">
        <f>IF(VLOOKUP(C160,Customers!A:E,5,FALSE)&gt;=1000,"YES","NO")</f>
        <v>YES</v>
      </c>
      <c r="I160">
        <f t="shared" si="2"/>
        <v>118</v>
      </c>
      <c r="J160">
        <f>(I160 - VLOOKUP(E160,Desserts!A:D,4,FALSE)) * F160</f>
        <v>190</v>
      </c>
    </row>
    <row r="161" spans="1:10" x14ac:dyDescent="0.3">
      <c r="A161" t="s">
        <v>918</v>
      </c>
      <c r="B161" t="s">
        <v>919</v>
      </c>
      <c r="C161" t="s">
        <v>375</v>
      </c>
      <c r="D161" t="s">
        <v>307</v>
      </c>
      <c r="E161" t="s">
        <v>581</v>
      </c>
      <c r="F161">
        <v>3</v>
      </c>
      <c r="G161">
        <v>154</v>
      </c>
      <c r="H161" t="str">
        <f>IF(VLOOKUP(C161,Customers!A:E,5,FALSE)&gt;=1000,"YES","NO")</f>
        <v>NO</v>
      </c>
      <c r="I161">
        <f t="shared" si="2"/>
        <v>154</v>
      </c>
      <c r="J161">
        <f>(I161 - VLOOKUP(E161,Desserts!A:D,4,FALSE)) * F161</f>
        <v>195</v>
      </c>
    </row>
    <row r="162" spans="1:10" x14ac:dyDescent="0.3">
      <c r="A162" t="s">
        <v>920</v>
      </c>
      <c r="B162" t="s">
        <v>921</v>
      </c>
      <c r="C162" t="s">
        <v>399</v>
      </c>
      <c r="D162" t="s">
        <v>238</v>
      </c>
      <c r="E162" t="s">
        <v>563</v>
      </c>
      <c r="F162">
        <v>2</v>
      </c>
      <c r="G162">
        <v>213</v>
      </c>
      <c r="H162" t="str">
        <f>IF(VLOOKUP(C162,Customers!A:E,5,FALSE)&gt;=1000,"YES","NO")</f>
        <v>YES</v>
      </c>
      <c r="I162">
        <f t="shared" si="2"/>
        <v>106.5</v>
      </c>
      <c r="J162">
        <f>(I162 - VLOOKUP(E162,Desserts!A:D,4,FALSE)) * F162</f>
        <v>83</v>
      </c>
    </row>
    <row r="163" spans="1:10" x14ac:dyDescent="0.3">
      <c r="A163" t="s">
        <v>922</v>
      </c>
      <c r="B163" t="s">
        <v>626</v>
      </c>
      <c r="C163" t="s">
        <v>431</v>
      </c>
      <c r="D163" t="s">
        <v>211</v>
      </c>
      <c r="E163" t="s">
        <v>569</v>
      </c>
      <c r="F163">
        <v>3</v>
      </c>
      <c r="G163">
        <v>136</v>
      </c>
      <c r="H163" t="str">
        <f>IF(VLOOKUP(C163,Customers!A:E,5,FALSE)&gt;=1000,"YES","NO")</f>
        <v>YES</v>
      </c>
      <c r="I163">
        <f t="shared" si="2"/>
        <v>68</v>
      </c>
      <c r="J163">
        <f>(I163 - VLOOKUP(E163,Desserts!A:D,4,FALSE)) * F163</f>
        <v>-27</v>
      </c>
    </row>
    <row r="164" spans="1:10" x14ac:dyDescent="0.3">
      <c r="A164" t="s">
        <v>923</v>
      </c>
      <c r="B164" t="s">
        <v>924</v>
      </c>
      <c r="C164" t="s">
        <v>455</v>
      </c>
      <c r="D164" t="s">
        <v>247</v>
      </c>
      <c r="E164" t="s">
        <v>611</v>
      </c>
      <c r="F164">
        <v>2</v>
      </c>
      <c r="G164">
        <v>174</v>
      </c>
      <c r="H164" t="str">
        <f>IF(VLOOKUP(C164,Customers!A:E,5,FALSE)&gt;=1000,"YES","NO")</f>
        <v>YES</v>
      </c>
      <c r="I164">
        <f t="shared" si="2"/>
        <v>87</v>
      </c>
      <c r="J164">
        <f>(I164 - VLOOKUP(E164,Desserts!A:D,4,FALSE)) * F164</f>
        <v>88</v>
      </c>
    </row>
    <row r="165" spans="1:10" x14ac:dyDescent="0.3">
      <c r="A165" t="s">
        <v>925</v>
      </c>
      <c r="B165" t="s">
        <v>739</v>
      </c>
      <c r="C165" t="s">
        <v>341</v>
      </c>
      <c r="D165" t="s">
        <v>88</v>
      </c>
      <c r="E165" t="s">
        <v>593</v>
      </c>
      <c r="F165">
        <v>1</v>
      </c>
      <c r="G165">
        <v>227</v>
      </c>
      <c r="H165" t="str">
        <f>IF(VLOOKUP(C165,Customers!A:E,5,FALSE)&gt;=1000,"YES","NO")</f>
        <v>YES</v>
      </c>
      <c r="I165">
        <f t="shared" si="2"/>
        <v>113.5</v>
      </c>
      <c r="J165">
        <f>(I165 - VLOOKUP(E165,Desserts!A:D,4,FALSE)) * F165</f>
        <v>59.5</v>
      </c>
    </row>
    <row r="166" spans="1:10" x14ac:dyDescent="0.3">
      <c r="A166" t="s">
        <v>926</v>
      </c>
      <c r="B166" t="s">
        <v>761</v>
      </c>
      <c r="C166" t="s">
        <v>371</v>
      </c>
      <c r="D166" t="s">
        <v>205</v>
      </c>
      <c r="E166" t="s">
        <v>549</v>
      </c>
      <c r="F166">
        <v>1</v>
      </c>
      <c r="G166">
        <v>216</v>
      </c>
      <c r="H166" t="str">
        <f>IF(VLOOKUP(C166,Customers!A:E,5,FALSE)&gt;=1000,"YES","NO")</f>
        <v>NO</v>
      </c>
      <c r="I166">
        <f t="shared" si="2"/>
        <v>216</v>
      </c>
      <c r="J166">
        <f>(I166 - VLOOKUP(E166,Desserts!A:D,4,FALSE)) * F166</f>
        <v>137</v>
      </c>
    </row>
    <row r="167" spans="1:10" x14ac:dyDescent="0.3">
      <c r="A167" t="s">
        <v>927</v>
      </c>
      <c r="B167" t="s">
        <v>928</v>
      </c>
      <c r="C167" t="s">
        <v>507</v>
      </c>
      <c r="D167" t="s">
        <v>289</v>
      </c>
      <c r="E167" t="s">
        <v>553</v>
      </c>
      <c r="F167">
        <v>2</v>
      </c>
      <c r="G167">
        <v>245</v>
      </c>
      <c r="H167" t="str">
        <f>IF(VLOOKUP(C167,Customers!A:E,5,FALSE)&gt;=1000,"YES","NO")</f>
        <v>NO</v>
      </c>
      <c r="I167">
        <f t="shared" si="2"/>
        <v>245</v>
      </c>
      <c r="J167">
        <f>(I167 - VLOOKUP(E167,Desserts!A:D,4,FALSE)) * F167</f>
        <v>370</v>
      </c>
    </row>
    <row r="168" spans="1:10" x14ac:dyDescent="0.3">
      <c r="A168" t="s">
        <v>929</v>
      </c>
      <c r="B168" t="s">
        <v>873</v>
      </c>
      <c r="C168" t="s">
        <v>443</v>
      </c>
      <c r="D168" t="s">
        <v>202</v>
      </c>
      <c r="E168" t="s">
        <v>533</v>
      </c>
      <c r="F168">
        <v>2</v>
      </c>
      <c r="G168">
        <v>236</v>
      </c>
      <c r="H168" t="str">
        <f>IF(VLOOKUP(C168,Customers!A:E,5,FALSE)&gt;=1000,"YES","NO")</f>
        <v>YES</v>
      </c>
      <c r="I168">
        <f t="shared" si="2"/>
        <v>118</v>
      </c>
      <c r="J168">
        <f>(I168 - VLOOKUP(E168,Desserts!A:D,4,FALSE)) * F168</f>
        <v>102</v>
      </c>
    </row>
    <row r="169" spans="1:10" x14ac:dyDescent="0.3">
      <c r="A169" t="s">
        <v>930</v>
      </c>
      <c r="B169" t="s">
        <v>749</v>
      </c>
      <c r="C169" t="s">
        <v>427</v>
      </c>
      <c r="D169" t="s">
        <v>286</v>
      </c>
      <c r="E169" t="s">
        <v>557</v>
      </c>
      <c r="F169">
        <v>5</v>
      </c>
      <c r="G169">
        <v>123</v>
      </c>
      <c r="H169" t="str">
        <f>IF(VLOOKUP(C169,Customers!A:E,5,FALSE)&gt;=1000,"YES","NO")</f>
        <v>NO</v>
      </c>
      <c r="I169">
        <f t="shared" si="2"/>
        <v>123</v>
      </c>
      <c r="J169">
        <f>(I169 - VLOOKUP(E169,Desserts!A:D,4,FALSE)) * F169</f>
        <v>195</v>
      </c>
    </row>
    <row r="170" spans="1:10" x14ac:dyDescent="0.3">
      <c r="A170" t="s">
        <v>931</v>
      </c>
      <c r="B170" t="s">
        <v>932</v>
      </c>
      <c r="C170" t="s">
        <v>321</v>
      </c>
      <c r="D170" t="s">
        <v>109</v>
      </c>
      <c r="E170" t="s">
        <v>547</v>
      </c>
      <c r="F170">
        <v>4</v>
      </c>
      <c r="G170">
        <v>105</v>
      </c>
      <c r="H170" t="str">
        <f>IF(VLOOKUP(C170,Customers!A:E,5,FALSE)&gt;=1000,"YES","NO")</f>
        <v>NO</v>
      </c>
      <c r="I170">
        <f t="shared" si="2"/>
        <v>105</v>
      </c>
      <c r="J170">
        <f>(I170 - VLOOKUP(E170,Desserts!A:D,4,FALSE)) * F170</f>
        <v>220</v>
      </c>
    </row>
    <row r="171" spans="1:10" x14ac:dyDescent="0.3">
      <c r="A171" t="s">
        <v>933</v>
      </c>
      <c r="B171" t="s">
        <v>659</v>
      </c>
      <c r="C171" t="s">
        <v>511</v>
      </c>
      <c r="D171" t="s">
        <v>57</v>
      </c>
      <c r="E171" t="s">
        <v>555</v>
      </c>
      <c r="F171">
        <v>2</v>
      </c>
      <c r="G171">
        <v>235</v>
      </c>
      <c r="H171" t="str">
        <f>IF(VLOOKUP(C171,Customers!A:E,5,FALSE)&gt;=1000,"YES","NO")</f>
        <v>YES</v>
      </c>
      <c r="I171">
        <f t="shared" si="2"/>
        <v>117.5</v>
      </c>
      <c r="J171">
        <f>(I171 - VLOOKUP(E171,Desserts!A:D,4,FALSE)) * F171</f>
        <v>85</v>
      </c>
    </row>
    <row r="172" spans="1:10" x14ac:dyDescent="0.3">
      <c r="A172" t="s">
        <v>934</v>
      </c>
      <c r="B172" t="s">
        <v>842</v>
      </c>
      <c r="C172" t="s">
        <v>393</v>
      </c>
      <c r="D172" t="s">
        <v>24</v>
      </c>
      <c r="E172" t="s">
        <v>561</v>
      </c>
      <c r="F172">
        <v>3</v>
      </c>
      <c r="G172">
        <v>212</v>
      </c>
      <c r="H172" t="str">
        <f>IF(VLOOKUP(C172,Customers!A:E,5,FALSE)&gt;=1000,"YES","NO")</f>
        <v>YES</v>
      </c>
      <c r="I172">
        <f t="shared" si="2"/>
        <v>106</v>
      </c>
      <c r="J172">
        <f>(I172 - VLOOKUP(E172,Desserts!A:D,4,FALSE)) * F172</f>
        <v>129</v>
      </c>
    </row>
    <row r="173" spans="1:10" x14ac:dyDescent="0.3">
      <c r="A173" t="s">
        <v>935</v>
      </c>
      <c r="B173" t="s">
        <v>936</v>
      </c>
      <c r="C173" t="s">
        <v>515</v>
      </c>
      <c r="D173" t="s">
        <v>154</v>
      </c>
      <c r="E173" t="s">
        <v>593</v>
      </c>
      <c r="F173">
        <v>2</v>
      </c>
      <c r="G173">
        <v>140</v>
      </c>
      <c r="H173" t="str">
        <f>IF(VLOOKUP(C173,Customers!A:E,5,FALSE)&gt;=1000,"YES","NO")</f>
        <v>YES</v>
      </c>
      <c r="I173">
        <f t="shared" si="2"/>
        <v>70</v>
      </c>
      <c r="J173">
        <f>(I173 - VLOOKUP(E173,Desserts!A:D,4,FALSE)) * F173</f>
        <v>32</v>
      </c>
    </row>
    <row r="174" spans="1:10" x14ac:dyDescent="0.3">
      <c r="A174" t="s">
        <v>937</v>
      </c>
      <c r="B174" t="s">
        <v>938</v>
      </c>
      <c r="C174" t="s">
        <v>507</v>
      </c>
      <c r="D174" t="s">
        <v>85</v>
      </c>
      <c r="E174" t="s">
        <v>521</v>
      </c>
      <c r="F174">
        <v>1</v>
      </c>
      <c r="G174">
        <v>186</v>
      </c>
      <c r="H174" t="str">
        <f>IF(VLOOKUP(C174,Customers!A:E,5,FALSE)&gt;=1000,"YES","NO")</f>
        <v>NO</v>
      </c>
      <c r="I174">
        <f t="shared" si="2"/>
        <v>186</v>
      </c>
      <c r="J174">
        <f>(I174 - VLOOKUP(E174,Desserts!A:D,4,FALSE)) * F174</f>
        <v>122</v>
      </c>
    </row>
    <row r="175" spans="1:10" x14ac:dyDescent="0.3">
      <c r="A175" t="s">
        <v>939</v>
      </c>
      <c r="B175" t="s">
        <v>940</v>
      </c>
      <c r="C175" t="s">
        <v>439</v>
      </c>
      <c r="D175" t="s">
        <v>166</v>
      </c>
      <c r="E175" t="s">
        <v>557</v>
      </c>
      <c r="F175">
        <v>1</v>
      </c>
      <c r="G175">
        <v>109</v>
      </c>
      <c r="H175" t="str">
        <f>IF(VLOOKUP(C175,Customers!A:E,5,FALSE)&gt;=1000,"YES","NO")</f>
        <v>YES</v>
      </c>
      <c r="I175">
        <f t="shared" si="2"/>
        <v>54.5</v>
      </c>
      <c r="J175">
        <f>(I175 - VLOOKUP(E175,Desserts!A:D,4,FALSE)) * F175</f>
        <v>-29.5</v>
      </c>
    </row>
    <row r="176" spans="1:10" x14ac:dyDescent="0.3">
      <c r="A176" t="s">
        <v>941</v>
      </c>
      <c r="B176" t="s">
        <v>942</v>
      </c>
      <c r="C176" t="s">
        <v>491</v>
      </c>
      <c r="D176" t="s">
        <v>151</v>
      </c>
      <c r="E176" t="s">
        <v>617</v>
      </c>
      <c r="F176">
        <v>2</v>
      </c>
      <c r="G176">
        <v>197</v>
      </c>
      <c r="H176" t="str">
        <f>IF(VLOOKUP(C176,Customers!A:E,5,FALSE)&gt;=1000,"YES","NO")</f>
        <v>NO</v>
      </c>
      <c r="I176">
        <f t="shared" si="2"/>
        <v>197</v>
      </c>
      <c r="J176">
        <f>(I176 - VLOOKUP(E176,Desserts!A:D,4,FALSE)) * F176</f>
        <v>312</v>
      </c>
    </row>
    <row r="177" spans="1:10" x14ac:dyDescent="0.3">
      <c r="A177" t="s">
        <v>943</v>
      </c>
      <c r="B177" t="s">
        <v>810</v>
      </c>
      <c r="C177" t="s">
        <v>391</v>
      </c>
      <c r="D177" t="s">
        <v>232</v>
      </c>
      <c r="E177" t="s">
        <v>531</v>
      </c>
      <c r="F177">
        <v>5</v>
      </c>
      <c r="G177">
        <v>193</v>
      </c>
      <c r="H177" t="str">
        <f>IF(VLOOKUP(C177,Customers!A:E,5,FALSE)&gt;=1000,"YES","NO")</f>
        <v>YES</v>
      </c>
      <c r="I177">
        <f t="shared" si="2"/>
        <v>96.5</v>
      </c>
      <c r="J177">
        <f>(I177 - VLOOKUP(E177,Desserts!A:D,4,FALSE)) * F177</f>
        <v>57.5</v>
      </c>
    </row>
    <row r="178" spans="1:10" x14ac:dyDescent="0.3">
      <c r="A178" t="s">
        <v>944</v>
      </c>
      <c r="B178" t="s">
        <v>773</v>
      </c>
      <c r="C178" t="s">
        <v>433</v>
      </c>
      <c r="D178" t="s">
        <v>214</v>
      </c>
      <c r="E178" t="s">
        <v>543</v>
      </c>
      <c r="F178">
        <v>4</v>
      </c>
      <c r="G178">
        <v>164</v>
      </c>
      <c r="H178" t="str">
        <f>IF(VLOOKUP(C178,Customers!A:E,5,FALSE)&gt;=1000,"YES","NO")</f>
        <v>YES</v>
      </c>
      <c r="I178">
        <f t="shared" si="2"/>
        <v>82</v>
      </c>
      <c r="J178">
        <f>(I178 - VLOOKUP(E178,Desserts!A:D,4,FALSE)) * F178</f>
        <v>36</v>
      </c>
    </row>
    <row r="179" spans="1:10" x14ac:dyDescent="0.3">
      <c r="A179" t="s">
        <v>945</v>
      </c>
      <c r="B179" t="s">
        <v>946</v>
      </c>
      <c r="C179" t="s">
        <v>401</v>
      </c>
      <c r="D179" t="s">
        <v>154</v>
      </c>
      <c r="E179" t="s">
        <v>533</v>
      </c>
      <c r="F179">
        <v>2</v>
      </c>
      <c r="G179">
        <v>129</v>
      </c>
      <c r="H179" t="str">
        <f>IF(VLOOKUP(C179,Customers!A:E,5,FALSE)&gt;=1000,"YES","NO")</f>
        <v>YES</v>
      </c>
      <c r="I179">
        <f t="shared" si="2"/>
        <v>64.5</v>
      </c>
      <c r="J179">
        <f>(I179 - VLOOKUP(E179,Desserts!A:D,4,FALSE)) * F179</f>
        <v>-5</v>
      </c>
    </row>
    <row r="180" spans="1:10" x14ac:dyDescent="0.3">
      <c r="A180" t="s">
        <v>947</v>
      </c>
      <c r="B180" t="s">
        <v>948</v>
      </c>
      <c r="C180" t="s">
        <v>497</v>
      </c>
      <c r="D180" t="s">
        <v>181</v>
      </c>
      <c r="E180" t="s">
        <v>601</v>
      </c>
      <c r="F180">
        <v>5</v>
      </c>
      <c r="G180">
        <v>208</v>
      </c>
      <c r="H180" t="str">
        <f>IF(VLOOKUP(C180,Customers!A:E,5,FALSE)&gt;=1000,"YES","NO")</f>
        <v>NO</v>
      </c>
      <c r="I180">
        <f t="shared" si="2"/>
        <v>208</v>
      </c>
      <c r="J180">
        <f>(I180 - VLOOKUP(E180,Desserts!A:D,4,FALSE)) * F180</f>
        <v>765</v>
      </c>
    </row>
    <row r="181" spans="1:10" x14ac:dyDescent="0.3">
      <c r="A181" t="s">
        <v>949</v>
      </c>
      <c r="B181" t="s">
        <v>950</v>
      </c>
      <c r="C181" t="s">
        <v>367</v>
      </c>
      <c r="D181" t="s">
        <v>178</v>
      </c>
      <c r="E181" t="s">
        <v>545</v>
      </c>
      <c r="F181">
        <v>3</v>
      </c>
      <c r="G181">
        <v>138</v>
      </c>
      <c r="H181" t="str">
        <f>IF(VLOOKUP(C181,Customers!A:E,5,FALSE)&gt;=1000,"YES","NO")</f>
        <v>NO</v>
      </c>
      <c r="I181">
        <f t="shared" si="2"/>
        <v>138</v>
      </c>
      <c r="J181">
        <f>(I181 - VLOOKUP(E181,Desserts!A:D,4,FALSE)) * F181</f>
        <v>279</v>
      </c>
    </row>
    <row r="182" spans="1:10" x14ac:dyDescent="0.3">
      <c r="A182" t="s">
        <v>951</v>
      </c>
      <c r="B182" t="s">
        <v>952</v>
      </c>
      <c r="C182" t="s">
        <v>481</v>
      </c>
      <c r="D182" t="s">
        <v>151</v>
      </c>
      <c r="E182" t="s">
        <v>577</v>
      </c>
      <c r="F182">
        <v>1</v>
      </c>
      <c r="G182">
        <v>240</v>
      </c>
      <c r="H182" t="str">
        <f>IF(VLOOKUP(C182,Customers!A:E,5,FALSE)&gt;=1000,"YES","NO")</f>
        <v>YES</v>
      </c>
      <c r="I182">
        <f t="shared" si="2"/>
        <v>120</v>
      </c>
      <c r="J182">
        <f>(I182 - VLOOKUP(E182,Desserts!A:D,4,FALSE)) * F182</f>
        <v>50</v>
      </c>
    </row>
    <row r="183" spans="1:10" x14ac:dyDescent="0.3">
      <c r="A183" t="s">
        <v>953</v>
      </c>
      <c r="B183" t="s">
        <v>713</v>
      </c>
      <c r="C183" t="s">
        <v>401</v>
      </c>
      <c r="D183" t="s">
        <v>157</v>
      </c>
      <c r="E183" t="s">
        <v>543</v>
      </c>
      <c r="F183">
        <v>5</v>
      </c>
      <c r="G183">
        <v>209</v>
      </c>
      <c r="H183" t="str">
        <f>IF(VLOOKUP(C183,Customers!A:E,5,FALSE)&gt;=1000,"YES","NO")</f>
        <v>YES</v>
      </c>
      <c r="I183">
        <f t="shared" si="2"/>
        <v>104.5</v>
      </c>
      <c r="J183">
        <f>(I183 - VLOOKUP(E183,Desserts!A:D,4,FALSE)) * F183</f>
        <v>157.5</v>
      </c>
    </row>
    <row r="184" spans="1:10" x14ac:dyDescent="0.3">
      <c r="A184" t="s">
        <v>954</v>
      </c>
      <c r="B184" t="s">
        <v>955</v>
      </c>
      <c r="C184" t="s">
        <v>439</v>
      </c>
      <c r="D184" t="s">
        <v>202</v>
      </c>
      <c r="E184" t="s">
        <v>547</v>
      </c>
      <c r="F184">
        <v>5</v>
      </c>
      <c r="G184">
        <v>122</v>
      </c>
      <c r="H184" t="str">
        <f>IF(VLOOKUP(C184,Customers!A:E,5,FALSE)&gt;=1000,"YES","NO")</f>
        <v>YES</v>
      </c>
      <c r="I184">
        <f t="shared" si="2"/>
        <v>61</v>
      </c>
      <c r="J184">
        <f>(I184 - VLOOKUP(E184,Desserts!A:D,4,FALSE)) * F184</f>
        <v>55</v>
      </c>
    </row>
    <row r="185" spans="1:10" x14ac:dyDescent="0.3">
      <c r="A185" t="s">
        <v>956</v>
      </c>
      <c r="B185" t="s">
        <v>957</v>
      </c>
      <c r="C185" t="s">
        <v>329</v>
      </c>
      <c r="D185" t="s">
        <v>130</v>
      </c>
      <c r="E185" t="s">
        <v>607</v>
      </c>
      <c r="F185">
        <v>2</v>
      </c>
      <c r="G185">
        <v>106</v>
      </c>
      <c r="H185" t="str">
        <f>IF(VLOOKUP(C185,Customers!A:E,5,FALSE)&gt;=1000,"YES","NO")</f>
        <v>YES</v>
      </c>
      <c r="I185">
        <f t="shared" si="2"/>
        <v>53</v>
      </c>
      <c r="J185">
        <f>(I185 - VLOOKUP(E185,Desserts!A:D,4,FALSE)) * F185</f>
        <v>-34</v>
      </c>
    </row>
    <row r="186" spans="1:10" x14ac:dyDescent="0.3">
      <c r="A186" t="s">
        <v>958</v>
      </c>
      <c r="B186" t="s">
        <v>959</v>
      </c>
      <c r="C186" t="s">
        <v>369</v>
      </c>
      <c r="D186" t="s">
        <v>72</v>
      </c>
      <c r="E186" t="s">
        <v>531</v>
      </c>
      <c r="F186">
        <v>5</v>
      </c>
      <c r="G186">
        <v>219</v>
      </c>
      <c r="H186" t="str">
        <f>IF(VLOOKUP(C186,Customers!A:E,5,FALSE)&gt;=1000,"YES","NO")</f>
        <v>YES</v>
      </c>
      <c r="I186">
        <f t="shared" si="2"/>
        <v>109.5</v>
      </c>
      <c r="J186">
        <f>(I186 - VLOOKUP(E186,Desserts!A:D,4,FALSE)) * F186</f>
        <v>122.5</v>
      </c>
    </row>
    <row r="187" spans="1:10" x14ac:dyDescent="0.3">
      <c r="A187" t="s">
        <v>960</v>
      </c>
      <c r="B187" t="s">
        <v>701</v>
      </c>
      <c r="C187" t="s">
        <v>435</v>
      </c>
      <c r="D187" t="s">
        <v>51</v>
      </c>
      <c r="E187" t="s">
        <v>543</v>
      </c>
      <c r="F187">
        <v>3</v>
      </c>
      <c r="G187">
        <v>130</v>
      </c>
      <c r="H187" t="str">
        <f>IF(VLOOKUP(C187,Customers!A:E,5,FALSE)&gt;=1000,"YES","NO")</f>
        <v>NO</v>
      </c>
      <c r="I187">
        <f t="shared" si="2"/>
        <v>130</v>
      </c>
      <c r="J187">
        <f>(I187 - VLOOKUP(E187,Desserts!A:D,4,FALSE)) * F187</f>
        <v>171</v>
      </c>
    </row>
    <row r="188" spans="1:10" x14ac:dyDescent="0.3">
      <c r="A188" t="s">
        <v>961</v>
      </c>
      <c r="B188" t="s">
        <v>962</v>
      </c>
      <c r="C188" t="s">
        <v>415</v>
      </c>
      <c r="D188" t="s">
        <v>148</v>
      </c>
      <c r="E188" t="s">
        <v>521</v>
      </c>
      <c r="F188">
        <v>4</v>
      </c>
      <c r="G188">
        <v>171</v>
      </c>
      <c r="H188" t="str">
        <f>IF(VLOOKUP(C188,Customers!A:E,5,FALSE)&gt;=1000,"YES","NO")</f>
        <v>YES</v>
      </c>
      <c r="I188">
        <f t="shared" si="2"/>
        <v>85.5</v>
      </c>
      <c r="J188">
        <f>(I188 - VLOOKUP(E188,Desserts!A:D,4,FALSE)) * F188</f>
        <v>86</v>
      </c>
    </row>
    <row r="189" spans="1:10" x14ac:dyDescent="0.3">
      <c r="A189" t="s">
        <v>963</v>
      </c>
      <c r="B189" t="s">
        <v>741</v>
      </c>
      <c r="C189" t="s">
        <v>379</v>
      </c>
      <c r="D189" t="s">
        <v>47</v>
      </c>
      <c r="E189" t="s">
        <v>555</v>
      </c>
      <c r="F189">
        <v>5</v>
      </c>
      <c r="G189">
        <v>233</v>
      </c>
      <c r="H189" t="str">
        <f>IF(VLOOKUP(C189,Customers!A:E,5,FALSE)&gt;=1000,"YES","NO")</f>
        <v>NO</v>
      </c>
      <c r="I189">
        <f t="shared" si="2"/>
        <v>233</v>
      </c>
      <c r="J189">
        <f>(I189 - VLOOKUP(E189,Desserts!A:D,4,FALSE)) * F189</f>
        <v>790</v>
      </c>
    </row>
    <row r="190" spans="1:10" x14ac:dyDescent="0.3">
      <c r="A190" t="s">
        <v>964</v>
      </c>
      <c r="B190" t="s">
        <v>965</v>
      </c>
      <c r="C190" t="s">
        <v>395</v>
      </c>
      <c r="D190" t="s">
        <v>63</v>
      </c>
      <c r="E190" t="s">
        <v>603</v>
      </c>
      <c r="F190">
        <v>3</v>
      </c>
      <c r="G190">
        <v>171</v>
      </c>
      <c r="H190" t="str">
        <f>IF(VLOOKUP(C190,Customers!A:E,5,FALSE)&gt;=1000,"YES","NO")</f>
        <v>NO</v>
      </c>
      <c r="I190">
        <f t="shared" si="2"/>
        <v>171</v>
      </c>
      <c r="J190">
        <f>(I190 - VLOOKUP(E190,Desserts!A:D,4,FALSE)) * F190</f>
        <v>246</v>
      </c>
    </row>
    <row r="191" spans="1:10" x14ac:dyDescent="0.3">
      <c r="A191" t="s">
        <v>966</v>
      </c>
      <c r="B191" t="s">
        <v>901</v>
      </c>
      <c r="C191" t="s">
        <v>403</v>
      </c>
      <c r="D191" t="s">
        <v>220</v>
      </c>
      <c r="E191" t="s">
        <v>593</v>
      </c>
      <c r="F191">
        <v>3</v>
      </c>
      <c r="G191">
        <v>137</v>
      </c>
      <c r="H191" t="str">
        <f>IF(VLOOKUP(C191,Customers!A:E,5,FALSE)&gt;=1000,"YES","NO")</f>
        <v>NO</v>
      </c>
      <c r="I191">
        <f t="shared" si="2"/>
        <v>137</v>
      </c>
      <c r="J191">
        <f>(I191 - VLOOKUP(E191,Desserts!A:D,4,FALSE)) * F191</f>
        <v>249</v>
      </c>
    </row>
    <row r="192" spans="1:10" x14ac:dyDescent="0.3">
      <c r="A192" t="s">
        <v>967</v>
      </c>
      <c r="B192" t="s">
        <v>968</v>
      </c>
      <c r="C192" t="s">
        <v>433</v>
      </c>
      <c r="D192" t="s">
        <v>178</v>
      </c>
      <c r="E192" t="s">
        <v>547</v>
      </c>
      <c r="F192">
        <v>1</v>
      </c>
      <c r="G192">
        <v>227</v>
      </c>
      <c r="H192" t="str">
        <f>IF(VLOOKUP(C192,Customers!A:E,5,FALSE)&gt;=1000,"YES","NO")</f>
        <v>YES</v>
      </c>
      <c r="I192">
        <f t="shared" si="2"/>
        <v>113.5</v>
      </c>
      <c r="J192">
        <f>(I192 - VLOOKUP(E192,Desserts!A:D,4,FALSE)) * F192</f>
        <v>63.5</v>
      </c>
    </row>
    <row r="193" spans="1:10" x14ac:dyDescent="0.3">
      <c r="A193" t="s">
        <v>969</v>
      </c>
      <c r="B193" t="s">
        <v>970</v>
      </c>
      <c r="C193" t="s">
        <v>451</v>
      </c>
      <c r="D193" t="s">
        <v>166</v>
      </c>
      <c r="E193" t="s">
        <v>569</v>
      </c>
      <c r="F193">
        <v>2</v>
      </c>
      <c r="G193">
        <v>146</v>
      </c>
      <c r="H193" t="str">
        <f>IF(VLOOKUP(C193,Customers!A:E,5,FALSE)&gt;=1000,"YES","NO")</f>
        <v>NO</v>
      </c>
      <c r="I193">
        <f t="shared" si="2"/>
        <v>146</v>
      </c>
      <c r="J193">
        <f>(I193 - VLOOKUP(E193,Desserts!A:D,4,FALSE)) * F193</f>
        <v>138</v>
      </c>
    </row>
    <row r="194" spans="1:10" x14ac:dyDescent="0.3">
      <c r="A194" t="s">
        <v>971</v>
      </c>
      <c r="B194" t="s">
        <v>972</v>
      </c>
      <c r="C194" t="s">
        <v>373</v>
      </c>
      <c r="D194" t="s">
        <v>184</v>
      </c>
      <c r="E194" t="s">
        <v>547</v>
      </c>
      <c r="F194">
        <v>2</v>
      </c>
      <c r="G194">
        <v>189</v>
      </c>
      <c r="H194" t="str">
        <f>IF(VLOOKUP(C194,Customers!A:E,5,FALSE)&gt;=1000,"YES","NO")</f>
        <v>NO</v>
      </c>
      <c r="I194">
        <f t="shared" ref="I194:I257" si="3">IF(H194="YES",G194*0.5,G194)</f>
        <v>189</v>
      </c>
      <c r="J194">
        <f>(I194 - VLOOKUP(E194,Desserts!A:D,4,FALSE)) * F194</f>
        <v>278</v>
      </c>
    </row>
    <row r="195" spans="1:10" x14ac:dyDescent="0.3">
      <c r="A195" t="s">
        <v>973</v>
      </c>
      <c r="B195" t="s">
        <v>974</v>
      </c>
      <c r="C195" t="s">
        <v>509</v>
      </c>
      <c r="D195" t="s">
        <v>66</v>
      </c>
      <c r="E195" t="s">
        <v>563</v>
      </c>
      <c r="F195">
        <v>3</v>
      </c>
      <c r="G195">
        <v>240</v>
      </c>
      <c r="H195" t="str">
        <f>IF(VLOOKUP(C195,Customers!A:E,5,FALSE)&gt;=1000,"YES","NO")</f>
        <v>NO</v>
      </c>
      <c r="I195">
        <f t="shared" si="3"/>
        <v>240</v>
      </c>
      <c r="J195">
        <f>(I195 - VLOOKUP(E195,Desserts!A:D,4,FALSE)) * F195</f>
        <v>525</v>
      </c>
    </row>
    <row r="196" spans="1:10" x14ac:dyDescent="0.3">
      <c r="A196" t="s">
        <v>975</v>
      </c>
      <c r="B196" t="s">
        <v>976</v>
      </c>
      <c r="C196" t="s">
        <v>493</v>
      </c>
      <c r="D196" t="s">
        <v>235</v>
      </c>
      <c r="E196" t="s">
        <v>593</v>
      </c>
      <c r="F196">
        <v>5</v>
      </c>
      <c r="G196">
        <v>127</v>
      </c>
      <c r="H196" t="str">
        <f>IF(VLOOKUP(C196,Customers!A:E,5,FALSE)&gt;=1000,"YES","NO")</f>
        <v>NO</v>
      </c>
      <c r="I196">
        <f t="shared" si="3"/>
        <v>127</v>
      </c>
      <c r="J196">
        <f>(I196 - VLOOKUP(E196,Desserts!A:D,4,FALSE)) * F196</f>
        <v>365</v>
      </c>
    </row>
    <row r="197" spans="1:10" x14ac:dyDescent="0.3">
      <c r="A197" t="s">
        <v>977</v>
      </c>
      <c r="B197" t="s">
        <v>978</v>
      </c>
      <c r="C197" t="s">
        <v>347</v>
      </c>
      <c r="D197" t="s">
        <v>280</v>
      </c>
      <c r="E197" t="s">
        <v>581</v>
      </c>
      <c r="F197">
        <v>5</v>
      </c>
      <c r="G197">
        <v>215</v>
      </c>
      <c r="H197" t="str">
        <f>IF(VLOOKUP(C197,Customers!A:E,5,FALSE)&gt;=1000,"YES","NO")</f>
        <v>YES</v>
      </c>
      <c r="I197">
        <f t="shared" si="3"/>
        <v>107.5</v>
      </c>
      <c r="J197">
        <f>(I197 - VLOOKUP(E197,Desserts!A:D,4,FALSE)) * F197</f>
        <v>92.5</v>
      </c>
    </row>
    <row r="198" spans="1:10" x14ac:dyDescent="0.3">
      <c r="A198" t="s">
        <v>979</v>
      </c>
      <c r="B198" t="s">
        <v>796</v>
      </c>
      <c r="C198" t="s">
        <v>459</v>
      </c>
      <c r="D198" t="s">
        <v>214</v>
      </c>
      <c r="E198" t="s">
        <v>563</v>
      </c>
      <c r="F198">
        <v>3</v>
      </c>
      <c r="G198">
        <v>224</v>
      </c>
      <c r="H198" t="str">
        <f>IF(VLOOKUP(C198,Customers!A:E,5,FALSE)&gt;=1000,"YES","NO")</f>
        <v>NO</v>
      </c>
      <c r="I198">
        <f t="shared" si="3"/>
        <v>224</v>
      </c>
      <c r="J198">
        <f>(I198 - VLOOKUP(E198,Desserts!A:D,4,FALSE)) * F198</f>
        <v>477</v>
      </c>
    </row>
    <row r="199" spans="1:10" x14ac:dyDescent="0.3">
      <c r="A199" t="s">
        <v>980</v>
      </c>
      <c r="B199" t="s">
        <v>981</v>
      </c>
      <c r="C199" t="s">
        <v>389</v>
      </c>
      <c r="D199" t="s">
        <v>30</v>
      </c>
      <c r="E199" t="s">
        <v>589</v>
      </c>
      <c r="F199">
        <v>5</v>
      </c>
      <c r="G199">
        <v>135</v>
      </c>
      <c r="H199" t="str">
        <f>IF(VLOOKUP(C199,Customers!A:E,5,FALSE)&gt;=1000,"YES","NO")</f>
        <v>YES</v>
      </c>
      <c r="I199">
        <f t="shared" si="3"/>
        <v>67.5</v>
      </c>
      <c r="J199">
        <f>(I199 - VLOOKUP(E199,Desserts!A:D,4,FALSE)) * F199</f>
        <v>-17.5</v>
      </c>
    </row>
    <row r="200" spans="1:10" x14ac:dyDescent="0.3">
      <c r="A200" t="s">
        <v>982</v>
      </c>
      <c r="B200" t="s">
        <v>634</v>
      </c>
      <c r="C200" t="s">
        <v>323</v>
      </c>
      <c r="D200" t="s">
        <v>54</v>
      </c>
      <c r="E200" t="s">
        <v>577</v>
      </c>
      <c r="F200">
        <v>3</v>
      </c>
      <c r="G200">
        <v>180</v>
      </c>
      <c r="H200" t="str">
        <f>IF(VLOOKUP(C200,Customers!A:E,5,FALSE)&gt;=1000,"YES","NO")</f>
        <v>NO</v>
      </c>
      <c r="I200">
        <f t="shared" si="3"/>
        <v>180</v>
      </c>
      <c r="J200">
        <f>(I200 - VLOOKUP(E200,Desserts!A:D,4,FALSE)) * F200</f>
        <v>330</v>
      </c>
    </row>
    <row r="201" spans="1:10" x14ac:dyDescent="0.3">
      <c r="A201" t="s">
        <v>983</v>
      </c>
      <c r="B201" t="s">
        <v>878</v>
      </c>
      <c r="C201" t="s">
        <v>329</v>
      </c>
      <c r="D201" t="s">
        <v>256</v>
      </c>
      <c r="E201" t="s">
        <v>529</v>
      </c>
      <c r="F201">
        <v>5</v>
      </c>
      <c r="G201">
        <v>211</v>
      </c>
      <c r="H201" t="str">
        <f>IF(VLOOKUP(C201,Customers!A:E,5,FALSE)&gt;=1000,"YES","NO")</f>
        <v>YES</v>
      </c>
      <c r="I201">
        <f t="shared" si="3"/>
        <v>105.5</v>
      </c>
      <c r="J201">
        <f>(I201 - VLOOKUP(E201,Desserts!A:D,4,FALSE)) * F201</f>
        <v>187.5</v>
      </c>
    </row>
    <row r="202" spans="1:10" x14ac:dyDescent="0.3">
      <c r="A202" t="s">
        <v>984</v>
      </c>
      <c r="B202" t="s">
        <v>985</v>
      </c>
      <c r="C202" t="s">
        <v>405</v>
      </c>
      <c r="D202" t="s">
        <v>262</v>
      </c>
      <c r="E202" t="s">
        <v>589</v>
      </c>
      <c r="F202">
        <v>4</v>
      </c>
      <c r="G202">
        <v>153</v>
      </c>
      <c r="H202" t="str">
        <f>IF(VLOOKUP(C202,Customers!A:E,5,FALSE)&gt;=1000,"YES","NO")</f>
        <v>YES</v>
      </c>
      <c r="I202">
        <f t="shared" si="3"/>
        <v>76.5</v>
      </c>
      <c r="J202">
        <f>(I202 - VLOOKUP(E202,Desserts!A:D,4,FALSE)) * F202</f>
        <v>22</v>
      </c>
    </row>
    <row r="203" spans="1:10" x14ac:dyDescent="0.3">
      <c r="A203" t="s">
        <v>986</v>
      </c>
      <c r="B203" t="s">
        <v>834</v>
      </c>
      <c r="C203" t="s">
        <v>349</v>
      </c>
      <c r="D203" t="s">
        <v>220</v>
      </c>
      <c r="E203" t="s">
        <v>591</v>
      </c>
      <c r="F203">
        <v>1</v>
      </c>
      <c r="G203">
        <v>250</v>
      </c>
      <c r="H203" t="str">
        <f>IF(VLOOKUP(C203,Customers!A:E,5,FALSE)&gt;=1000,"YES","NO")</f>
        <v>NO</v>
      </c>
      <c r="I203">
        <f t="shared" si="3"/>
        <v>250</v>
      </c>
      <c r="J203">
        <f>(I203 - VLOOKUP(E203,Desserts!A:D,4,FALSE)) * F203</f>
        <v>188</v>
      </c>
    </row>
    <row r="204" spans="1:10" x14ac:dyDescent="0.3">
      <c r="A204" t="s">
        <v>987</v>
      </c>
      <c r="B204" t="s">
        <v>988</v>
      </c>
      <c r="C204" t="s">
        <v>437</v>
      </c>
      <c r="D204" t="s">
        <v>109</v>
      </c>
      <c r="E204" t="s">
        <v>551</v>
      </c>
      <c r="F204">
        <v>1</v>
      </c>
      <c r="G204">
        <v>112</v>
      </c>
      <c r="H204" t="str">
        <f>IF(VLOOKUP(C204,Customers!A:E,5,FALSE)&gt;=1000,"YES","NO")</f>
        <v>NO</v>
      </c>
      <c r="I204">
        <f t="shared" si="3"/>
        <v>112</v>
      </c>
      <c r="J204">
        <f>(I204 - VLOOKUP(E204,Desserts!A:D,4,FALSE)) * F204</f>
        <v>43</v>
      </c>
    </row>
    <row r="205" spans="1:10" x14ac:dyDescent="0.3">
      <c r="A205" t="s">
        <v>989</v>
      </c>
      <c r="B205" t="s">
        <v>990</v>
      </c>
      <c r="C205" t="s">
        <v>413</v>
      </c>
      <c r="D205" t="s">
        <v>88</v>
      </c>
      <c r="E205" t="s">
        <v>563</v>
      </c>
      <c r="F205">
        <v>2</v>
      </c>
      <c r="G205">
        <v>138</v>
      </c>
      <c r="H205" t="str">
        <f>IF(VLOOKUP(C205,Customers!A:E,5,FALSE)&gt;=1000,"YES","NO")</f>
        <v>YES</v>
      </c>
      <c r="I205">
        <f t="shared" si="3"/>
        <v>69</v>
      </c>
      <c r="J205">
        <f>(I205 - VLOOKUP(E205,Desserts!A:D,4,FALSE)) * F205</f>
        <v>8</v>
      </c>
    </row>
    <row r="206" spans="1:10" x14ac:dyDescent="0.3">
      <c r="A206" t="s">
        <v>991</v>
      </c>
      <c r="B206" t="s">
        <v>992</v>
      </c>
      <c r="C206" t="s">
        <v>507</v>
      </c>
      <c r="D206" t="s">
        <v>115</v>
      </c>
      <c r="E206" t="s">
        <v>589</v>
      </c>
      <c r="F206">
        <v>3</v>
      </c>
      <c r="G206">
        <v>128</v>
      </c>
      <c r="H206" t="str">
        <f>IF(VLOOKUP(C206,Customers!A:E,5,FALSE)&gt;=1000,"YES","NO")</f>
        <v>NO</v>
      </c>
      <c r="I206">
        <f t="shared" si="3"/>
        <v>128</v>
      </c>
      <c r="J206">
        <f>(I206 - VLOOKUP(E206,Desserts!A:D,4,FALSE)) * F206</f>
        <v>171</v>
      </c>
    </row>
    <row r="207" spans="1:10" x14ac:dyDescent="0.3">
      <c r="A207" t="s">
        <v>993</v>
      </c>
      <c r="B207" t="s">
        <v>994</v>
      </c>
      <c r="C207" t="s">
        <v>391</v>
      </c>
      <c r="D207" t="s">
        <v>133</v>
      </c>
      <c r="E207" t="s">
        <v>521</v>
      </c>
      <c r="F207">
        <v>3</v>
      </c>
      <c r="G207">
        <v>147</v>
      </c>
      <c r="H207" t="str">
        <f>IF(VLOOKUP(C207,Customers!A:E,5,FALSE)&gt;=1000,"YES","NO")</f>
        <v>YES</v>
      </c>
      <c r="I207">
        <f t="shared" si="3"/>
        <v>73.5</v>
      </c>
      <c r="J207">
        <f>(I207 - VLOOKUP(E207,Desserts!A:D,4,FALSE)) * F207</f>
        <v>28.5</v>
      </c>
    </row>
    <row r="208" spans="1:10" x14ac:dyDescent="0.3">
      <c r="A208" t="s">
        <v>995</v>
      </c>
      <c r="B208" t="s">
        <v>996</v>
      </c>
      <c r="C208" t="s">
        <v>449</v>
      </c>
      <c r="D208" t="s">
        <v>250</v>
      </c>
      <c r="E208" t="s">
        <v>569</v>
      </c>
      <c r="F208">
        <v>2</v>
      </c>
      <c r="G208">
        <v>188</v>
      </c>
      <c r="H208" t="str">
        <f>IF(VLOOKUP(C208,Customers!A:E,5,FALSE)&gt;=1000,"YES","NO")</f>
        <v>YES</v>
      </c>
      <c r="I208">
        <f t="shared" si="3"/>
        <v>94</v>
      </c>
      <c r="J208">
        <f>(I208 - VLOOKUP(E208,Desserts!A:D,4,FALSE)) * F208</f>
        <v>34</v>
      </c>
    </row>
    <row r="209" spans="1:10" x14ac:dyDescent="0.3">
      <c r="A209" t="s">
        <v>997</v>
      </c>
      <c r="B209" t="s">
        <v>998</v>
      </c>
      <c r="C209" t="s">
        <v>515</v>
      </c>
      <c r="D209" t="s">
        <v>175</v>
      </c>
      <c r="E209" t="s">
        <v>527</v>
      </c>
      <c r="F209">
        <v>3</v>
      </c>
      <c r="G209">
        <v>223</v>
      </c>
      <c r="H209" t="str">
        <f>IF(VLOOKUP(C209,Customers!A:E,5,FALSE)&gt;=1000,"YES","NO")</f>
        <v>YES</v>
      </c>
      <c r="I209">
        <f t="shared" si="3"/>
        <v>111.5</v>
      </c>
      <c r="J209">
        <f>(I209 - VLOOKUP(E209,Desserts!A:D,4,FALSE)) * F209</f>
        <v>205.5</v>
      </c>
    </row>
    <row r="210" spans="1:10" x14ac:dyDescent="0.3">
      <c r="A210" t="s">
        <v>999</v>
      </c>
      <c r="B210" t="s">
        <v>1000</v>
      </c>
      <c r="C210" t="s">
        <v>329</v>
      </c>
      <c r="D210" t="s">
        <v>190</v>
      </c>
      <c r="E210" t="s">
        <v>591</v>
      </c>
      <c r="F210">
        <v>3</v>
      </c>
      <c r="G210">
        <v>145</v>
      </c>
      <c r="H210" t="str">
        <f>IF(VLOOKUP(C210,Customers!A:E,5,FALSE)&gt;=1000,"YES","NO")</f>
        <v>YES</v>
      </c>
      <c r="I210">
        <f t="shared" si="3"/>
        <v>72.5</v>
      </c>
      <c r="J210">
        <f>(I210 - VLOOKUP(E210,Desserts!A:D,4,FALSE)) * F210</f>
        <v>31.5</v>
      </c>
    </row>
    <row r="211" spans="1:10" x14ac:dyDescent="0.3">
      <c r="A211" t="s">
        <v>1001</v>
      </c>
      <c r="B211" t="s">
        <v>683</v>
      </c>
      <c r="C211" t="s">
        <v>437</v>
      </c>
      <c r="D211" t="s">
        <v>60</v>
      </c>
      <c r="E211" t="s">
        <v>527</v>
      </c>
      <c r="F211">
        <v>1</v>
      </c>
      <c r="G211">
        <v>128</v>
      </c>
      <c r="H211" t="str">
        <f>IF(VLOOKUP(C211,Customers!A:E,5,FALSE)&gt;=1000,"YES","NO")</f>
        <v>NO</v>
      </c>
      <c r="I211">
        <f t="shared" si="3"/>
        <v>128</v>
      </c>
      <c r="J211">
        <f>(I211 - VLOOKUP(E211,Desserts!A:D,4,FALSE)) * F211</f>
        <v>85</v>
      </c>
    </row>
    <row r="212" spans="1:10" x14ac:dyDescent="0.3">
      <c r="A212" t="s">
        <v>1002</v>
      </c>
      <c r="B212" t="s">
        <v>655</v>
      </c>
      <c r="C212" t="s">
        <v>323</v>
      </c>
      <c r="D212" t="s">
        <v>40</v>
      </c>
      <c r="E212" t="s">
        <v>533</v>
      </c>
      <c r="F212">
        <v>3</v>
      </c>
      <c r="G212">
        <v>108</v>
      </c>
      <c r="H212" t="str">
        <f>IF(VLOOKUP(C212,Customers!A:E,5,FALSE)&gt;=1000,"YES","NO")</f>
        <v>NO</v>
      </c>
      <c r="I212">
        <f t="shared" si="3"/>
        <v>108</v>
      </c>
      <c r="J212">
        <f>(I212 - VLOOKUP(E212,Desserts!A:D,4,FALSE)) * F212</f>
        <v>123</v>
      </c>
    </row>
    <row r="213" spans="1:10" x14ac:dyDescent="0.3">
      <c r="A213" t="s">
        <v>1003</v>
      </c>
      <c r="B213" t="s">
        <v>1004</v>
      </c>
      <c r="C213" t="s">
        <v>335</v>
      </c>
      <c r="D213" t="s">
        <v>214</v>
      </c>
      <c r="E213" t="s">
        <v>599</v>
      </c>
      <c r="F213">
        <v>3</v>
      </c>
      <c r="G213">
        <v>143</v>
      </c>
      <c r="H213" t="str">
        <f>IF(VLOOKUP(C213,Customers!A:E,5,FALSE)&gt;=1000,"YES","NO")</f>
        <v>NO</v>
      </c>
      <c r="I213">
        <f t="shared" si="3"/>
        <v>143</v>
      </c>
      <c r="J213">
        <f>(I213 - VLOOKUP(E213,Desserts!A:D,4,FALSE)) * F213</f>
        <v>189</v>
      </c>
    </row>
    <row r="214" spans="1:10" x14ac:dyDescent="0.3">
      <c r="A214" t="s">
        <v>1005</v>
      </c>
      <c r="B214" t="s">
        <v>1006</v>
      </c>
      <c r="C214" t="s">
        <v>487</v>
      </c>
      <c r="D214" t="s">
        <v>142</v>
      </c>
      <c r="E214" t="s">
        <v>549</v>
      </c>
      <c r="F214">
        <v>1</v>
      </c>
      <c r="G214">
        <v>231</v>
      </c>
      <c r="H214" t="str">
        <f>IF(VLOOKUP(C214,Customers!A:E,5,FALSE)&gt;=1000,"YES","NO")</f>
        <v>NO</v>
      </c>
      <c r="I214">
        <f t="shared" si="3"/>
        <v>231</v>
      </c>
      <c r="J214">
        <f>(I214 - VLOOKUP(E214,Desserts!A:D,4,FALSE)) * F214</f>
        <v>152</v>
      </c>
    </row>
    <row r="215" spans="1:10" x14ac:dyDescent="0.3">
      <c r="A215" t="s">
        <v>1007</v>
      </c>
      <c r="B215" t="s">
        <v>1008</v>
      </c>
      <c r="C215" t="s">
        <v>343</v>
      </c>
      <c r="D215" t="s">
        <v>43</v>
      </c>
      <c r="E215" t="s">
        <v>585</v>
      </c>
      <c r="F215">
        <v>2</v>
      </c>
      <c r="G215">
        <v>232</v>
      </c>
      <c r="H215" t="str">
        <f>IF(VLOOKUP(C215,Customers!A:E,5,FALSE)&gt;=1000,"YES","NO")</f>
        <v>YES</v>
      </c>
      <c r="I215">
        <f t="shared" si="3"/>
        <v>116</v>
      </c>
      <c r="J215">
        <f>(I215 - VLOOKUP(E215,Desserts!A:D,4,FALSE)) * F215</f>
        <v>138</v>
      </c>
    </row>
    <row r="216" spans="1:10" x14ac:dyDescent="0.3">
      <c r="A216" t="s">
        <v>1009</v>
      </c>
      <c r="B216" t="s">
        <v>646</v>
      </c>
      <c r="C216" t="s">
        <v>413</v>
      </c>
      <c r="D216" t="s">
        <v>193</v>
      </c>
      <c r="E216" t="s">
        <v>593</v>
      </c>
      <c r="F216">
        <v>4</v>
      </c>
      <c r="G216">
        <v>228</v>
      </c>
      <c r="H216" t="str">
        <f>IF(VLOOKUP(C216,Customers!A:E,5,FALSE)&gt;=1000,"YES","NO")</f>
        <v>YES</v>
      </c>
      <c r="I216">
        <f t="shared" si="3"/>
        <v>114</v>
      </c>
      <c r="J216">
        <f>(I216 - VLOOKUP(E216,Desserts!A:D,4,FALSE)) * F216</f>
        <v>240</v>
      </c>
    </row>
    <row r="217" spans="1:10" x14ac:dyDescent="0.3">
      <c r="A217" t="s">
        <v>1010</v>
      </c>
      <c r="B217" t="s">
        <v>626</v>
      </c>
      <c r="C217" t="s">
        <v>457</v>
      </c>
      <c r="D217" t="s">
        <v>250</v>
      </c>
      <c r="E217" t="s">
        <v>589</v>
      </c>
      <c r="F217">
        <v>4</v>
      </c>
      <c r="G217">
        <v>202</v>
      </c>
      <c r="H217" t="str">
        <f>IF(VLOOKUP(C217,Customers!A:E,5,FALSE)&gt;=1000,"YES","NO")</f>
        <v>YES</v>
      </c>
      <c r="I217">
        <f t="shared" si="3"/>
        <v>101</v>
      </c>
      <c r="J217">
        <f>(I217 - VLOOKUP(E217,Desserts!A:D,4,FALSE)) * F217</f>
        <v>120</v>
      </c>
    </row>
    <row r="218" spans="1:10" x14ac:dyDescent="0.3">
      <c r="A218" t="s">
        <v>1011</v>
      </c>
      <c r="B218" t="s">
        <v>864</v>
      </c>
      <c r="C218" t="s">
        <v>369</v>
      </c>
      <c r="D218" t="s">
        <v>301</v>
      </c>
      <c r="E218" t="s">
        <v>567</v>
      </c>
      <c r="F218">
        <v>2</v>
      </c>
      <c r="G218">
        <v>228</v>
      </c>
      <c r="H218" t="str">
        <f>IF(VLOOKUP(C218,Customers!A:E,5,FALSE)&gt;=1000,"YES","NO")</f>
        <v>YES</v>
      </c>
      <c r="I218">
        <f t="shared" si="3"/>
        <v>114</v>
      </c>
      <c r="J218">
        <f>(I218 - VLOOKUP(E218,Desserts!A:D,4,FALSE)) * F218</f>
        <v>116</v>
      </c>
    </row>
    <row r="219" spans="1:10" x14ac:dyDescent="0.3">
      <c r="A219" t="s">
        <v>1012</v>
      </c>
      <c r="B219" t="s">
        <v>1013</v>
      </c>
      <c r="C219" t="s">
        <v>459</v>
      </c>
      <c r="D219" t="s">
        <v>307</v>
      </c>
      <c r="E219" t="s">
        <v>529</v>
      </c>
      <c r="F219">
        <v>3</v>
      </c>
      <c r="G219">
        <v>175</v>
      </c>
      <c r="H219" t="str">
        <f>IF(VLOOKUP(C219,Customers!A:E,5,FALSE)&gt;=1000,"YES","NO")</f>
        <v>NO</v>
      </c>
      <c r="I219">
        <f t="shared" si="3"/>
        <v>175</v>
      </c>
      <c r="J219">
        <f>(I219 - VLOOKUP(E219,Desserts!A:D,4,FALSE)) * F219</f>
        <v>321</v>
      </c>
    </row>
    <row r="220" spans="1:10" x14ac:dyDescent="0.3">
      <c r="A220" t="s">
        <v>1014</v>
      </c>
      <c r="B220" t="s">
        <v>796</v>
      </c>
      <c r="C220" t="s">
        <v>441</v>
      </c>
      <c r="D220" t="s">
        <v>262</v>
      </c>
      <c r="E220" t="s">
        <v>555</v>
      </c>
      <c r="F220">
        <v>4</v>
      </c>
      <c r="G220">
        <v>138</v>
      </c>
      <c r="H220" t="str">
        <f>IF(VLOOKUP(C220,Customers!A:E,5,FALSE)&gt;=1000,"YES","NO")</f>
        <v>NO</v>
      </c>
      <c r="I220">
        <f t="shared" si="3"/>
        <v>138</v>
      </c>
      <c r="J220">
        <f>(I220 - VLOOKUP(E220,Desserts!A:D,4,FALSE)) * F220</f>
        <v>252</v>
      </c>
    </row>
    <row r="221" spans="1:10" x14ac:dyDescent="0.3">
      <c r="A221" t="s">
        <v>1015</v>
      </c>
      <c r="B221" t="s">
        <v>1016</v>
      </c>
      <c r="C221" t="s">
        <v>319</v>
      </c>
      <c r="D221" t="s">
        <v>295</v>
      </c>
      <c r="E221" t="s">
        <v>573</v>
      </c>
      <c r="F221">
        <v>3</v>
      </c>
      <c r="G221">
        <v>210</v>
      </c>
      <c r="H221" t="str">
        <f>IF(VLOOKUP(C221,Customers!A:E,5,FALSE)&gt;=1000,"YES","NO")</f>
        <v>YES</v>
      </c>
      <c r="I221">
        <f t="shared" si="3"/>
        <v>105</v>
      </c>
      <c r="J221">
        <f>(I221 - VLOOKUP(E221,Desserts!A:D,4,FALSE)) * F221</f>
        <v>165</v>
      </c>
    </row>
    <row r="222" spans="1:10" x14ac:dyDescent="0.3">
      <c r="A222" t="s">
        <v>1017</v>
      </c>
      <c r="B222" t="s">
        <v>812</v>
      </c>
      <c r="C222" t="s">
        <v>321</v>
      </c>
      <c r="D222" t="s">
        <v>9</v>
      </c>
      <c r="E222" t="s">
        <v>613</v>
      </c>
      <c r="F222">
        <v>5</v>
      </c>
      <c r="G222">
        <v>170</v>
      </c>
      <c r="H222" t="str">
        <f>IF(VLOOKUP(C222,Customers!A:E,5,FALSE)&gt;=1000,"YES","NO")</f>
        <v>NO</v>
      </c>
      <c r="I222">
        <f t="shared" si="3"/>
        <v>170</v>
      </c>
      <c r="J222">
        <f>(I222 - VLOOKUP(E222,Desserts!A:D,4,FALSE)) * F222</f>
        <v>425</v>
      </c>
    </row>
    <row r="223" spans="1:10" x14ac:dyDescent="0.3">
      <c r="A223" t="s">
        <v>1018</v>
      </c>
      <c r="B223" t="s">
        <v>1019</v>
      </c>
      <c r="C223" t="s">
        <v>513</v>
      </c>
      <c r="D223" t="s">
        <v>54</v>
      </c>
      <c r="E223" t="s">
        <v>617</v>
      </c>
      <c r="F223">
        <v>5</v>
      </c>
      <c r="G223">
        <v>140</v>
      </c>
      <c r="H223" t="str">
        <f>IF(VLOOKUP(C223,Customers!A:E,5,FALSE)&gt;=1000,"YES","NO")</f>
        <v>YES</v>
      </c>
      <c r="I223">
        <f t="shared" si="3"/>
        <v>70</v>
      </c>
      <c r="J223">
        <f>(I223 - VLOOKUP(E223,Desserts!A:D,4,FALSE)) * F223</f>
        <v>145</v>
      </c>
    </row>
    <row r="224" spans="1:10" x14ac:dyDescent="0.3">
      <c r="A224" t="s">
        <v>1020</v>
      </c>
      <c r="B224" t="s">
        <v>1021</v>
      </c>
      <c r="C224" t="s">
        <v>509</v>
      </c>
      <c r="D224" t="s">
        <v>208</v>
      </c>
      <c r="E224" t="s">
        <v>615</v>
      </c>
      <c r="F224">
        <v>1</v>
      </c>
      <c r="G224">
        <v>184</v>
      </c>
      <c r="H224" t="str">
        <f>IF(VLOOKUP(C224,Customers!A:E,5,FALSE)&gt;=1000,"YES","NO")</f>
        <v>NO</v>
      </c>
      <c r="I224">
        <f t="shared" si="3"/>
        <v>184</v>
      </c>
      <c r="J224">
        <f>(I224 - VLOOKUP(E224,Desserts!A:D,4,FALSE)) * F224</f>
        <v>142</v>
      </c>
    </row>
    <row r="225" spans="1:10" x14ac:dyDescent="0.3">
      <c r="A225" t="s">
        <v>1022</v>
      </c>
      <c r="B225" t="s">
        <v>1023</v>
      </c>
      <c r="C225" t="s">
        <v>357</v>
      </c>
      <c r="D225" t="s">
        <v>217</v>
      </c>
      <c r="E225" t="s">
        <v>605</v>
      </c>
      <c r="F225">
        <v>4</v>
      </c>
      <c r="G225">
        <v>164</v>
      </c>
      <c r="H225" t="str">
        <f>IF(VLOOKUP(C225,Customers!A:E,5,FALSE)&gt;=1000,"YES","NO")</f>
        <v>NO</v>
      </c>
      <c r="I225">
        <f t="shared" si="3"/>
        <v>164</v>
      </c>
      <c r="J225">
        <f>(I225 - VLOOKUP(E225,Desserts!A:D,4,FALSE)) * F225</f>
        <v>408</v>
      </c>
    </row>
    <row r="226" spans="1:10" x14ac:dyDescent="0.3">
      <c r="A226" t="s">
        <v>1024</v>
      </c>
      <c r="B226" t="s">
        <v>1025</v>
      </c>
      <c r="C226" t="s">
        <v>499</v>
      </c>
      <c r="D226" t="s">
        <v>259</v>
      </c>
      <c r="E226" t="s">
        <v>575</v>
      </c>
      <c r="F226">
        <v>2</v>
      </c>
      <c r="G226">
        <v>141</v>
      </c>
      <c r="H226" t="str">
        <f>IF(VLOOKUP(C226,Customers!A:E,5,FALSE)&gt;=1000,"YES","NO")</f>
        <v>NO</v>
      </c>
      <c r="I226">
        <f t="shared" si="3"/>
        <v>141</v>
      </c>
      <c r="J226">
        <f>(I226 - VLOOKUP(E226,Desserts!A:D,4,FALSE)) * F226</f>
        <v>132</v>
      </c>
    </row>
    <row r="227" spans="1:10" x14ac:dyDescent="0.3">
      <c r="A227" t="s">
        <v>1026</v>
      </c>
      <c r="B227" t="s">
        <v>985</v>
      </c>
      <c r="C227" t="s">
        <v>349</v>
      </c>
      <c r="D227" t="s">
        <v>208</v>
      </c>
      <c r="E227" t="s">
        <v>557</v>
      </c>
      <c r="F227">
        <v>3</v>
      </c>
      <c r="G227">
        <v>144</v>
      </c>
      <c r="H227" t="str">
        <f>IF(VLOOKUP(C227,Customers!A:E,5,FALSE)&gt;=1000,"YES","NO")</f>
        <v>NO</v>
      </c>
      <c r="I227">
        <f t="shared" si="3"/>
        <v>144</v>
      </c>
      <c r="J227">
        <f>(I227 - VLOOKUP(E227,Desserts!A:D,4,FALSE)) * F227</f>
        <v>180</v>
      </c>
    </row>
    <row r="228" spans="1:10" x14ac:dyDescent="0.3">
      <c r="A228" t="s">
        <v>1027</v>
      </c>
      <c r="B228" t="s">
        <v>789</v>
      </c>
      <c r="C228" t="s">
        <v>431</v>
      </c>
      <c r="D228" t="s">
        <v>220</v>
      </c>
      <c r="E228" t="s">
        <v>607</v>
      </c>
      <c r="F228">
        <v>2</v>
      </c>
      <c r="G228">
        <v>175</v>
      </c>
      <c r="H228" t="str">
        <f>IF(VLOOKUP(C228,Customers!A:E,5,FALSE)&gt;=1000,"YES","NO")</f>
        <v>YES</v>
      </c>
      <c r="I228">
        <f t="shared" si="3"/>
        <v>87.5</v>
      </c>
      <c r="J228">
        <f>(I228 - VLOOKUP(E228,Desserts!A:D,4,FALSE)) * F228</f>
        <v>35</v>
      </c>
    </row>
    <row r="229" spans="1:10" x14ac:dyDescent="0.3">
      <c r="A229" t="s">
        <v>1028</v>
      </c>
      <c r="B229" t="s">
        <v>1029</v>
      </c>
      <c r="C229" t="s">
        <v>349</v>
      </c>
      <c r="D229" t="s">
        <v>202</v>
      </c>
      <c r="E229" t="s">
        <v>559</v>
      </c>
      <c r="F229">
        <v>2</v>
      </c>
      <c r="G229">
        <v>186</v>
      </c>
      <c r="H229" t="str">
        <f>IF(VLOOKUP(C229,Customers!A:E,5,FALSE)&gt;=1000,"YES","NO")</f>
        <v>NO</v>
      </c>
      <c r="I229">
        <f t="shared" si="3"/>
        <v>186</v>
      </c>
      <c r="J229">
        <f>(I229 - VLOOKUP(E229,Desserts!A:D,4,FALSE)) * F229</f>
        <v>262</v>
      </c>
    </row>
    <row r="230" spans="1:10" x14ac:dyDescent="0.3">
      <c r="A230" t="s">
        <v>1030</v>
      </c>
      <c r="B230" t="s">
        <v>1031</v>
      </c>
      <c r="C230" t="s">
        <v>427</v>
      </c>
      <c r="D230" t="s">
        <v>286</v>
      </c>
      <c r="E230" t="s">
        <v>601</v>
      </c>
      <c r="F230">
        <v>1</v>
      </c>
      <c r="G230">
        <v>166</v>
      </c>
      <c r="H230" t="str">
        <f>IF(VLOOKUP(C230,Customers!A:E,5,FALSE)&gt;=1000,"YES","NO")</f>
        <v>NO</v>
      </c>
      <c r="I230">
        <f t="shared" si="3"/>
        <v>166</v>
      </c>
      <c r="J230">
        <f>(I230 - VLOOKUP(E230,Desserts!A:D,4,FALSE)) * F230</f>
        <v>111</v>
      </c>
    </row>
    <row r="231" spans="1:10" x14ac:dyDescent="0.3">
      <c r="A231" t="s">
        <v>1032</v>
      </c>
      <c r="B231" t="s">
        <v>781</v>
      </c>
      <c r="C231" t="s">
        <v>515</v>
      </c>
      <c r="D231" t="s">
        <v>118</v>
      </c>
      <c r="E231" t="s">
        <v>533</v>
      </c>
      <c r="F231">
        <v>5</v>
      </c>
      <c r="G231">
        <v>167</v>
      </c>
      <c r="H231" t="str">
        <f>IF(VLOOKUP(C231,Customers!A:E,5,FALSE)&gt;=1000,"YES","NO")</f>
        <v>YES</v>
      </c>
      <c r="I231">
        <f t="shared" si="3"/>
        <v>83.5</v>
      </c>
      <c r="J231">
        <f>(I231 - VLOOKUP(E231,Desserts!A:D,4,FALSE)) * F231</f>
        <v>82.5</v>
      </c>
    </row>
    <row r="232" spans="1:10" x14ac:dyDescent="0.3">
      <c r="A232" t="s">
        <v>1033</v>
      </c>
      <c r="B232" t="s">
        <v>1034</v>
      </c>
      <c r="C232" t="s">
        <v>507</v>
      </c>
      <c r="D232" t="s">
        <v>214</v>
      </c>
      <c r="E232" t="s">
        <v>543</v>
      </c>
      <c r="F232">
        <v>2</v>
      </c>
      <c r="G232">
        <v>216</v>
      </c>
      <c r="H232" t="str">
        <f>IF(VLOOKUP(C232,Customers!A:E,5,FALSE)&gt;=1000,"YES","NO")</f>
        <v>NO</v>
      </c>
      <c r="I232">
        <f t="shared" si="3"/>
        <v>216</v>
      </c>
      <c r="J232">
        <f>(I232 - VLOOKUP(E232,Desserts!A:D,4,FALSE)) * F232</f>
        <v>286</v>
      </c>
    </row>
    <row r="233" spans="1:10" x14ac:dyDescent="0.3">
      <c r="A233" t="s">
        <v>1035</v>
      </c>
      <c r="B233" t="s">
        <v>1036</v>
      </c>
      <c r="C233" t="s">
        <v>433</v>
      </c>
      <c r="D233" t="s">
        <v>253</v>
      </c>
      <c r="E233" t="s">
        <v>565</v>
      </c>
      <c r="F233">
        <v>3</v>
      </c>
      <c r="G233">
        <v>160</v>
      </c>
      <c r="H233" t="str">
        <f>IF(VLOOKUP(C233,Customers!A:E,5,FALSE)&gt;=1000,"YES","NO")</f>
        <v>YES</v>
      </c>
      <c r="I233">
        <f t="shared" si="3"/>
        <v>80</v>
      </c>
      <c r="J233">
        <f>(I233 - VLOOKUP(E233,Desserts!A:D,4,FALSE)) * F233</f>
        <v>117</v>
      </c>
    </row>
    <row r="234" spans="1:10" x14ac:dyDescent="0.3">
      <c r="A234" t="s">
        <v>1037</v>
      </c>
      <c r="B234" t="s">
        <v>1038</v>
      </c>
      <c r="C234" t="s">
        <v>401</v>
      </c>
      <c r="D234" t="s">
        <v>235</v>
      </c>
      <c r="E234" t="s">
        <v>593</v>
      </c>
      <c r="F234">
        <v>4</v>
      </c>
      <c r="G234">
        <v>110</v>
      </c>
      <c r="H234" t="str">
        <f>IF(VLOOKUP(C234,Customers!A:E,5,FALSE)&gt;=1000,"YES","NO")</f>
        <v>YES</v>
      </c>
      <c r="I234">
        <f t="shared" si="3"/>
        <v>55</v>
      </c>
      <c r="J234">
        <f>(I234 - VLOOKUP(E234,Desserts!A:D,4,FALSE)) * F234</f>
        <v>4</v>
      </c>
    </row>
    <row r="235" spans="1:10" x14ac:dyDescent="0.3">
      <c r="A235" t="s">
        <v>1039</v>
      </c>
      <c r="B235" t="s">
        <v>659</v>
      </c>
      <c r="C235" t="s">
        <v>331</v>
      </c>
      <c r="D235" t="s">
        <v>190</v>
      </c>
      <c r="E235" t="s">
        <v>561</v>
      </c>
      <c r="F235">
        <v>3</v>
      </c>
      <c r="G235">
        <v>103</v>
      </c>
      <c r="H235" t="str">
        <f>IF(VLOOKUP(C235,Customers!A:E,5,FALSE)&gt;=1000,"YES","NO")</f>
        <v>YES</v>
      </c>
      <c r="I235">
        <f t="shared" si="3"/>
        <v>51.5</v>
      </c>
      <c r="J235">
        <f>(I235 - VLOOKUP(E235,Desserts!A:D,4,FALSE)) * F235</f>
        <v>-34.5</v>
      </c>
    </row>
    <row r="236" spans="1:10" x14ac:dyDescent="0.3">
      <c r="A236" t="s">
        <v>1040</v>
      </c>
      <c r="B236" t="s">
        <v>1021</v>
      </c>
      <c r="C236" t="s">
        <v>499</v>
      </c>
      <c r="D236" t="s">
        <v>166</v>
      </c>
      <c r="E236" t="s">
        <v>595</v>
      </c>
      <c r="F236">
        <v>1</v>
      </c>
      <c r="G236">
        <v>207</v>
      </c>
      <c r="H236" t="str">
        <f>IF(VLOOKUP(C236,Customers!A:E,5,FALSE)&gt;=1000,"YES","NO")</f>
        <v>NO</v>
      </c>
      <c r="I236">
        <f t="shared" si="3"/>
        <v>207</v>
      </c>
      <c r="J236">
        <f>(I236 - VLOOKUP(E236,Desserts!A:D,4,FALSE)) * F236</f>
        <v>137</v>
      </c>
    </row>
    <row r="237" spans="1:10" x14ac:dyDescent="0.3">
      <c r="A237" t="s">
        <v>1041</v>
      </c>
      <c r="B237" t="s">
        <v>1023</v>
      </c>
      <c r="C237" t="s">
        <v>411</v>
      </c>
      <c r="D237" t="s">
        <v>202</v>
      </c>
      <c r="E237" t="s">
        <v>553</v>
      </c>
      <c r="F237">
        <v>5</v>
      </c>
      <c r="G237">
        <v>145</v>
      </c>
      <c r="H237" t="str">
        <f>IF(VLOOKUP(C237,Customers!A:E,5,FALSE)&gt;=1000,"YES","NO")</f>
        <v>NO</v>
      </c>
      <c r="I237">
        <f t="shared" si="3"/>
        <v>145</v>
      </c>
      <c r="J237">
        <f>(I237 - VLOOKUP(E237,Desserts!A:D,4,FALSE)) * F237</f>
        <v>425</v>
      </c>
    </row>
    <row r="238" spans="1:10" x14ac:dyDescent="0.3">
      <c r="A238" t="s">
        <v>1042</v>
      </c>
      <c r="B238" t="s">
        <v>1043</v>
      </c>
      <c r="C238" t="s">
        <v>437</v>
      </c>
      <c r="D238" t="s">
        <v>139</v>
      </c>
      <c r="E238" t="s">
        <v>541</v>
      </c>
      <c r="F238">
        <v>1</v>
      </c>
      <c r="G238">
        <v>179</v>
      </c>
      <c r="H238" t="str">
        <f>IF(VLOOKUP(C238,Customers!A:E,5,FALSE)&gt;=1000,"YES","NO")</f>
        <v>NO</v>
      </c>
      <c r="I238">
        <f t="shared" si="3"/>
        <v>179</v>
      </c>
      <c r="J238">
        <f>(I238 - VLOOKUP(E238,Desserts!A:D,4,FALSE)) * F238</f>
        <v>122</v>
      </c>
    </row>
    <row r="239" spans="1:10" x14ac:dyDescent="0.3">
      <c r="A239" t="s">
        <v>1044</v>
      </c>
      <c r="B239" t="s">
        <v>632</v>
      </c>
      <c r="C239" t="s">
        <v>495</v>
      </c>
      <c r="D239" t="s">
        <v>208</v>
      </c>
      <c r="E239" t="s">
        <v>557</v>
      </c>
      <c r="F239">
        <v>4</v>
      </c>
      <c r="G239">
        <v>243</v>
      </c>
      <c r="H239" t="str">
        <f>IF(VLOOKUP(C239,Customers!A:E,5,FALSE)&gt;=1000,"YES","NO")</f>
        <v>NO</v>
      </c>
      <c r="I239">
        <f t="shared" si="3"/>
        <v>243</v>
      </c>
      <c r="J239">
        <f>(I239 - VLOOKUP(E239,Desserts!A:D,4,FALSE)) * F239</f>
        <v>636</v>
      </c>
    </row>
    <row r="240" spans="1:10" x14ac:dyDescent="0.3">
      <c r="A240" t="s">
        <v>1045</v>
      </c>
      <c r="B240" t="s">
        <v>915</v>
      </c>
      <c r="C240" t="s">
        <v>501</v>
      </c>
      <c r="D240" t="s">
        <v>211</v>
      </c>
      <c r="E240" t="s">
        <v>617</v>
      </c>
      <c r="F240">
        <v>3</v>
      </c>
      <c r="G240">
        <v>242</v>
      </c>
      <c r="H240" t="str">
        <f>IF(VLOOKUP(C240,Customers!A:E,5,FALSE)&gt;=1000,"YES","NO")</f>
        <v>YES</v>
      </c>
      <c r="I240">
        <f t="shared" si="3"/>
        <v>121</v>
      </c>
      <c r="J240">
        <f>(I240 - VLOOKUP(E240,Desserts!A:D,4,FALSE)) * F240</f>
        <v>240</v>
      </c>
    </row>
    <row r="241" spans="1:10" x14ac:dyDescent="0.3">
      <c r="A241" t="s">
        <v>1046</v>
      </c>
      <c r="B241" t="s">
        <v>1047</v>
      </c>
      <c r="C241" t="s">
        <v>399</v>
      </c>
      <c r="D241" t="s">
        <v>178</v>
      </c>
      <c r="E241" t="s">
        <v>563</v>
      </c>
      <c r="F241">
        <v>3</v>
      </c>
      <c r="G241">
        <v>238</v>
      </c>
      <c r="H241" t="str">
        <f>IF(VLOOKUP(C241,Customers!A:E,5,FALSE)&gt;=1000,"YES","NO")</f>
        <v>YES</v>
      </c>
      <c r="I241">
        <f t="shared" si="3"/>
        <v>119</v>
      </c>
      <c r="J241">
        <f>(I241 - VLOOKUP(E241,Desserts!A:D,4,FALSE)) * F241</f>
        <v>162</v>
      </c>
    </row>
    <row r="242" spans="1:10" x14ac:dyDescent="0.3">
      <c r="A242" t="s">
        <v>1048</v>
      </c>
      <c r="B242" t="s">
        <v>1049</v>
      </c>
      <c r="C242" t="s">
        <v>451</v>
      </c>
      <c r="D242" t="s">
        <v>187</v>
      </c>
      <c r="E242" t="s">
        <v>541</v>
      </c>
      <c r="F242">
        <v>4</v>
      </c>
      <c r="G242">
        <v>196</v>
      </c>
      <c r="H242" t="str">
        <f>IF(VLOOKUP(C242,Customers!A:E,5,FALSE)&gt;=1000,"YES","NO")</f>
        <v>NO</v>
      </c>
      <c r="I242">
        <f t="shared" si="3"/>
        <v>196</v>
      </c>
      <c r="J242">
        <f>(I242 - VLOOKUP(E242,Desserts!A:D,4,FALSE)) * F242</f>
        <v>556</v>
      </c>
    </row>
    <row r="243" spans="1:10" x14ac:dyDescent="0.3">
      <c r="A243" t="s">
        <v>1050</v>
      </c>
      <c r="B243" t="s">
        <v>1051</v>
      </c>
      <c r="C243" t="s">
        <v>437</v>
      </c>
      <c r="D243" t="s">
        <v>30</v>
      </c>
      <c r="E243" t="s">
        <v>589</v>
      </c>
      <c r="F243">
        <v>3</v>
      </c>
      <c r="G243">
        <v>204</v>
      </c>
      <c r="H243" t="str">
        <f>IF(VLOOKUP(C243,Customers!A:E,5,FALSE)&gt;=1000,"YES","NO")</f>
        <v>NO</v>
      </c>
      <c r="I243">
        <f t="shared" si="3"/>
        <v>204</v>
      </c>
      <c r="J243">
        <f>(I243 - VLOOKUP(E243,Desserts!A:D,4,FALSE)) * F243</f>
        <v>399</v>
      </c>
    </row>
    <row r="244" spans="1:10" x14ac:dyDescent="0.3">
      <c r="A244" t="s">
        <v>1052</v>
      </c>
      <c r="B244" t="s">
        <v>677</v>
      </c>
      <c r="C244" t="s">
        <v>399</v>
      </c>
      <c r="D244" t="s">
        <v>154</v>
      </c>
      <c r="E244" t="s">
        <v>613</v>
      </c>
      <c r="F244">
        <v>1</v>
      </c>
      <c r="G244">
        <v>224</v>
      </c>
      <c r="H244" t="str">
        <f>IF(VLOOKUP(C244,Customers!A:E,5,FALSE)&gt;=1000,"YES","NO")</f>
        <v>YES</v>
      </c>
      <c r="I244">
        <f t="shared" si="3"/>
        <v>112</v>
      </c>
      <c r="J244">
        <f>(I244 - VLOOKUP(E244,Desserts!A:D,4,FALSE)) * F244</f>
        <v>27</v>
      </c>
    </row>
    <row r="245" spans="1:10" x14ac:dyDescent="0.3">
      <c r="A245" t="s">
        <v>1053</v>
      </c>
      <c r="B245" t="s">
        <v>1054</v>
      </c>
      <c r="C245" t="s">
        <v>375</v>
      </c>
      <c r="D245" t="s">
        <v>130</v>
      </c>
      <c r="E245" t="s">
        <v>545</v>
      </c>
      <c r="F245">
        <v>5</v>
      </c>
      <c r="G245">
        <v>232</v>
      </c>
      <c r="H245" t="str">
        <f>IF(VLOOKUP(C245,Customers!A:E,5,FALSE)&gt;=1000,"YES","NO")</f>
        <v>NO</v>
      </c>
      <c r="I245">
        <f t="shared" si="3"/>
        <v>232</v>
      </c>
      <c r="J245">
        <f>(I245 - VLOOKUP(E245,Desserts!A:D,4,FALSE)) * F245</f>
        <v>935</v>
      </c>
    </row>
    <row r="246" spans="1:10" x14ac:dyDescent="0.3">
      <c r="A246" t="s">
        <v>1055</v>
      </c>
      <c r="B246" t="s">
        <v>725</v>
      </c>
      <c r="C246" t="s">
        <v>499</v>
      </c>
      <c r="D246" t="s">
        <v>151</v>
      </c>
      <c r="E246" t="s">
        <v>615</v>
      </c>
      <c r="F246">
        <v>5</v>
      </c>
      <c r="G246">
        <v>141</v>
      </c>
      <c r="H246" t="str">
        <f>IF(VLOOKUP(C246,Customers!A:E,5,FALSE)&gt;=1000,"YES","NO")</f>
        <v>NO</v>
      </c>
      <c r="I246">
        <f t="shared" si="3"/>
        <v>141</v>
      </c>
      <c r="J246">
        <f>(I246 - VLOOKUP(E246,Desserts!A:D,4,FALSE)) * F246</f>
        <v>495</v>
      </c>
    </row>
    <row r="247" spans="1:10" x14ac:dyDescent="0.3">
      <c r="A247" t="s">
        <v>1056</v>
      </c>
      <c r="B247" t="s">
        <v>757</v>
      </c>
      <c r="C247" t="s">
        <v>357</v>
      </c>
      <c r="D247" t="s">
        <v>66</v>
      </c>
      <c r="E247" t="s">
        <v>595</v>
      </c>
      <c r="F247">
        <v>2</v>
      </c>
      <c r="G247">
        <v>179</v>
      </c>
      <c r="H247" t="str">
        <f>IF(VLOOKUP(C247,Customers!A:E,5,FALSE)&gt;=1000,"YES","NO")</f>
        <v>NO</v>
      </c>
      <c r="I247">
        <f t="shared" si="3"/>
        <v>179</v>
      </c>
      <c r="J247">
        <f>(I247 - VLOOKUP(E247,Desserts!A:D,4,FALSE)) * F247</f>
        <v>218</v>
      </c>
    </row>
    <row r="248" spans="1:10" x14ac:dyDescent="0.3">
      <c r="A248" t="s">
        <v>1057</v>
      </c>
      <c r="B248" t="s">
        <v>713</v>
      </c>
      <c r="C248" t="s">
        <v>431</v>
      </c>
      <c r="D248" t="s">
        <v>63</v>
      </c>
      <c r="E248" t="s">
        <v>583</v>
      </c>
      <c r="F248">
        <v>2</v>
      </c>
      <c r="G248">
        <v>156</v>
      </c>
      <c r="H248" t="str">
        <f>IF(VLOOKUP(C248,Customers!A:E,5,FALSE)&gt;=1000,"YES","NO")</f>
        <v>YES</v>
      </c>
      <c r="I248">
        <f t="shared" si="3"/>
        <v>78</v>
      </c>
      <c r="J248">
        <f>(I248 - VLOOKUP(E248,Desserts!A:D,4,FALSE)) * F248</f>
        <v>-10</v>
      </c>
    </row>
    <row r="249" spans="1:10" x14ac:dyDescent="0.3">
      <c r="A249" t="s">
        <v>1058</v>
      </c>
      <c r="B249" t="s">
        <v>1059</v>
      </c>
      <c r="C249" t="s">
        <v>427</v>
      </c>
      <c r="D249" t="s">
        <v>169</v>
      </c>
      <c r="E249" t="s">
        <v>523</v>
      </c>
      <c r="F249">
        <v>3</v>
      </c>
      <c r="G249">
        <v>219</v>
      </c>
      <c r="H249" t="str">
        <f>IF(VLOOKUP(C249,Customers!A:E,5,FALSE)&gt;=1000,"YES","NO")</f>
        <v>NO</v>
      </c>
      <c r="I249">
        <f t="shared" si="3"/>
        <v>219</v>
      </c>
      <c r="J249">
        <f>(I249 - VLOOKUP(E249,Desserts!A:D,4,FALSE)) * F249</f>
        <v>453</v>
      </c>
    </row>
    <row r="250" spans="1:10" x14ac:dyDescent="0.3">
      <c r="A250" t="s">
        <v>1060</v>
      </c>
      <c r="B250" t="s">
        <v>965</v>
      </c>
      <c r="C250" t="s">
        <v>503</v>
      </c>
      <c r="D250" t="s">
        <v>187</v>
      </c>
      <c r="E250" t="s">
        <v>619</v>
      </c>
      <c r="F250">
        <v>4</v>
      </c>
      <c r="G250">
        <v>109</v>
      </c>
      <c r="H250" t="str">
        <f>IF(VLOOKUP(C250,Customers!A:E,5,FALSE)&gt;=1000,"YES","NO")</f>
        <v>NO</v>
      </c>
      <c r="I250">
        <f t="shared" si="3"/>
        <v>109</v>
      </c>
      <c r="J250">
        <f>(I250 - VLOOKUP(E250,Desserts!A:D,4,FALSE)) * F250</f>
        <v>112</v>
      </c>
    </row>
    <row r="251" spans="1:10" x14ac:dyDescent="0.3">
      <c r="A251" t="s">
        <v>1061</v>
      </c>
      <c r="B251" t="s">
        <v>1062</v>
      </c>
      <c r="C251" t="s">
        <v>471</v>
      </c>
      <c r="D251" t="s">
        <v>223</v>
      </c>
      <c r="E251" t="s">
        <v>551</v>
      </c>
      <c r="F251">
        <v>3</v>
      </c>
      <c r="G251">
        <v>103</v>
      </c>
      <c r="H251" t="str">
        <f>IF(VLOOKUP(C251,Customers!A:E,5,FALSE)&gt;=1000,"YES","NO")</f>
        <v>NO</v>
      </c>
      <c r="I251">
        <f t="shared" si="3"/>
        <v>103</v>
      </c>
      <c r="J251">
        <f>(I251 - VLOOKUP(E251,Desserts!A:D,4,FALSE)) * F251</f>
        <v>102</v>
      </c>
    </row>
    <row r="252" spans="1:10" x14ac:dyDescent="0.3">
      <c r="A252" t="s">
        <v>1063</v>
      </c>
      <c r="B252" t="s">
        <v>1064</v>
      </c>
      <c r="C252" t="s">
        <v>503</v>
      </c>
      <c r="D252" t="s">
        <v>27</v>
      </c>
      <c r="E252" t="s">
        <v>553</v>
      </c>
      <c r="F252">
        <v>1</v>
      </c>
      <c r="G252">
        <v>223</v>
      </c>
      <c r="H252" t="str">
        <f>IF(VLOOKUP(C252,Customers!A:E,5,FALSE)&gt;=1000,"YES","NO")</f>
        <v>NO</v>
      </c>
      <c r="I252">
        <f t="shared" si="3"/>
        <v>223</v>
      </c>
      <c r="J252">
        <f>(I252 - VLOOKUP(E252,Desserts!A:D,4,FALSE)) * F252</f>
        <v>163</v>
      </c>
    </row>
    <row r="253" spans="1:10" x14ac:dyDescent="0.3">
      <c r="A253" t="s">
        <v>1065</v>
      </c>
      <c r="B253" t="s">
        <v>1066</v>
      </c>
      <c r="C253" t="s">
        <v>397</v>
      </c>
      <c r="D253" t="s">
        <v>199</v>
      </c>
      <c r="E253" t="s">
        <v>527</v>
      </c>
      <c r="F253">
        <v>2</v>
      </c>
      <c r="G253">
        <v>101</v>
      </c>
      <c r="H253" t="str">
        <f>IF(VLOOKUP(C253,Customers!A:E,5,FALSE)&gt;=1000,"YES","NO")</f>
        <v>NO</v>
      </c>
      <c r="I253">
        <f t="shared" si="3"/>
        <v>101</v>
      </c>
      <c r="J253">
        <f>(I253 - VLOOKUP(E253,Desserts!A:D,4,FALSE)) * F253</f>
        <v>116</v>
      </c>
    </row>
    <row r="254" spans="1:10" x14ac:dyDescent="0.3">
      <c r="A254" t="s">
        <v>1067</v>
      </c>
      <c r="B254" t="s">
        <v>1068</v>
      </c>
      <c r="C254" t="s">
        <v>367</v>
      </c>
      <c r="D254" t="s">
        <v>196</v>
      </c>
      <c r="E254" t="s">
        <v>575</v>
      </c>
      <c r="F254">
        <v>1</v>
      </c>
      <c r="G254">
        <v>160</v>
      </c>
      <c r="H254" t="str">
        <f>IF(VLOOKUP(C254,Customers!A:E,5,FALSE)&gt;=1000,"YES","NO")</f>
        <v>NO</v>
      </c>
      <c r="I254">
        <f t="shared" si="3"/>
        <v>160</v>
      </c>
      <c r="J254">
        <f>(I254 - VLOOKUP(E254,Desserts!A:D,4,FALSE)) * F254</f>
        <v>85</v>
      </c>
    </row>
    <row r="255" spans="1:10" x14ac:dyDescent="0.3">
      <c r="A255" t="s">
        <v>1069</v>
      </c>
      <c r="B255" t="s">
        <v>968</v>
      </c>
      <c r="C255" t="s">
        <v>359</v>
      </c>
      <c r="D255" t="s">
        <v>151</v>
      </c>
      <c r="E255" t="s">
        <v>597</v>
      </c>
      <c r="F255">
        <v>4</v>
      </c>
      <c r="G255">
        <v>110</v>
      </c>
      <c r="H255" t="str">
        <f>IF(VLOOKUP(C255,Customers!A:E,5,FALSE)&gt;=1000,"YES","NO")</f>
        <v>YES</v>
      </c>
      <c r="I255">
        <f t="shared" si="3"/>
        <v>55</v>
      </c>
      <c r="J255">
        <f>(I255 - VLOOKUP(E255,Desserts!A:D,4,FALSE)) * F255</f>
        <v>40</v>
      </c>
    </row>
    <row r="256" spans="1:10" x14ac:dyDescent="0.3">
      <c r="A256" t="s">
        <v>1070</v>
      </c>
      <c r="B256" t="s">
        <v>1071</v>
      </c>
      <c r="C256" t="s">
        <v>389</v>
      </c>
      <c r="D256" t="s">
        <v>187</v>
      </c>
      <c r="E256" t="s">
        <v>605</v>
      </c>
      <c r="F256">
        <v>5</v>
      </c>
      <c r="G256">
        <v>155</v>
      </c>
      <c r="H256" t="str">
        <f>IF(VLOOKUP(C256,Customers!A:E,5,FALSE)&gt;=1000,"YES","NO")</f>
        <v>YES</v>
      </c>
      <c r="I256">
        <f t="shared" si="3"/>
        <v>77.5</v>
      </c>
      <c r="J256">
        <f>(I256 - VLOOKUP(E256,Desserts!A:D,4,FALSE)) * F256</f>
        <v>77.5</v>
      </c>
    </row>
    <row r="257" spans="1:10" x14ac:dyDescent="0.3">
      <c r="A257" t="s">
        <v>1072</v>
      </c>
      <c r="B257" t="s">
        <v>1073</v>
      </c>
      <c r="C257" t="s">
        <v>507</v>
      </c>
      <c r="D257" t="s">
        <v>91</v>
      </c>
      <c r="E257" t="s">
        <v>599</v>
      </c>
      <c r="F257">
        <v>3</v>
      </c>
      <c r="G257">
        <v>236</v>
      </c>
      <c r="H257" t="str">
        <f>IF(VLOOKUP(C257,Customers!A:E,5,FALSE)&gt;=1000,"YES","NO")</f>
        <v>NO</v>
      </c>
      <c r="I257">
        <f t="shared" si="3"/>
        <v>236</v>
      </c>
      <c r="J257">
        <f>(I257 - VLOOKUP(E257,Desserts!A:D,4,FALSE)) * F257</f>
        <v>468</v>
      </c>
    </row>
    <row r="258" spans="1:10" x14ac:dyDescent="0.3">
      <c r="A258" t="s">
        <v>1074</v>
      </c>
      <c r="B258" t="s">
        <v>1075</v>
      </c>
      <c r="C258" t="s">
        <v>405</v>
      </c>
      <c r="D258" t="s">
        <v>166</v>
      </c>
      <c r="E258" t="s">
        <v>531</v>
      </c>
      <c r="F258">
        <v>1</v>
      </c>
      <c r="G258">
        <v>186</v>
      </c>
      <c r="H258" t="str">
        <f>IF(VLOOKUP(C258,Customers!A:E,5,FALSE)&gt;=1000,"YES","NO")</f>
        <v>YES</v>
      </c>
      <c r="I258">
        <f t="shared" ref="I258:I321" si="4">IF(H258="YES",G258*0.5,G258)</f>
        <v>93</v>
      </c>
      <c r="J258">
        <f>(I258 - VLOOKUP(E258,Desserts!A:D,4,FALSE)) * F258</f>
        <v>8</v>
      </c>
    </row>
    <row r="259" spans="1:10" x14ac:dyDescent="0.3">
      <c r="A259" t="s">
        <v>1076</v>
      </c>
      <c r="B259" t="s">
        <v>731</v>
      </c>
      <c r="C259" t="s">
        <v>501</v>
      </c>
      <c r="D259" t="s">
        <v>301</v>
      </c>
      <c r="E259" t="s">
        <v>567</v>
      </c>
      <c r="F259">
        <v>4</v>
      </c>
      <c r="G259">
        <v>153</v>
      </c>
      <c r="H259" t="str">
        <f>IF(VLOOKUP(C259,Customers!A:E,5,FALSE)&gt;=1000,"YES","NO")</f>
        <v>YES</v>
      </c>
      <c r="I259">
        <f t="shared" si="4"/>
        <v>76.5</v>
      </c>
      <c r="J259">
        <f>(I259 - VLOOKUP(E259,Desserts!A:D,4,FALSE)) * F259</f>
        <v>82</v>
      </c>
    </row>
    <row r="260" spans="1:10" x14ac:dyDescent="0.3">
      <c r="A260" t="s">
        <v>1077</v>
      </c>
      <c r="B260" t="s">
        <v>1078</v>
      </c>
      <c r="C260" t="s">
        <v>501</v>
      </c>
      <c r="D260" t="s">
        <v>250</v>
      </c>
      <c r="E260" t="s">
        <v>543</v>
      </c>
      <c r="F260">
        <v>2</v>
      </c>
      <c r="G260">
        <v>185</v>
      </c>
      <c r="H260" t="str">
        <f>IF(VLOOKUP(C260,Customers!A:E,5,FALSE)&gt;=1000,"YES","NO")</f>
        <v>YES</v>
      </c>
      <c r="I260">
        <f t="shared" si="4"/>
        <v>92.5</v>
      </c>
      <c r="J260">
        <f>(I260 - VLOOKUP(E260,Desserts!A:D,4,FALSE)) * F260</f>
        <v>39</v>
      </c>
    </row>
    <row r="261" spans="1:10" x14ac:dyDescent="0.3">
      <c r="A261" t="s">
        <v>1079</v>
      </c>
      <c r="B261" t="s">
        <v>952</v>
      </c>
      <c r="C261" t="s">
        <v>391</v>
      </c>
      <c r="D261" t="s">
        <v>193</v>
      </c>
      <c r="E261" t="s">
        <v>615</v>
      </c>
      <c r="F261">
        <v>5</v>
      </c>
      <c r="G261">
        <v>110</v>
      </c>
      <c r="H261" t="str">
        <f>IF(VLOOKUP(C261,Customers!A:E,5,FALSE)&gt;=1000,"YES","NO")</f>
        <v>YES</v>
      </c>
      <c r="I261">
        <f t="shared" si="4"/>
        <v>55</v>
      </c>
      <c r="J261">
        <f>(I261 - VLOOKUP(E261,Desserts!A:D,4,FALSE)) * F261</f>
        <v>65</v>
      </c>
    </row>
    <row r="262" spans="1:10" x14ac:dyDescent="0.3">
      <c r="A262" t="s">
        <v>1080</v>
      </c>
      <c r="B262" t="s">
        <v>1081</v>
      </c>
      <c r="C262" t="s">
        <v>455</v>
      </c>
      <c r="D262" t="s">
        <v>298</v>
      </c>
      <c r="E262" t="s">
        <v>525</v>
      </c>
      <c r="F262">
        <v>5</v>
      </c>
      <c r="G262">
        <v>164</v>
      </c>
      <c r="H262" t="str">
        <f>IF(VLOOKUP(C262,Customers!A:E,5,FALSE)&gt;=1000,"YES","NO")</f>
        <v>YES</v>
      </c>
      <c r="I262">
        <f t="shared" si="4"/>
        <v>82</v>
      </c>
      <c r="J262">
        <f>(I262 - VLOOKUP(E262,Desserts!A:D,4,FALSE)) * F262</f>
        <v>-10</v>
      </c>
    </row>
    <row r="263" spans="1:10" x14ac:dyDescent="0.3">
      <c r="A263" t="s">
        <v>1082</v>
      </c>
      <c r="B263" t="s">
        <v>901</v>
      </c>
      <c r="C263" t="s">
        <v>455</v>
      </c>
      <c r="D263" t="s">
        <v>57</v>
      </c>
      <c r="E263" t="s">
        <v>575</v>
      </c>
      <c r="F263">
        <v>5</v>
      </c>
      <c r="G263">
        <v>232</v>
      </c>
      <c r="H263" t="str">
        <f>IF(VLOOKUP(C263,Customers!A:E,5,FALSE)&gt;=1000,"YES","NO")</f>
        <v>YES</v>
      </c>
      <c r="I263">
        <f t="shared" si="4"/>
        <v>116</v>
      </c>
      <c r="J263">
        <f>(I263 - VLOOKUP(E263,Desserts!A:D,4,FALSE)) * F263</f>
        <v>205</v>
      </c>
    </row>
    <row r="264" spans="1:10" x14ac:dyDescent="0.3">
      <c r="A264" t="s">
        <v>1083</v>
      </c>
      <c r="B264" t="s">
        <v>1073</v>
      </c>
      <c r="C264" t="s">
        <v>379</v>
      </c>
      <c r="D264" t="s">
        <v>13</v>
      </c>
      <c r="E264" t="s">
        <v>569</v>
      </c>
      <c r="F264">
        <v>3</v>
      </c>
      <c r="G264">
        <v>227</v>
      </c>
      <c r="H264" t="str">
        <f>IF(VLOOKUP(C264,Customers!A:E,5,FALSE)&gt;=1000,"YES","NO")</f>
        <v>NO</v>
      </c>
      <c r="I264">
        <f t="shared" si="4"/>
        <v>227</v>
      </c>
      <c r="J264">
        <f>(I264 - VLOOKUP(E264,Desserts!A:D,4,FALSE)) * F264</f>
        <v>450</v>
      </c>
    </row>
    <row r="265" spans="1:10" x14ac:dyDescent="0.3">
      <c r="A265" t="s">
        <v>1084</v>
      </c>
      <c r="B265" t="s">
        <v>1085</v>
      </c>
      <c r="C265" t="s">
        <v>357</v>
      </c>
      <c r="D265" t="s">
        <v>5</v>
      </c>
      <c r="E265" t="s">
        <v>617</v>
      </c>
      <c r="F265">
        <v>3</v>
      </c>
      <c r="G265">
        <v>248</v>
      </c>
      <c r="H265" t="str">
        <f>IF(VLOOKUP(C265,Customers!A:E,5,FALSE)&gt;=1000,"YES","NO")</f>
        <v>NO</v>
      </c>
      <c r="I265">
        <f t="shared" si="4"/>
        <v>248</v>
      </c>
      <c r="J265">
        <f>(I265 - VLOOKUP(E265,Desserts!A:D,4,FALSE)) * F265</f>
        <v>621</v>
      </c>
    </row>
    <row r="266" spans="1:10" x14ac:dyDescent="0.3">
      <c r="A266" t="s">
        <v>1086</v>
      </c>
      <c r="B266" t="s">
        <v>864</v>
      </c>
      <c r="C266" t="s">
        <v>439</v>
      </c>
      <c r="D266" t="s">
        <v>196</v>
      </c>
      <c r="E266" t="s">
        <v>567</v>
      </c>
      <c r="F266">
        <v>2</v>
      </c>
      <c r="G266">
        <v>136</v>
      </c>
      <c r="H266" t="str">
        <f>IF(VLOOKUP(C266,Customers!A:E,5,FALSE)&gt;=1000,"YES","NO")</f>
        <v>YES</v>
      </c>
      <c r="I266">
        <f t="shared" si="4"/>
        <v>68</v>
      </c>
      <c r="J266">
        <f>(I266 - VLOOKUP(E266,Desserts!A:D,4,FALSE)) * F266</f>
        <v>24</v>
      </c>
    </row>
    <row r="267" spans="1:10" x14ac:dyDescent="0.3">
      <c r="A267" t="s">
        <v>1087</v>
      </c>
      <c r="B267" t="s">
        <v>719</v>
      </c>
      <c r="C267" t="s">
        <v>351</v>
      </c>
      <c r="D267" t="s">
        <v>256</v>
      </c>
      <c r="E267" t="s">
        <v>617</v>
      </c>
      <c r="F267">
        <v>5</v>
      </c>
      <c r="G267">
        <v>181</v>
      </c>
      <c r="H267" t="str">
        <f>IF(VLOOKUP(C267,Customers!A:E,5,FALSE)&gt;=1000,"YES","NO")</f>
        <v>NO</v>
      </c>
      <c r="I267">
        <f t="shared" si="4"/>
        <v>181</v>
      </c>
      <c r="J267">
        <f>(I267 - VLOOKUP(E267,Desserts!A:D,4,FALSE)) * F267</f>
        <v>700</v>
      </c>
    </row>
    <row r="268" spans="1:10" x14ac:dyDescent="0.3">
      <c r="A268" t="s">
        <v>1088</v>
      </c>
      <c r="B268" t="s">
        <v>938</v>
      </c>
      <c r="C268" t="s">
        <v>511</v>
      </c>
      <c r="D268" t="s">
        <v>151</v>
      </c>
      <c r="E268" t="s">
        <v>585</v>
      </c>
      <c r="F268">
        <v>4</v>
      </c>
      <c r="G268">
        <v>128</v>
      </c>
      <c r="H268" t="str">
        <f>IF(VLOOKUP(C268,Customers!A:E,5,FALSE)&gt;=1000,"YES","NO")</f>
        <v>YES</v>
      </c>
      <c r="I268">
        <f t="shared" si="4"/>
        <v>64</v>
      </c>
      <c r="J268">
        <f>(I268 - VLOOKUP(E268,Desserts!A:D,4,FALSE)) * F268</f>
        <v>68</v>
      </c>
    </row>
    <row r="269" spans="1:10" x14ac:dyDescent="0.3">
      <c r="A269" t="s">
        <v>1089</v>
      </c>
      <c r="B269" t="s">
        <v>1090</v>
      </c>
      <c r="C269" t="s">
        <v>445</v>
      </c>
      <c r="D269" t="s">
        <v>145</v>
      </c>
      <c r="E269" t="s">
        <v>581</v>
      </c>
      <c r="F269">
        <v>5</v>
      </c>
      <c r="G269">
        <v>145</v>
      </c>
      <c r="H269" t="str">
        <f>IF(VLOOKUP(C269,Customers!A:E,5,FALSE)&gt;=1000,"YES","NO")</f>
        <v>NO</v>
      </c>
      <c r="I269">
        <f t="shared" si="4"/>
        <v>145</v>
      </c>
      <c r="J269">
        <f>(I269 - VLOOKUP(E269,Desserts!A:D,4,FALSE)) * F269</f>
        <v>280</v>
      </c>
    </row>
    <row r="270" spans="1:10" x14ac:dyDescent="0.3">
      <c r="A270" t="s">
        <v>1091</v>
      </c>
      <c r="B270" t="s">
        <v>675</v>
      </c>
      <c r="C270" t="s">
        <v>469</v>
      </c>
      <c r="D270" t="s">
        <v>51</v>
      </c>
      <c r="E270" t="s">
        <v>597</v>
      </c>
      <c r="F270">
        <v>5</v>
      </c>
      <c r="G270">
        <v>196</v>
      </c>
      <c r="H270" t="str">
        <f>IF(VLOOKUP(C270,Customers!A:E,5,FALSE)&gt;=1000,"YES","NO")</f>
        <v>NO</v>
      </c>
      <c r="I270">
        <f t="shared" si="4"/>
        <v>196</v>
      </c>
      <c r="J270">
        <f>(I270 - VLOOKUP(E270,Desserts!A:D,4,FALSE)) * F270</f>
        <v>755</v>
      </c>
    </row>
    <row r="271" spans="1:10" x14ac:dyDescent="0.3">
      <c r="A271" t="s">
        <v>1092</v>
      </c>
      <c r="B271" t="s">
        <v>1016</v>
      </c>
      <c r="C271" t="s">
        <v>509</v>
      </c>
      <c r="D271" t="s">
        <v>27</v>
      </c>
      <c r="E271" t="s">
        <v>529</v>
      </c>
      <c r="F271">
        <v>4</v>
      </c>
      <c r="G271">
        <v>182</v>
      </c>
      <c r="H271" t="str">
        <f>IF(VLOOKUP(C271,Customers!A:E,5,FALSE)&gt;=1000,"YES","NO")</f>
        <v>NO</v>
      </c>
      <c r="I271">
        <f t="shared" si="4"/>
        <v>182</v>
      </c>
      <c r="J271">
        <f>(I271 - VLOOKUP(E271,Desserts!A:D,4,FALSE)) * F271</f>
        <v>456</v>
      </c>
    </row>
    <row r="272" spans="1:10" x14ac:dyDescent="0.3">
      <c r="A272" t="s">
        <v>1093</v>
      </c>
      <c r="B272" t="s">
        <v>1094</v>
      </c>
      <c r="C272" t="s">
        <v>447</v>
      </c>
      <c r="D272" t="s">
        <v>136</v>
      </c>
      <c r="E272" t="s">
        <v>583</v>
      </c>
      <c r="F272">
        <v>3</v>
      </c>
      <c r="G272">
        <v>187</v>
      </c>
      <c r="H272" t="str">
        <f>IF(VLOOKUP(C272,Customers!A:E,5,FALSE)&gt;=1000,"YES","NO")</f>
        <v>YES</v>
      </c>
      <c r="I272">
        <f t="shared" si="4"/>
        <v>93.5</v>
      </c>
      <c r="J272">
        <f>(I272 - VLOOKUP(E272,Desserts!A:D,4,FALSE)) * F272</f>
        <v>31.5</v>
      </c>
    </row>
    <row r="273" spans="1:10" x14ac:dyDescent="0.3">
      <c r="A273" t="s">
        <v>1095</v>
      </c>
      <c r="B273" t="s">
        <v>1096</v>
      </c>
      <c r="C273" t="s">
        <v>427</v>
      </c>
      <c r="D273" t="s">
        <v>199</v>
      </c>
      <c r="E273" t="s">
        <v>615</v>
      </c>
      <c r="F273">
        <v>5</v>
      </c>
      <c r="G273">
        <v>185</v>
      </c>
      <c r="H273" t="str">
        <f>IF(VLOOKUP(C273,Customers!A:E,5,FALSE)&gt;=1000,"YES","NO")</f>
        <v>NO</v>
      </c>
      <c r="I273">
        <f t="shared" si="4"/>
        <v>185</v>
      </c>
      <c r="J273">
        <f>(I273 - VLOOKUP(E273,Desserts!A:D,4,FALSE)) * F273</f>
        <v>715</v>
      </c>
    </row>
    <row r="274" spans="1:10" x14ac:dyDescent="0.3">
      <c r="A274" t="s">
        <v>1097</v>
      </c>
      <c r="B274" t="s">
        <v>1098</v>
      </c>
      <c r="C274" t="s">
        <v>329</v>
      </c>
      <c r="D274" t="s">
        <v>187</v>
      </c>
      <c r="E274" t="s">
        <v>593</v>
      </c>
      <c r="F274">
        <v>4</v>
      </c>
      <c r="G274">
        <v>185</v>
      </c>
      <c r="H274" t="str">
        <f>IF(VLOOKUP(C274,Customers!A:E,5,FALSE)&gt;=1000,"YES","NO")</f>
        <v>YES</v>
      </c>
      <c r="I274">
        <f t="shared" si="4"/>
        <v>92.5</v>
      </c>
      <c r="J274">
        <f>(I274 - VLOOKUP(E274,Desserts!A:D,4,FALSE)) * F274</f>
        <v>154</v>
      </c>
    </row>
    <row r="275" spans="1:10" x14ac:dyDescent="0.3">
      <c r="A275" t="s">
        <v>1099</v>
      </c>
      <c r="B275" t="s">
        <v>1094</v>
      </c>
      <c r="C275" t="s">
        <v>417</v>
      </c>
      <c r="D275" t="s">
        <v>76</v>
      </c>
      <c r="E275" t="s">
        <v>559</v>
      </c>
      <c r="F275">
        <v>5</v>
      </c>
      <c r="G275">
        <v>218</v>
      </c>
      <c r="H275" t="str">
        <f>IF(VLOOKUP(C275,Customers!A:E,5,FALSE)&gt;=1000,"YES","NO")</f>
        <v>YES</v>
      </c>
      <c r="I275">
        <f t="shared" si="4"/>
        <v>109</v>
      </c>
      <c r="J275">
        <f>(I275 - VLOOKUP(E275,Desserts!A:D,4,FALSE)) * F275</f>
        <v>270</v>
      </c>
    </row>
    <row r="276" spans="1:10" x14ac:dyDescent="0.3">
      <c r="A276" t="s">
        <v>1100</v>
      </c>
      <c r="B276" t="s">
        <v>640</v>
      </c>
      <c r="C276" t="s">
        <v>445</v>
      </c>
      <c r="D276" t="s">
        <v>79</v>
      </c>
      <c r="E276" t="s">
        <v>609</v>
      </c>
      <c r="F276">
        <v>5</v>
      </c>
      <c r="G276">
        <v>195</v>
      </c>
      <c r="H276" t="str">
        <f>IF(VLOOKUP(C276,Customers!A:E,5,FALSE)&gt;=1000,"YES","NO")</f>
        <v>NO</v>
      </c>
      <c r="I276">
        <f t="shared" si="4"/>
        <v>195</v>
      </c>
      <c r="J276">
        <f>(I276 - VLOOKUP(E276,Desserts!A:D,4,FALSE)) * F276</f>
        <v>655</v>
      </c>
    </row>
    <row r="277" spans="1:10" x14ac:dyDescent="0.3">
      <c r="A277" t="s">
        <v>1101</v>
      </c>
      <c r="B277" t="s">
        <v>1102</v>
      </c>
      <c r="C277" t="s">
        <v>451</v>
      </c>
      <c r="D277" t="s">
        <v>5</v>
      </c>
      <c r="E277" t="s">
        <v>571</v>
      </c>
      <c r="F277">
        <v>1</v>
      </c>
      <c r="G277">
        <v>244</v>
      </c>
      <c r="H277" t="str">
        <f>IF(VLOOKUP(C277,Customers!A:E,5,FALSE)&gt;=1000,"YES","NO")</f>
        <v>NO</v>
      </c>
      <c r="I277">
        <f t="shared" si="4"/>
        <v>244</v>
      </c>
      <c r="J277">
        <f>(I277 - VLOOKUP(E277,Desserts!A:D,4,FALSE)) * F277</f>
        <v>203</v>
      </c>
    </row>
    <row r="278" spans="1:10" x14ac:dyDescent="0.3">
      <c r="A278" t="s">
        <v>1103</v>
      </c>
      <c r="B278" t="s">
        <v>1104</v>
      </c>
      <c r="C278" t="s">
        <v>445</v>
      </c>
      <c r="D278" t="s">
        <v>88</v>
      </c>
      <c r="E278" t="s">
        <v>601</v>
      </c>
      <c r="F278">
        <v>3</v>
      </c>
      <c r="G278">
        <v>247</v>
      </c>
      <c r="H278" t="str">
        <f>IF(VLOOKUP(C278,Customers!A:E,5,FALSE)&gt;=1000,"YES","NO")</f>
        <v>NO</v>
      </c>
      <c r="I278">
        <f t="shared" si="4"/>
        <v>247</v>
      </c>
      <c r="J278">
        <f>(I278 - VLOOKUP(E278,Desserts!A:D,4,FALSE)) * F278</f>
        <v>576</v>
      </c>
    </row>
    <row r="279" spans="1:10" x14ac:dyDescent="0.3">
      <c r="A279" t="s">
        <v>1105</v>
      </c>
      <c r="B279" t="s">
        <v>878</v>
      </c>
      <c r="C279" t="s">
        <v>407</v>
      </c>
      <c r="D279" t="s">
        <v>106</v>
      </c>
      <c r="E279" t="s">
        <v>547</v>
      </c>
      <c r="F279">
        <v>2</v>
      </c>
      <c r="G279">
        <v>115</v>
      </c>
      <c r="H279" t="str">
        <f>IF(VLOOKUP(C279,Customers!A:E,5,FALSE)&gt;=1000,"YES","NO")</f>
        <v>YES</v>
      </c>
      <c r="I279">
        <f t="shared" si="4"/>
        <v>57.5</v>
      </c>
      <c r="J279">
        <f>(I279 - VLOOKUP(E279,Desserts!A:D,4,FALSE)) * F279</f>
        <v>15</v>
      </c>
    </row>
    <row r="280" spans="1:10" x14ac:dyDescent="0.3">
      <c r="A280" t="s">
        <v>1106</v>
      </c>
      <c r="B280" t="s">
        <v>1107</v>
      </c>
      <c r="C280" t="s">
        <v>505</v>
      </c>
      <c r="D280" t="s">
        <v>136</v>
      </c>
      <c r="E280" t="s">
        <v>585</v>
      </c>
      <c r="F280">
        <v>1</v>
      </c>
      <c r="G280">
        <v>240</v>
      </c>
      <c r="H280" t="str">
        <f>IF(VLOOKUP(C280,Customers!A:E,5,FALSE)&gt;=1000,"YES","NO")</f>
        <v>YES</v>
      </c>
      <c r="I280">
        <f t="shared" si="4"/>
        <v>120</v>
      </c>
      <c r="J280">
        <f>(I280 - VLOOKUP(E280,Desserts!A:D,4,FALSE)) * F280</f>
        <v>73</v>
      </c>
    </row>
    <row r="281" spans="1:10" x14ac:dyDescent="0.3">
      <c r="A281" t="s">
        <v>1108</v>
      </c>
      <c r="B281" t="s">
        <v>899</v>
      </c>
      <c r="C281" t="s">
        <v>327</v>
      </c>
      <c r="D281" t="s">
        <v>166</v>
      </c>
      <c r="E281" t="s">
        <v>609</v>
      </c>
      <c r="F281">
        <v>5</v>
      </c>
      <c r="G281">
        <v>215</v>
      </c>
      <c r="H281" t="str">
        <f>IF(VLOOKUP(C281,Customers!A:E,5,FALSE)&gt;=1000,"YES","NO")</f>
        <v>YES</v>
      </c>
      <c r="I281">
        <f t="shared" si="4"/>
        <v>107.5</v>
      </c>
      <c r="J281">
        <f>(I281 - VLOOKUP(E281,Desserts!A:D,4,FALSE)) * F281</f>
        <v>217.5</v>
      </c>
    </row>
    <row r="282" spans="1:10" x14ac:dyDescent="0.3">
      <c r="A282" t="s">
        <v>1109</v>
      </c>
      <c r="B282" t="s">
        <v>1110</v>
      </c>
      <c r="C282" t="s">
        <v>429</v>
      </c>
      <c r="D282" t="s">
        <v>69</v>
      </c>
      <c r="E282" t="s">
        <v>575</v>
      </c>
      <c r="F282">
        <v>4</v>
      </c>
      <c r="G282">
        <v>220</v>
      </c>
      <c r="H282" t="str">
        <f>IF(VLOOKUP(C282,Customers!A:E,5,FALSE)&gt;=1000,"YES","NO")</f>
        <v>YES</v>
      </c>
      <c r="I282">
        <f t="shared" si="4"/>
        <v>110</v>
      </c>
      <c r="J282">
        <f>(I282 - VLOOKUP(E282,Desserts!A:D,4,FALSE)) * F282</f>
        <v>140</v>
      </c>
    </row>
    <row r="283" spans="1:10" x14ac:dyDescent="0.3">
      <c r="A283" t="s">
        <v>1111</v>
      </c>
      <c r="B283" t="s">
        <v>644</v>
      </c>
      <c r="C283" t="s">
        <v>515</v>
      </c>
      <c r="D283" t="s">
        <v>181</v>
      </c>
      <c r="E283" t="s">
        <v>545</v>
      </c>
      <c r="F283">
        <v>5</v>
      </c>
      <c r="G283">
        <v>168</v>
      </c>
      <c r="H283" t="str">
        <f>IF(VLOOKUP(C283,Customers!A:E,5,FALSE)&gt;=1000,"YES","NO")</f>
        <v>YES</v>
      </c>
      <c r="I283">
        <f t="shared" si="4"/>
        <v>84</v>
      </c>
      <c r="J283">
        <f>(I283 - VLOOKUP(E283,Desserts!A:D,4,FALSE)) * F283</f>
        <v>195</v>
      </c>
    </row>
    <row r="284" spans="1:10" x14ac:dyDescent="0.3">
      <c r="A284" t="s">
        <v>1112</v>
      </c>
      <c r="B284" t="s">
        <v>1113</v>
      </c>
      <c r="C284" t="s">
        <v>413</v>
      </c>
      <c r="D284" t="s">
        <v>91</v>
      </c>
      <c r="E284" t="s">
        <v>559</v>
      </c>
      <c r="F284">
        <v>2</v>
      </c>
      <c r="G284">
        <v>115</v>
      </c>
      <c r="H284" t="str">
        <f>IF(VLOOKUP(C284,Customers!A:E,5,FALSE)&gt;=1000,"YES","NO")</f>
        <v>YES</v>
      </c>
      <c r="I284">
        <f t="shared" si="4"/>
        <v>57.5</v>
      </c>
      <c r="J284">
        <f>(I284 - VLOOKUP(E284,Desserts!A:D,4,FALSE)) * F284</f>
        <v>5</v>
      </c>
    </row>
    <row r="285" spans="1:10" x14ac:dyDescent="0.3">
      <c r="A285" t="s">
        <v>1114</v>
      </c>
      <c r="B285" t="s">
        <v>830</v>
      </c>
      <c r="C285" t="s">
        <v>411</v>
      </c>
      <c r="D285" t="s">
        <v>217</v>
      </c>
      <c r="E285" t="s">
        <v>537</v>
      </c>
      <c r="F285">
        <v>4</v>
      </c>
      <c r="G285">
        <v>127</v>
      </c>
      <c r="H285" t="str">
        <f>IF(VLOOKUP(C285,Customers!A:E,5,FALSE)&gt;=1000,"YES","NO")</f>
        <v>NO</v>
      </c>
      <c r="I285">
        <f t="shared" si="4"/>
        <v>127</v>
      </c>
      <c r="J285">
        <f>(I285 - VLOOKUP(E285,Desserts!A:D,4,FALSE)) * F285</f>
        <v>172</v>
      </c>
    </row>
    <row r="286" spans="1:10" x14ac:dyDescent="0.3">
      <c r="A286" t="s">
        <v>1115</v>
      </c>
      <c r="B286" t="s">
        <v>839</v>
      </c>
      <c r="C286" t="s">
        <v>505</v>
      </c>
      <c r="D286" t="s">
        <v>208</v>
      </c>
      <c r="E286" t="s">
        <v>577</v>
      </c>
      <c r="F286">
        <v>5</v>
      </c>
      <c r="G286">
        <v>192</v>
      </c>
      <c r="H286" t="str">
        <f>IF(VLOOKUP(C286,Customers!A:E,5,FALSE)&gt;=1000,"YES","NO")</f>
        <v>YES</v>
      </c>
      <c r="I286">
        <f t="shared" si="4"/>
        <v>96</v>
      </c>
      <c r="J286">
        <f>(I286 - VLOOKUP(E286,Desserts!A:D,4,FALSE)) * F286</f>
        <v>130</v>
      </c>
    </row>
    <row r="287" spans="1:10" x14ac:dyDescent="0.3">
      <c r="A287" t="s">
        <v>1116</v>
      </c>
      <c r="B287" t="s">
        <v>1117</v>
      </c>
      <c r="C287" t="s">
        <v>345</v>
      </c>
      <c r="D287" t="s">
        <v>271</v>
      </c>
      <c r="E287" t="s">
        <v>547</v>
      </c>
      <c r="F287">
        <v>2</v>
      </c>
      <c r="G287">
        <v>244</v>
      </c>
      <c r="H287" t="str">
        <f>IF(VLOOKUP(C287,Customers!A:E,5,FALSE)&gt;=1000,"YES","NO")</f>
        <v>YES</v>
      </c>
      <c r="I287">
        <f t="shared" si="4"/>
        <v>122</v>
      </c>
      <c r="J287">
        <f>(I287 - VLOOKUP(E287,Desserts!A:D,4,FALSE)) * F287</f>
        <v>144</v>
      </c>
    </row>
    <row r="288" spans="1:10" x14ac:dyDescent="0.3">
      <c r="A288" t="s">
        <v>1118</v>
      </c>
      <c r="B288" t="s">
        <v>636</v>
      </c>
      <c r="C288" t="s">
        <v>401</v>
      </c>
      <c r="D288" t="s">
        <v>226</v>
      </c>
      <c r="E288" t="s">
        <v>551</v>
      </c>
      <c r="F288">
        <v>2</v>
      </c>
      <c r="G288">
        <v>207</v>
      </c>
      <c r="H288" t="str">
        <f>IF(VLOOKUP(C288,Customers!A:E,5,FALSE)&gt;=1000,"YES","NO")</f>
        <v>YES</v>
      </c>
      <c r="I288">
        <f t="shared" si="4"/>
        <v>103.5</v>
      </c>
      <c r="J288">
        <f>(I288 - VLOOKUP(E288,Desserts!A:D,4,FALSE)) * F288</f>
        <v>69</v>
      </c>
    </row>
    <row r="289" spans="1:10" x14ac:dyDescent="0.3">
      <c r="A289" t="s">
        <v>1119</v>
      </c>
      <c r="B289" t="s">
        <v>919</v>
      </c>
      <c r="C289" t="s">
        <v>383</v>
      </c>
      <c r="D289" t="s">
        <v>57</v>
      </c>
      <c r="E289" t="s">
        <v>561</v>
      </c>
      <c r="F289">
        <v>1</v>
      </c>
      <c r="G289">
        <v>176</v>
      </c>
      <c r="H289" t="str">
        <f>IF(VLOOKUP(C289,Customers!A:E,5,FALSE)&gt;=1000,"YES","NO")</f>
        <v>NO</v>
      </c>
      <c r="I289">
        <f t="shared" si="4"/>
        <v>176</v>
      </c>
      <c r="J289">
        <f>(I289 - VLOOKUP(E289,Desserts!A:D,4,FALSE)) * F289</f>
        <v>113</v>
      </c>
    </row>
    <row r="290" spans="1:10" x14ac:dyDescent="0.3">
      <c r="A290" t="s">
        <v>1120</v>
      </c>
      <c r="B290" t="s">
        <v>1121</v>
      </c>
      <c r="C290" t="s">
        <v>345</v>
      </c>
      <c r="D290" t="s">
        <v>66</v>
      </c>
      <c r="E290" t="s">
        <v>533</v>
      </c>
      <c r="F290">
        <v>2</v>
      </c>
      <c r="G290">
        <v>172</v>
      </c>
      <c r="H290" t="str">
        <f>IF(VLOOKUP(C290,Customers!A:E,5,FALSE)&gt;=1000,"YES","NO")</f>
        <v>YES</v>
      </c>
      <c r="I290">
        <f t="shared" si="4"/>
        <v>86</v>
      </c>
      <c r="J290">
        <f>(I290 - VLOOKUP(E290,Desserts!A:D,4,FALSE)) * F290</f>
        <v>38</v>
      </c>
    </row>
    <row r="291" spans="1:10" x14ac:dyDescent="0.3">
      <c r="A291" t="s">
        <v>1122</v>
      </c>
      <c r="B291" t="s">
        <v>769</v>
      </c>
      <c r="C291" t="s">
        <v>441</v>
      </c>
      <c r="D291" t="s">
        <v>112</v>
      </c>
      <c r="E291" t="s">
        <v>561</v>
      </c>
      <c r="F291">
        <v>3</v>
      </c>
      <c r="G291">
        <v>125</v>
      </c>
      <c r="H291" t="str">
        <f>IF(VLOOKUP(C291,Customers!A:E,5,FALSE)&gt;=1000,"YES","NO")</f>
        <v>NO</v>
      </c>
      <c r="I291">
        <f t="shared" si="4"/>
        <v>125</v>
      </c>
      <c r="J291">
        <f>(I291 - VLOOKUP(E291,Desserts!A:D,4,FALSE)) * F291</f>
        <v>186</v>
      </c>
    </row>
    <row r="292" spans="1:10" x14ac:dyDescent="0.3">
      <c r="A292" t="s">
        <v>1123</v>
      </c>
      <c r="B292" t="s">
        <v>1124</v>
      </c>
      <c r="C292" t="s">
        <v>441</v>
      </c>
      <c r="D292" t="s">
        <v>295</v>
      </c>
      <c r="E292" t="s">
        <v>597</v>
      </c>
      <c r="F292">
        <v>2</v>
      </c>
      <c r="G292">
        <v>169</v>
      </c>
      <c r="H292" t="str">
        <f>IF(VLOOKUP(C292,Customers!A:E,5,FALSE)&gt;=1000,"YES","NO")</f>
        <v>NO</v>
      </c>
      <c r="I292">
        <f t="shared" si="4"/>
        <v>169</v>
      </c>
      <c r="J292">
        <f>(I292 - VLOOKUP(E292,Desserts!A:D,4,FALSE)) * F292</f>
        <v>248</v>
      </c>
    </row>
    <row r="293" spans="1:10" x14ac:dyDescent="0.3">
      <c r="A293" t="s">
        <v>1125</v>
      </c>
      <c r="B293" t="s">
        <v>957</v>
      </c>
      <c r="C293" t="s">
        <v>347</v>
      </c>
      <c r="D293" t="s">
        <v>277</v>
      </c>
      <c r="E293" t="s">
        <v>535</v>
      </c>
      <c r="F293">
        <v>1</v>
      </c>
      <c r="G293">
        <v>157</v>
      </c>
      <c r="H293" t="str">
        <f>IF(VLOOKUP(C293,Customers!A:E,5,FALSE)&gt;=1000,"YES","NO")</f>
        <v>YES</v>
      </c>
      <c r="I293">
        <f t="shared" si="4"/>
        <v>78.5</v>
      </c>
      <c r="J293">
        <f>(I293 - VLOOKUP(E293,Desserts!A:D,4,FALSE)) * F293</f>
        <v>4.5</v>
      </c>
    </row>
    <row r="294" spans="1:10" x14ac:dyDescent="0.3">
      <c r="A294" t="s">
        <v>1126</v>
      </c>
      <c r="B294" t="s">
        <v>968</v>
      </c>
      <c r="C294" t="s">
        <v>335</v>
      </c>
      <c r="D294" t="s">
        <v>20</v>
      </c>
      <c r="E294" t="s">
        <v>575</v>
      </c>
      <c r="F294">
        <v>1</v>
      </c>
      <c r="G294">
        <v>145</v>
      </c>
      <c r="H294" t="str">
        <f>IF(VLOOKUP(C294,Customers!A:E,5,FALSE)&gt;=1000,"YES","NO")</f>
        <v>NO</v>
      </c>
      <c r="I294">
        <f t="shared" si="4"/>
        <v>145</v>
      </c>
      <c r="J294">
        <f>(I294 - VLOOKUP(E294,Desserts!A:D,4,FALSE)) * F294</f>
        <v>70</v>
      </c>
    </row>
    <row r="295" spans="1:10" x14ac:dyDescent="0.3">
      <c r="A295" t="s">
        <v>1127</v>
      </c>
      <c r="B295" t="s">
        <v>1128</v>
      </c>
      <c r="C295" t="s">
        <v>515</v>
      </c>
      <c r="D295" t="s">
        <v>43</v>
      </c>
      <c r="E295" t="s">
        <v>541</v>
      </c>
      <c r="F295">
        <v>1</v>
      </c>
      <c r="G295">
        <v>221</v>
      </c>
      <c r="H295" t="str">
        <f>IF(VLOOKUP(C295,Customers!A:E,5,FALSE)&gt;=1000,"YES","NO")</f>
        <v>YES</v>
      </c>
      <c r="I295">
        <f t="shared" si="4"/>
        <v>110.5</v>
      </c>
      <c r="J295">
        <f>(I295 - VLOOKUP(E295,Desserts!A:D,4,FALSE)) * F295</f>
        <v>53.5</v>
      </c>
    </row>
    <row r="296" spans="1:10" x14ac:dyDescent="0.3">
      <c r="A296" t="s">
        <v>1129</v>
      </c>
      <c r="B296" t="s">
        <v>988</v>
      </c>
      <c r="C296" t="s">
        <v>483</v>
      </c>
      <c r="D296" t="s">
        <v>51</v>
      </c>
      <c r="E296" t="s">
        <v>521</v>
      </c>
      <c r="F296">
        <v>4</v>
      </c>
      <c r="G296">
        <v>228</v>
      </c>
      <c r="H296" t="str">
        <f>IF(VLOOKUP(C296,Customers!A:E,5,FALSE)&gt;=1000,"YES","NO")</f>
        <v>YES</v>
      </c>
      <c r="I296">
        <f t="shared" si="4"/>
        <v>114</v>
      </c>
      <c r="J296">
        <f>(I296 - VLOOKUP(E296,Desserts!A:D,4,FALSE)) * F296</f>
        <v>200</v>
      </c>
    </row>
    <row r="297" spans="1:10" x14ac:dyDescent="0.3">
      <c r="A297" t="s">
        <v>1130</v>
      </c>
      <c r="B297" t="s">
        <v>675</v>
      </c>
      <c r="C297" t="s">
        <v>429</v>
      </c>
      <c r="D297" t="s">
        <v>244</v>
      </c>
      <c r="E297" t="s">
        <v>597</v>
      </c>
      <c r="F297">
        <v>2</v>
      </c>
      <c r="G297">
        <v>206</v>
      </c>
      <c r="H297" t="str">
        <f>IF(VLOOKUP(C297,Customers!A:E,5,FALSE)&gt;=1000,"YES","NO")</f>
        <v>YES</v>
      </c>
      <c r="I297">
        <f t="shared" si="4"/>
        <v>103</v>
      </c>
      <c r="J297">
        <f>(I297 - VLOOKUP(E297,Desserts!A:D,4,FALSE)) * F297</f>
        <v>116</v>
      </c>
    </row>
    <row r="298" spans="1:10" x14ac:dyDescent="0.3">
      <c r="A298" t="s">
        <v>1131</v>
      </c>
      <c r="B298" t="s">
        <v>1132</v>
      </c>
      <c r="C298" t="s">
        <v>335</v>
      </c>
      <c r="D298" t="s">
        <v>103</v>
      </c>
      <c r="E298" t="s">
        <v>597</v>
      </c>
      <c r="F298">
        <v>2</v>
      </c>
      <c r="G298">
        <v>221</v>
      </c>
      <c r="H298" t="str">
        <f>IF(VLOOKUP(C298,Customers!A:E,5,FALSE)&gt;=1000,"YES","NO")</f>
        <v>NO</v>
      </c>
      <c r="I298">
        <f t="shared" si="4"/>
        <v>221</v>
      </c>
      <c r="J298">
        <f>(I298 - VLOOKUP(E298,Desserts!A:D,4,FALSE)) * F298</f>
        <v>352</v>
      </c>
    </row>
    <row r="299" spans="1:10" x14ac:dyDescent="0.3">
      <c r="A299" t="s">
        <v>1133</v>
      </c>
      <c r="B299" t="s">
        <v>1134</v>
      </c>
      <c r="C299" t="s">
        <v>393</v>
      </c>
      <c r="D299" t="s">
        <v>247</v>
      </c>
      <c r="E299" t="s">
        <v>613</v>
      </c>
      <c r="F299">
        <v>2</v>
      </c>
      <c r="G299">
        <v>149</v>
      </c>
      <c r="H299" t="str">
        <f>IF(VLOOKUP(C299,Customers!A:E,5,FALSE)&gt;=1000,"YES","NO")</f>
        <v>YES</v>
      </c>
      <c r="I299">
        <f t="shared" si="4"/>
        <v>74.5</v>
      </c>
      <c r="J299">
        <f>(I299 - VLOOKUP(E299,Desserts!A:D,4,FALSE)) * F299</f>
        <v>-21</v>
      </c>
    </row>
    <row r="300" spans="1:10" x14ac:dyDescent="0.3">
      <c r="A300" t="s">
        <v>1135</v>
      </c>
      <c r="B300" t="s">
        <v>1136</v>
      </c>
      <c r="C300" t="s">
        <v>461</v>
      </c>
      <c r="D300" t="s">
        <v>106</v>
      </c>
      <c r="E300" t="s">
        <v>603</v>
      </c>
      <c r="F300">
        <v>3</v>
      </c>
      <c r="G300">
        <v>110</v>
      </c>
      <c r="H300" t="str">
        <f>IF(VLOOKUP(C300,Customers!A:E,5,FALSE)&gt;=1000,"YES","NO")</f>
        <v>YES</v>
      </c>
      <c r="I300">
        <f t="shared" si="4"/>
        <v>55</v>
      </c>
      <c r="J300">
        <f>(I300 - VLOOKUP(E300,Desserts!A:D,4,FALSE)) * F300</f>
        <v>-102</v>
      </c>
    </row>
    <row r="301" spans="1:10" x14ac:dyDescent="0.3">
      <c r="A301" t="s">
        <v>1137</v>
      </c>
      <c r="B301" t="s">
        <v>1138</v>
      </c>
      <c r="C301" t="s">
        <v>467</v>
      </c>
      <c r="D301" t="s">
        <v>106</v>
      </c>
      <c r="E301" t="s">
        <v>603</v>
      </c>
      <c r="F301">
        <v>2</v>
      </c>
      <c r="G301">
        <v>224</v>
      </c>
      <c r="H301" t="str">
        <f>IF(VLOOKUP(C301,Customers!A:E,5,FALSE)&gt;=1000,"YES","NO")</f>
        <v>YES</v>
      </c>
      <c r="I301">
        <f t="shared" si="4"/>
        <v>112</v>
      </c>
      <c r="J301">
        <f>(I301 - VLOOKUP(E301,Desserts!A:D,4,FALSE)) * F301</f>
        <v>46</v>
      </c>
    </row>
    <row r="302" spans="1:10" x14ac:dyDescent="0.3">
      <c r="A302" t="s">
        <v>1139</v>
      </c>
      <c r="B302" t="s">
        <v>1140</v>
      </c>
      <c r="C302" t="s">
        <v>389</v>
      </c>
      <c r="D302" t="s">
        <v>214</v>
      </c>
      <c r="E302" t="s">
        <v>589</v>
      </c>
      <c r="F302">
        <v>5</v>
      </c>
      <c r="G302">
        <v>189</v>
      </c>
      <c r="H302" t="str">
        <f>IF(VLOOKUP(C302,Customers!A:E,5,FALSE)&gt;=1000,"YES","NO")</f>
        <v>YES</v>
      </c>
      <c r="I302">
        <f t="shared" si="4"/>
        <v>94.5</v>
      </c>
      <c r="J302">
        <f>(I302 - VLOOKUP(E302,Desserts!A:D,4,FALSE)) * F302</f>
        <v>117.5</v>
      </c>
    </row>
    <row r="303" spans="1:10" x14ac:dyDescent="0.3">
      <c r="A303" t="s">
        <v>1141</v>
      </c>
      <c r="B303" t="s">
        <v>1142</v>
      </c>
      <c r="C303" t="s">
        <v>501</v>
      </c>
      <c r="D303" t="s">
        <v>115</v>
      </c>
      <c r="E303" t="s">
        <v>573</v>
      </c>
      <c r="F303">
        <v>2</v>
      </c>
      <c r="G303">
        <v>237</v>
      </c>
      <c r="H303" t="str">
        <f>IF(VLOOKUP(C303,Customers!A:E,5,FALSE)&gt;=1000,"YES","NO")</f>
        <v>YES</v>
      </c>
      <c r="I303">
        <f t="shared" si="4"/>
        <v>118.5</v>
      </c>
      <c r="J303">
        <f>(I303 - VLOOKUP(E303,Desserts!A:D,4,FALSE)) * F303</f>
        <v>137</v>
      </c>
    </row>
    <row r="304" spans="1:10" x14ac:dyDescent="0.3">
      <c r="A304" t="s">
        <v>1143</v>
      </c>
      <c r="B304" t="s">
        <v>988</v>
      </c>
      <c r="C304" t="s">
        <v>337</v>
      </c>
      <c r="D304" t="s">
        <v>136</v>
      </c>
      <c r="E304" t="s">
        <v>553</v>
      </c>
      <c r="F304">
        <v>4</v>
      </c>
      <c r="G304">
        <v>180</v>
      </c>
      <c r="H304" t="str">
        <f>IF(VLOOKUP(C304,Customers!A:E,5,FALSE)&gt;=1000,"YES","NO")</f>
        <v>NO</v>
      </c>
      <c r="I304">
        <f t="shared" si="4"/>
        <v>180</v>
      </c>
      <c r="J304">
        <f>(I304 - VLOOKUP(E304,Desserts!A:D,4,FALSE)) * F304</f>
        <v>480</v>
      </c>
    </row>
    <row r="305" spans="1:10" x14ac:dyDescent="0.3">
      <c r="A305" t="s">
        <v>1144</v>
      </c>
      <c r="B305" t="s">
        <v>1145</v>
      </c>
      <c r="C305" t="s">
        <v>387</v>
      </c>
      <c r="D305" t="s">
        <v>208</v>
      </c>
      <c r="E305" t="s">
        <v>549</v>
      </c>
      <c r="F305">
        <v>3</v>
      </c>
      <c r="G305">
        <v>162</v>
      </c>
      <c r="H305" t="str">
        <f>IF(VLOOKUP(C305,Customers!A:E,5,FALSE)&gt;=1000,"YES","NO")</f>
        <v>NO</v>
      </c>
      <c r="I305">
        <f t="shared" si="4"/>
        <v>162</v>
      </c>
      <c r="J305">
        <f>(I305 - VLOOKUP(E305,Desserts!A:D,4,FALSE)) * F305</f>
        <v>249</v>
      </c>
    </row>
    <row r="306" spans="1:10" x14ac:dyDescent="0.3">
      <c r="A306" t="s">
        <v>1146</v>
      </c>
      <c r="B306" t="s">
        <v>1147</v>
      </c>
      <c r="C306" t="s">
        <v>335</v>
      </c>
      <c r="D306" t="s">
        <v>214</v>
      </c>
      <c r="E306" t="s">
        <v>607</v>
      </c>
      <c r="F306">
        <v>4</v>
      </c>
      <c r="G306">
        <v>138</v>
      </c>
      <c r="H306" t="str">
        <f>IF(VLOOKUP(C306,Customers!A:E,5,FALSE)&gt;=1000,"YES","NO")</f>
        <v>NO</v>
      </c>
      <c r="I306">
        <f t="shared" si="4"/>
        <v>138</v>
      </c>
      <c r="J306">
        <f>(I306 - VLOOKUP(E306,Desserts!A:D,4,FALSE)) * F306</f>
        <v>272</v>
      </c>
    </row>
    <row r="307" spans="1:10" x14ac:dyDescent="0.3">
      <c r="A307" t="s">
        <v>1148</v>
      </c>
      <c r="B307" t="s">
        <v>1149</v>
      </c>
      <c r="C307" t="s">
        <v>319</v>
      </c>
      <c r="D307" t="s">
        <v>115</v>
      </c>
      <c r="E307" t="s">
        <v>603</v>
      </c>
      <c r="F307">
        <v>3</v>
      </c>
      <c r="G307">
        <v>174</v>
      </c>
      <c r="H307" t="str">
        <f>IF(VLOOKUP(C307,Customers!A:E,5,FALSE)&gt;=1000,"YES","NO")</f>
        <v>YES</v>
      </c>
      <c r="I307">
        <f t="shared" si="4"/>
        <v>87</v>
      </c>
      <c r="J307">
        <f>(I307 - VLOOKUP(E307,Desserts!A:D,4,FALSE)) * F307</f>
        <v>-6</v>
      </c>
    </row>
    <row r="308" spans="1:10" x14ac:dyDescent="0.3">
      <c r="A308" t="s">
        <v>1150</v>
      </c>
      <c r="B308" t="s">
        <v>1151</v>
      </c>
      <c r="C308" t="s">
        <v>491</v>
      </c>
      <c r="D308" t="s">
        <v>301</v>
      </c>
      <c r="E308" t="s">
        <v>613</v>
      </c>
      <c r="F308">
        <v>3</v>
      </c>
      <c r="G308">
        <v>119</v>
      </c>
      <c r="H308" t="str">
        <f>IF(VLOOKUP(C308,Customers!A:E,5,FALSE)&gt;=1000,"YES","NO")</f>
        <v>NO</v>
      </c>
      <c r="I308">
        <f t="shared" si="4"/>
        <v>119</v>
      </c>
      <c r="J308">
        <f>(I308 - VLOOKUP(E308,Desserts!A:D,4,FALSE)) * F308</f>
        <v>102</v>
      </c>
    </row>
    <row r="309" spans="1:10" x14ac:dyDescent="0.3">
      <c r="A309" t="s">
        <v>1152</v>
      </c>
      <c r="B309" t="s">
        <v>1153</v>
      </c>
      <c r="C309" t="s">
        <v>503</v>
      </c>
      <c r="D309" t="s">
        <v>193</v>
      </c>
      <c r="E309" t="s">
        <v>611</v>
      </c>
      <c r="F309">
        <v>5</v>
      </c>
      <c r="G309">
        <v>111</v>
      </c>
      <c r="H309" t="str">
        <f>IF(VLOOKUP(C309,Customers!A:E,5,FALSE)&gt;=1000,"YES","NO")</f>
        <v>NO</v>
      </c>
      <c r="I309">
        <f t="shared" si="4"/>
        <v>111</v>
      </c>
      <c r="J309">
        <f>(I309 - VLOOKUP(E309,Desserts!A:D,4,FALSE)) * F309</f>
        <v>340</v>
      </c>
    </row>
    <row r="310" spans="1:10" x14ac:dyDescent="0.3">
      <c r="A310" t="s">
        <v>1154</v>
      </c>
      <c r="B310" t="s">
        <v>1155</v>
      </c>
      <c r="C310" t="s">
        <v>389</v>
      </c>
      <c r="D310" t="s">
        <v>133</v>
      </c>
      <c r="E310" t="s">
        <v>609</v>
      </c>
      <c r="F310">
        <v>2</v>
      </c>
      <c r="G310">
        <v>147</v>
      </c>
      <c r="H310" t="str">
        <f>IF(VLOOKUP(C310,Customers!A:E,5,FALSE)&gt;=1000,"YES","NO")</f>
        <v>YES</v>
      </c>
      <c r="I310">
        <f t="shared" si="4"/>
        <v>73.5</v>
      </c>
      <c r="J310">
        <f>(I310 - VLOOKUP(E310,Desserts!A:D,4,FALSE)) * F310</f>
        <v>19</v>
      </c>
    </row>
    <row r="311" spans="1:10" x14ac:dyDescent="0.3">
      <c r="A311" t="s">
        <v>1156</v>
      </c>
      <c r="B311" t="s">
        <v>761</v>
      </c>
      <c r="C311" t="s">
        <v>379</v>
      </c>
      <c r="D311" t="s">
        <v>118</v>
      </c>
      <c r="E311" t="s">
        <v>615</v>
      </c>
      <c r="F311">
        <v>4</v>
      </c>
      <c r="G311">
        <v>156</v>
      </c>
      <c r="H311" t="str">
        <f>IF(VLOOKUP(C311,Customers!A:E,5,FALSE)&gt;=1000,"YES","NO")</f>
        <v>NO</v>
      </c>
      <c r="I311">
        <f t="shared" si="4"/>
        <v>156</v>
      </c>
      <c r="J311">
        <f>(I311 - VLOOKUP(E311,Desserts!A:D,4,FALSE)) * F311</f>
        <v>456</v>
      </c>
    </row>
    <row r="312" spans="1:10" x14ac:dyDescent="0.3">
      <c r="A312" t="s">
        <v>1157</v>
      </c>
      <c r="B312" t="s">
        <v>1158</v>
      </c>
      <c r="C312" t="s">
        <v>337</v>
      </c>
      <c r="D312" t="s">
        <v>13</v>
      </c>
      <c r="E312" t="s">
        <v>521</v>
      </c>
      <c r="F312">
        <v>1</v>
      </c>
      <c r="G312">
        <v>225</v>
      </c>
      <c r="H312" t="str">
        <f>IF(VLOOKUP(C312,Customers!A:E,5,FALSE)&gt;=1000,"YES","NO")</f>
        <v>NO</v>
      </c>
      <c r="I312">
        <f t="shared" si="4"/>
        <v>225</v>
      </c>
      <c r="J312">
        <f>(I312 - VLOOKUP(E312,Desserts!A:D,4,FALSE)) * F312</f>
        <v>161</v>
      </c>
    </row>
    <row r="313" spans="1:10" x14ac:dyDescent="0.3">
      <c r="A313" t="s">
        <v>1159</v>
      </c>
      <c r="B313" t="s">
        <v>899</v>
      </c>
      <c r="C313" t="s">
        <v>457</v>
      </c>
      <c r="D313" t="s">
        <v>37</v>
      </c>
      <c r="E313" t="s">
        <v>599</v>
      </c>
      <c r="F313">
        <v>2</v>
      </c>
      <c r="G313">
        <v>213</v>
      </c>
      <c r="H313" t="str">
        <f>IF(VLOOKUP(C313,Customers!A:E,5,FALSE)&gt;=1000,"YES","NO")</f>
        <v>YES</v>
      </c>
      <c r="I313">
        <f t="shared" si="4"/>
        <v>106.5</v>
      </c>
      <c r="J313">
        <f>(I313 - VLOOKUP(E313,Desserts!A:D,4,FALSE)) * F313</f>
        <v>53</v>
      </c>
    </row>
    <row r="314" spans="1:10" x14ac:dyDescent="0.3">
      <c r="A314" t="s">
        <v>1160</v>
      </c>
      <c r="B314" t="s">
        <v>1161</v>
      </c>
      <c r="C314" t="s">
        <v>495</v>
      </c>
      <c r="D314" t="s">
        <v>208</v>
      </c>
      <c r="E314" t="s">
        <v>533</v>
      </c>
      <c r="F314">
        <v>1</v>
      </c>
      <c r="G314">
        <v>247</v>
      </c>
      <c r="H314" t="str">
        <f>IF(VLOOKUP(C314,Customers!A:E,5,FALSE)&gt;=1000,"YES","NO")</f>
        <v>NO</v>
      </c>
      <c r="I314">
        <f t="shared" si="4"/>
        <v>247</v>
      </c>
      <c r="J314">
        <f>(I314 - VLOOKUP(E314,Desserts!A:D,4,FALSE)) * F314</f>
        <v>180</v>
      </c>
    </row>
    <row r="315" spans="1:10" x14ac:dyDescent="0.3">
      <c r="A315" t="s">
        <v>1162</v>
      </c>
      <c r="B315" t="s">
        <v>1163</v>
      </c>
      <c r="C315" t="s">
        <v>445</v>
      </c>
      <c r="D315" t="s">
        <v>301</v>
      </c>
      <c r="E315" t="s">
        <v>559</v>
      </c>
      <c r="F315">
        <v>2</v>
      </c>
      <c r="G315">
        <v>245</v>
      </c>
      <c r="H315" t="str">
        <f>IF(VLOOKUP(C315,Customers!A:E,5,FALSE)&gt;=1000,"YES","NO")</f>
        <v>NO</v>
      </c>
      <c r="I315">
        <f t="shared" si="4"/>
        <v>245</v>
      </c>
      <c r="J315">
        <f>(I315 - VLOOKUP(E315,Desserts!A:D,4,FALSE)) * F315</f>
        <v>380</v>
      </c>
    </row>
    <row r="316" spans="1:10" x14ac:dyDescent="0.3">
      <c r="A316" t="s">
        <v>1164</v>
      </c>
      <c r="B316" t="s">
        <v>733</v>
      </c>
      <c r="C316" t="s">
        <v>429</v>
      </c>
      <c r="D316" t="s">
        <v>175</v>
      </c>
      <c r="E316" t="s">
        <v>559</v>
      </c>
      <c r="F316">
        <v>2</v>
      </c>
      <c r="G316">
        <v>130</v>
      </c>
      <c r="H316" t="str">
        <f>IF(VLOOKUP(C316,Customers!A:E,5,FALSE)&gt;=1000,"YES","NO")</f>
        <v>YES</v>
      </c>
      <c r="I316">
        <f t="shared" si="4"/>
        <v>65</v>
      </c>
      <c r="J316">
        <f>(I316 - VLOOKUP(E316,Desserts!A:D,4,FALSE)) * F316</f>
        <v>20</v>
      </c>
    </row>
    <row r="317" spans="1:10" x14ac:dyDescent="0.3">
      <c r="A317" t="s">
        <v>1165</v>
      </c>
      <c r="B317" t="s">
        <v>955</v>
      </c>
      <c r="C317" t="s">
        <v>369</v>
      </c>
      <c r="D317" t="s">
        <v>256</v>
      </c>
      <c r="E317" t="s">
        <v>575</v>
      </c>
      <c r="F317">
        <v>1</v>
      </c>
      <c r="G317">
        <v>200</v>
      </c>
      <c r="H317" t="str">
        <f>IF(VLOOKUP(C317,Customers!A:E,5,FALSE)&gt;=1000,"YES","NO")</f>
        <v>YES</v>
      </c>
      <c r="I317">
        <f t="shared" si="4"/>
        <v>100</v>
      </c>
      <c r="J317">
        <f>(I317 - VLOOKUP(E317,Desserts!A:D,4,FALSE)) * F317</f>
        <v>25</v>
      </c>
    </row>
    <row r="318" spans="1:10" x14ac:dyDescent="0.3">
      <c r="A318" t="s">
        <v>1166</v>
      </c>
      <c r="B318" t="s">
        <v>1167</v>
      </c>
      <c r="C318" t="s">
        <v>385</v>
      </c>
      <c r="D318" t="s">
        <v>214</v>
      </c>
      <c r="E318" t="s">
        <v>575</v>
      </c>
      <c r="F318">
        <v>3</v>
      </c>
      <c r="G318">
        <v>244</v>
      </c>
      <c r="H318" t="str">
        <f>IF(VLOOKUP(C318,Customers!A:E,5,FALSE)&gt;=1000,"YES","NO")</f>
        <v>YES</v>
      </c>
      <c r="I318">
        <f t="shared" si="4"/>
        <v>122</v>
      </c>
      <c r="J318">
        <f>(I318 - VLOOKUP(E318,Desserts!A:D,4,FALSE)) * F318</f>
        <v>141</v>
      </c>
    </row>
    <row r="319" spans="1:10" x14ac:dyDescent="0.3">
      <c r="A319" t="s">
        <v>1168</v>
      </c>
      <c r="B319" t="s">
        <v>1169</v>
      </c>
      <c r="C319" t="s">
        <v>429</v>
      </c>
      <c r="D319" t="s">
        <v>211</v>
      </c>
      <c r="E319" t="s">
        <v>603</v>
      </c>
      <c r="F319">
        <v>5</v>
      </c>
      <c r="G319">
        <v>246</v>
      </c>
      <c r="H319" t="str">
        <f>IF(VLOOKUP(C319,Customers!A:E,5,FALSE)&gt;=1000,"YES","NO")</f>
        <v>YES</v>
      </c>
      <c r="I319">
        <f t="shared" si="4"/>
        <v>123</v>
      </c>
      <c r="J319">
        <f>(I319 - VLOOKUP(E319,Desserts!A:D,4,FALSE)) * F319</f>
        <v>170</v>
      </c>
    </row>
    <row r="320" spans="1:10" x14ac:dyDescent="0.3">
      <c r="A320" t="s">
        <v>1170</v>
      </c>
      <c r="B320" t="s">
        <v>959</v>
      </c>
      <c r="C320" t="s">
        <v>323</v>
      </c>
      <c r="D320" t="s">
        <v>229</v>
      </c>
      <c r="E320" t="s">
        <v>597</v>
      </c>
      <c r="F320">
        <v>4</v>
      </c>
      <c r="G320">
        <v>119</v>
      </c>
      <c r="H320" t="str">
        <f>IF(VLOOKUP(C320,Customers!A:E,5,FALSE)&gt;=1000,"YES","NO")</f>
        <v>NO</v>
      </c>
      <c r="I320">
        <f t="shared" si="4"/>
        <v>119</v>
      </c>
      <c r="J320">
        <f>(I320 - VLOOKUP(E320,Desserts!A:D,4,FALSE)) * F320</f>
        <v>296</v>
      </c>
    </row>
    <row r="321" spans="1:10" x14ac:dyDescent="0.3">
      <c r="A321" t="s">
        <v>1171</v>
      </c>
      <c r="B321" t="s">
        <v>653</v>
      </c>
      <c r="C321" t="s">
        <v>375</v>
      </c>
      <c r="D321" t="s">
        <v>235</v>
      </c>
      <c r="E321" t="s">
        <v>577</v>
      </c>
      <c r="F321">
        <v>4</v>
      </c>
      <c r="G321">
        <v>121</v>
      </c>
      <c r="H321" t="str">
        <f>IF(VLOOKUP(C321,Customers!A:E,5,FALSE)&gt;=1000,"YES","NO")</f>
        <v>NO</v>
      </c>
      <c r="I321">
        <f t="shared" si="4"/>
        <v>121</v>
      </c>
      <c r="J321">
        <f>(I321 - VLOOKUP(E321,Desserts!A:D,4,FALSE)) * F321</f>
        <v>204</v>
      </c>
    </row>
    <row r="322" spans="1:10" x14ac:dyDescent="0.3">
      <c r="A322" t="s">
        <v>1172</v>
      </c>
      <c r="B322" t="s">
        <v>867</v>
      </c>
      <c r="C322" t="s">
        <v>473</v>
      </c>
      <c r="D322" t="s">
        <v>109</v>
      </c>
      <c r="E322" t="s">
        <v>577</v>
      </c>
      <c r="F322">
        <v>3</v>
      </c>
      <c r="G322">
        <v>155</v>
      </c>
      <c r="H322" t="str">
        <f>IF(VLOOKUP(C322,Customers!A:E,5,FALSE)&gt;=1000,"YES","NO")</f>
        <v>NO</v>
      </c>
      <c r="I322">
        <f t="shared" ref="I322:I385" si="5">IF(H322="YES",G322*0.5,G322)</f>
        <v>155</v>
      </c>
      <c r="J322">
        <f>(I322 - VLOOKUP(E322,Desserts!A:D,4,FALSE)) * F322</f>
        <v>255</v>
      </c>
    </row>
    <row r="323" spans="1:10" x14ac:dyDescent="0.3">
      <c r="A323" t="s">
        <v>1173</v>
      </c>
      <c r="B323" t="s">
        <v>1174</v>
      </c>
      <c r="C323" t="s">
        <v>343</v>
      </c>
      <c r="D323" t="s">
        <v>256</v>
      </c>
      <c r="E323" t="s">
        <v>583</v>
      </c>
      <c r="F323">
        <v>2</v>
      </c>
      <c r="G323">
        <v>250</v>
      </c>
      <c r="H323" t="str">
        <f>IF(VLOOKUP(C323,Customers!A:E,5,FALSE)&gt;=1000,"YES","NO")</f>
        <v>YES</v>
      </c>
      <c r="I323">
        <f t="shared" si="5"/>
        <v>125</v>
      </c>
      <c r="J323">
        <f>(I323 - VLOOKUP(E323,Desserts!A:D,4,FALSE)) * F323</f>
        <v>84</v>
      </c>
    </row>
    <row r="324" spans="1:10" x14ac:dyDescent="0.3">
      <c r="A324" t="s">
        <v>1175</v>
      </c>
      <c r="B324" t="s">
        <v>751</v>
      </c>
      <c r="C324" t="s">
        <v>445</v>
      </c>
      <c r="D324" t="s">
        <v>103</v>
      </c>
      <c r="E324" t="s">
        <v>547</v>
      </c>
      <c r="F324">
        <v>5</v>
      </c>
      <c r="G324">
        <v>224</v>
      </c>
      <c r="H324" t="str">
        <f>IF(VLOOKUP(C324,Customers!A:E,5,FALSE)&gt;=1000,"YES","NO")</f>
        <v>NO</v>
      </c>
      <c r="I324">
        <f t="shared" si="5"/>
        <v>224</v>
      </c>
      <c r="J324">
        <f>(I324 - VLOOKUP(E324,Desserts!A:D,4,FALSE)) * F324</f>
        <v>870</v>
      </c>
    </row>
    <row r="325" spans="1:10" x14ac:dyDescent="0.3">
      <c r="A325" t="s">
        <v>1176</v>
      </c>
      <c r="B325" t="s">
        <v>1177</v>
      </c>
      <c r="C325" t="s">
        <v>487</v>
      </c>
      <c r="D325" t="s">
        <v>47</v>
      </c>
      <c r="E325" t="s">
        <v>559</v>
      </c>
      <c r="F325">
        <v>2</v>
      </c>
      <c r="G325">
        <v>203</v>
      </c>
      <c r="H325" t="str">
        <f>IF(VLOOKUP(C325,Customers!A:E,5,FALSE)&gt;=1000,"YES","NO")</f>
        <v>NO</v>
      </c>
      <c r="I325">
        <f t="shared" si="5"/>
        <v>203</v>
      </c>
      <c r="J325">
        <f>(I325 - VLOOKUP(E325,Desserts!A:D,4,FALSE)) * F325</f>
        <v>296</v>
      </c>
    </row>
    <row r="326" spans="1:10" x14ac:dyDescent="0.3">
      <c r="A326" t="s">
        <v>1178</v>
      </c>
      <c r="B326" t="s">
        <v>759</v>
      </c>
      <c r="C326" t="s">
        <v>501</v>
      </c>
      <c r="D326" t="s">
        <v>310</v>
      </c>
      <c r="E326" t="s">
        <v>589</v>
      </c>
      <c r="F326">
        <v>3</v>
      </c>
      <c r="G326">
        <v>159</v>
      </c>
      <c r="H326" t="str">
        <f>IF(VLOOKUP(C326,Customers!A:E,5,FALSE)&gt;=1000,"YES","NO")</f>
        <v>YES</v>
      </c>
      <c r="I326">
        <f t="shared" si="5"/>
        <v>79.5</v>
      </c>
      <c r="J326">
        <f>(I326 - VLOOKUP(E326,Desserts!A:D,4,FALSE)) * F326</f>
        <v>25.5</v>
      </c>
    </row>
    <row r="327" spans="1:10" x14ac:dyDescent="0.3">
      <c r="A327" t="s">
        <v>1179</v>
      </c>
      <c r="B327" t="s">
        <v>998</v>
      </c>
      <c r="C327" t="s">
        <v>515</v>
      </c>
      <c r="D327" t="s">
        <v>169</v>
      </c>
      <c r="E327" t="s">
        <v>607</v>
      </c>
      <c r="F327">
        <v>5</v>
      </c>
      <c r="G327">
        <v>139</v>
      </c>
      <c r="H327" t="str">
        <f>IF(VLOOKUP(C327,Customers!A:E,5,FALSE)&gt;=1000,"YES","NO")</f>
        <v>YES</v>
      </c>
      <c r="I327">
        <f t="shared" si="5"/>
        <v>69.5</v>
      </c>
      <c r="J327">
        <f>(I327 - VLOOKUP(E327,Desserts!A:D,4,FALSE)) * F327</f>
        <v>-2.5</v>
      </c>
    </row>
    <row r="328" spans="1:10" x14ac:dyDescent="0.3">
      <c r="A328" t="s">
        <v>1180</v>
      </c>
      <c r="B328" t="s">
        <v>798</v>
      </c>
      <c r="C328" t="s">
        <v>367</v>
      </c>
      <c r="D328" t="s">
        <v>72</v>
      </c>
      <c r="E328" t="s">
        <v>595</v>
      </c>
      <c r="F328">
        <v>4</v>
      </c>
      <c r="G328">
        <v>177</v>
      </c>
      <c r="H328" t="str">
        <f>IF(VLOOKUP(C328,Customers!A:E,5,FALSE)&gt;=1000,"YES","NO")</f>
        <v>NO</v>
      </c>
      <c r="I328">
        <f t="shared" si="5"/>
        <v>177</v>
      </c>
      <c r="J328">
        <f>(I328 - VLOOKUP(E328,Desserts!A:D,4,FALSE)) * F328</f>
        <v>428</v>
      </c>
    </row>
    <row r="329" spans="1:10" x14ac:dyDescent="0.3">
      <c r="A329" t="s">
        <v>1181</v>
      </c>
      <c r="B329" t="s">
        <v>847</v>
      </c>
      <c r="C329" t="s">
        <v>497</v>
      </c>
      <c r="D329" t="s">
        <v>118</v>
      </c>
      <c r="E329" t="s">
        <v>589</v>
      </c>
      <c r="F329">
        <v>4</v>
      </c>
      <c r="G329">
        <v>224</v>
      </c>
      <c r="H329" t="str">
        <f>IF(VLOOKUP(C329,Customers!A:E,5,FALSE)&gt;=1000,"YES","NO")</f>
        <v>NO</v>
      </c>
      <c r="I329">
        <f t="shared" si="5"/>
        <v>224</v>
      </c>
      <c r="J329">
        <f>(I329 - VLOOKUP(E329,Desserts!A:D,4,FALSE)) * F329</f>
        <v>612</v>
      </c>
    </row>
    <row r="330" spans="1:10" x14ac:dyDescent="0.3">
      <c r="A330" t="s">
        <v>1182</v>
      </c>
      <c r="B330" t="s">
        <v>1183</v>
      </c>
      <c r="C330" t="s">
        <v>375</v>
      </c>
      <c r="D330" t="s">
        <v>256</v>
      </c>
      <c r="E330" t="s">
        <v>583</v>
      </c>
      <c r="F330">
        <v>5</v>
      </c>
      <c r="G330">
        <v>138</v>
      </c>
      <c r="H330" t="str">
        <f>IF(VLOOKUP(C330,Customers!A:E,5,FALSE)&gt;=1000,"YES","NO")</f>
        <v>NO</v>
      </c>
      <c r="I330">
        <f t="shared" si="5"/>
        <v>138</v>
      </c>
      <c r="J330">
        <f>(I330 - VLOOKUP(E330,Desserts!A:D,4,FALSE)) * F330</f>
        <v>275</v>
      </c>
    </row>
    <row r="331" spans="1:10" x14ac:dyDescent="0.3">
      <c r="A331" t="s">
        <v>1184</v>
      </c>
      <c r="B331" t="s">
        <v>1185</v>
      </c>
      <c r="C331" t="s">
        <v>385</v>
      </c>
      <c r="D331" t="s">
        <v>277</v>
      </c>
      <c r="E331" t="s">
        <v>527</v>
      </c>
      <c r="F331">
        <v>2</v>
      </c>
      <c r="G331">
        <v>229</v>
      </c>
      <c r="H331" t="str">
        <f>IF(VLOOKUP(C331,Customers!A:E,5,FALSE)&gt;=1000,"YES","NO")</f>
        <v>YES</v>
      </c>
      <c r="I331">
        <f t="shared" si="5"/>
        <v>114.5</v>
      </c>
      <c r="J331">
        <f>(I331 - VLOOKUP(E331,Desserts!A:D,4,FALSE)) * F331</f>
        <v>143</v>
      </c>
    </row>
    <row r="332" spans="1:10" x14ac:dyDescent="0.3">
      <c r="A332" t="s">
        <v>1186</v>
      </c>
      <c r="B332" t="s">
        <v>1153</v>
      </c>
      <c r="C332" t="s">
        <v>501</v>
      </c>
      <c r="D332" t="s">
        <v>54</v>
      </c>
      <c r="E332" t="s">
        <v>601</v>
      </c>
      <c r="F332">
        <v>4</v>
      </c>
      <c r="G332">
        <v>102</v>
      </c>
      <c r="H332" t="str">
        <f>IF(VLOOKUP(C332,Customers!A:E,5,FALSE)&gt;=1000,"YES","NO")</f>
        <v>YES</v>
      </c>
      <c r="I332">
        <f t="shared" si="5"/>
        <v>51</v>
      </c>
      <c r="J332">
        <f>(I332 - VLOOKUP(E332,Desserts!A:D,4,FALSE)) * F332</f>
        <v>-16</v>
      </c>
    </row>
    <row r="333" spans="1:10" x14ac:dyDescent="0.3">
      <c r="A333" t="s">
        <v>1187</v>
      </c>
      <c r="B333" t="s">
        <v>1188</v>
      </c>
      <c r="C333" t="s">
        <v>369</v>
      </c>
      <c r="D333" t="s">
        <v>289</v>
      </c>
      <c r="E333" t="s">
        <v>535</v>
      </c>
      <c r="F333">
        <v>5</v>
      </c>
      <c r="G333">
        <v>222</v>
      </c>
      <c r="H333" t="str">
        <f>IF(VLOOKUP(C333,Customers!A:E,5,FALSE)&gt;=1000,"YES","NO")</f>
        <v>YES</v>
      </c>
      <c r="I333">
        <f t="shared" si="5"/>
        <v>111</v>
      </c>
      <c r="J333">
        <f>(I333 - VLOOKUP(E333,Desserts!A:D,4,FALSE)) * F333</f>
        <v>185</v>
      </c>
    </row>
    <row r="334" spans="1:10" x14ac:dyDescent="0.3">
      <c r="A334" t="s">
        <v>1189</v>
      </c>
      <c r="B334" t="s">
        <v>1190</v>
      </c>
      <c r="C334" t="s">
        <v>387</v>
      </c>
      <c r="D334" t="s">
        <v>268</v>
      </c>
      <c r="E334" t="s">
        <v>573</v>
      </c>
      <c r="F334">
        <v>3</v>
      </c>
      <c r="G334">
        <v>229</v>
      </c>
      <c r="H334" t="str">
        <f>IF(VLOOKUP(C334,Customers!A:E,5,FALSE)&gt;=1000,"YES","NO")</f>
        <v>NO</v>
      </c>
      <c r="I334">
        <f t="shared" si="5"/>
        <v>229</v>
      </c>
      <c r="J334">
        <f>(I334 - VLOOKUP(E334,Desserts!A:D,4,FALSE)) * F334</f>
        <v>537</v>
      </c>
    </row>
    <row r="335" spans="1:10" x14ac:dyDescent="0.3">
      <c r="A335" t="s">
        <v>1191</v>
      </c>
      <c r="B335" t="s">
        <v>886</v>
      </c>
      <c r="C335" t="s">
        <v>395</v>
      </c>
      <c r="D335" t="s">
        <v>88</v>
      </c>
      <c r="E335" t="s">
        <v>593</v>
      </c>
      <c r="F335">
        <v>2</v>
      </c>
      <c r="G335">
        <v>246</v>
      </c>
      <c r="H335" t="str">
        <f>IF(VLOOKUP(C335,Customers!A:E,5,FALSE)&gt;=1000,"YES","NO")</f>
        <v>NO</v>
      </c>
      <c r="I335">
        <f t="shared" si="5"/>
        <v>246</v>
      </c>
      <c r="J335">
        <f>(I335 - VLOOKUP(E335,Desserts!A:D,4,FALSE)) * F335</f>
        <v>384</v>
      </c>
    </row>
    <row r="336" spans="1:10" x14ac:dyDescent="0.3">
      <c r="A336" t="s">
        <v>1192</v>
      </c>
      <c r="B336" t="s">
        <v>687</v>
      </c>
      <c r="C336" t="s">
        <v>351</v>
      </c>
      <c r="D336" t="s">
        <v>286</v>
      </c>
      <c r="E336" t="s">
        <v>529</v>
      </c>
      <c r="F336">
        <v>5</v>
      </c>
      <c r="G336">
        <v>145</v>
      </c>
      <c r="H336" t="str">
        <f>IF(VLOOKUP(C336,Customers!A:E,5,FALSE)&gt;=1000,"YES","NO")</f>
        <v>NO</v>
      </c>
      <c r="I336">
        <f t="shared" si="5"/>
        <v>145</v>
      </c>
      <c r="J336">
        <f>(I336 - VLOOKUP(E336,Desserts!A:D,4,FALSE)) * F336</f>
        <v>385</v>
      </c>
    </row>
    <row r="337" spans="1:10" x14ac:dyDescent="0.3">
      <c r="A337" t="s">
        <v>1193</v>
      </c>
      <c r="B337" t="s">
        <v>1194</v>
      </c>
      <c r="C337" t="s">
        <v>419</v>
      </c>
      <c r="D337" t="s">
        <v>139</v>
      </c>
      <c r="E337" t="s">
        <v>547</v>
      </c>
      <c r="F337">
        <v>5</v>
      </c>
      <c r="G337">
        <v>222</v>
      </c>
      <c r="H337" t="str">
        <f>IF(VLOOKUP(C337,Customers!A:E,5,FALSE)&gt;=1000,"YES","NO")</f>
        <v>NO</v>
      </c>
      <c r="I337">
        <f t="shared" si="5"/>
        <v>222</v>
      </c>
      <c r="J337">
        <f>(I337 - VLOOKUP(E337,Desserts!A:D,4,FALSE)) * F337</f>
        <v>860</v>
      </c>
    </row>
    <row r="338" spans="1:10" x14ac:dyDescent="0.3">
      <c r="A338" t="s">
        <v>1195</v>
      </c>
      <c r="B338" t="s">
        <v>1196</v>
      </c>
      <c r="C338" t="s">
        <v>479</v>
      </c>
      <c r="D338" t="s">
        <v>5</v>
      </c>
      <c r="E338" t="s">
        <v>557</v>
      </c>
      <c r="F338">
        <v>4</v>
      </c>
      <c r="G338">
        <v>149</v>
      </c>
      <c r="H338" t="str">
        <f>IF(VLOOKUP(C338,Customers!A:E,5,FALSE)&gt;=1000,"YES","NO")</f>
        <v>YES</v>
      </c>
      <c r="I338">
        <f t="shared" si="5"/>
        <v>74.5</v>
      </c>
      <c r="J338">
        <f>(I338 - VLOOKUP(E338,Desserts!A:D,4,FALSE)) * F338</f>
        <v>-38</v>
      </c>
    </row>
    <row r="339" spans="1:10" x14ac:dyDescent="0.3">
      <c r="A339" t="s">
        <v>1197</v>
      </c>
      <c r="B339" t="s">
        <v>1128</v>
      </c>
      <c r="C339" t="s">
        <v>373</v>
      </c>
      <c r="D339" t="s">
        <v>298</v>
      </c>
      <c r="E339" t="s">
        <v>525</v>
      </c>
      <c r="F339">
        <v>5</v>
      </c>
      <c r="G339">
        <v>175</v>
      </c>
      <c r="H339" t="str">
        <f>IF(VLOOKUP(C339,Customers!A:E,5,FALSE)&gt;=1000,"YES","NO")</f>
        <v>NO</v>
      </c>
      <c r="I339">
        <f t="shared" si="5"/>
        <v>175</v>
      </c>
      <c r="J339">
        <f>(I339 - VLOOKUP(E339,Desserts!A:D,4,FALSE)) * F339</f>
        <v>455</v>
      </c>
    </row>
    <row r="340" spans="1:10" x14ac:dyDescent="0.3">
      <c r="A340" t="s">
        <v>1198</v>
      </c>
      <c r="B340" t="s">
        <v>1199</v>
      </c>
      <c r="C340" t="s">
        <v>511</v>
      </c>
      <c r="D340" t="s">
        <v>54</v>
      </c>
      <c r="E340" t="s">
        <v>589</v>
      </c>
      <c r="F340">
        <v>2</v>
      </c>
      <c r="G340">
        <v>116</v>
      </c>
      <c r="H340" t="str">
        <f>IF(VLOOKUP(C340,Customers!A:E,5,FALSE)&gt;=1000,"YES","NO")</f>
        <v>YES</v>
      </c>
      <c r="I340">
        <f t="shared" si="5"/>
        <v>58</v>
      </c>
      <c r="J340">
        <f>(I340 - VLOOKUP(E340,Desserts!A:D,4,FALSE)) * F340</f>
        <v>-26</v>
      </c>
    </row>
    <row r="341" spans="1:10" x14ac:dyDescent="0.3">
      <c r="A341" t="s">
        <v>1200</v>
      </c>
      <c r="B341" t="s">
        <v>976</v>
      </c>
      <c r="C341" t="s">
        <v>329</v>
      </c>
      <c r="D341" t="s">
        <v>5</v>
      </c>
      <c r="E341" t="s">
        <v>561</v>
      </c>
      <c r="F341">
        <v>1</v>
      </c>
      <c r="G341">
        <v>138</v>
      </c>
      <c r="H341" t="str">
        <f>IF(VLOOKUP(C341,Customers!A:E,5,FALSE)&gt;=1000,"YES","NO")</f>
        <v>YES</v>
      </c>
      <c r="I341">
        <f t="shared" si="5"/>
        <v>69</v>
      </c>
      <c r="J341">
        <f>(I341 - VLOOKUP(E341,Desserts!A:D,4,FALSE)) * F341</f>
        <v>6</v>
      </c>
    </row>
    <row r="342" spans="1:10" x14ac:dyDescent="0.3">
      <c r="A342" t="s">
        <v>1201</v>
      </c>
      <c r="B342" t="s">
        <v>721</v>
      </c>
      <c r="C342" t="s">
        <v>361</v>
      </c>
      <c r="D342" t="s">
        <v>193</v>
      </c>
      <c r="E342" t="s">
        <v>599</v>
      </c>
      <c r="F342">
        <v>3</v>
      </c>
      <c r="G342">
        <v>186</v>
      </c>
      <c r="H342" t="str">
        <f>IF(VLOOKUP(C342,Customers!A:E,5,FALSE)&gt;=1000,"YES","NO")</f>
        <v>NO</v>
      </c>
      <c r="I342">
        <f t="shared" si="5"/>
        <v>186</v>
      </c>
      <c r="J342">
        <f>(I342 - VLOOKUP(E342,Desserts!A:D,4,FALSE)) * F342</f>
        <v>318</v>
      </c>
    </row>
    <row r="343" spans="1:10" x14ac:dyDescent="0.3">
      <c r="A343" t="s">
        <v>1202</v>
      </c>
      <c r="B343" t="s">
        <v>1203</v>
      </c>
      <c r="C343" t="s">
        <v>375</v>
      </c>
      <c r="D343" t="s">
        <v>115</v>
      </c>
      <c r="E343" t="s">
        <v>529</v>
      </c>
      <c r="F343">
        <v>1</v>
      </c>
      <c r="G343">
        <v>143</v>
      </c>
      <c r="H343" t="str">
        <f>IF(VLOOKUP(C343,Customers!A:E,5,FALSE)&gt;=1000,"YES","NO")</f>
        <v>NO</v>
      </c>
      <c r="I343">
        <f t="shared" si="5"/>
        <v>143</v>
      </c>
      <c r="J343">
        <f>(I343 - VLOOKUP(E343,Desserts!A:D,4,FALSE)) * F343</f>
        <v>75</v>
      </c>
    </row>
    <row r="344" spans="1:10" x14ac:dyDescent="0.3">
      <c r="A344" t="s">
        <v>1204</v>
      </c>
      <c r="B344" t="s">
        <v>1205</v>
      </c>
      <c r="C344" t="s">
        <v>487</v>
      </c>
      <c r="D344" t="s">
        <v>205</v>
      </c>
      <c r="E344" t="s">
        <v>607</v>
      </c>
      <c r="F344">
        <v>3</v>
      </c>
      <c r="G344">
        <v>130</v>
      </c>
      <c r="H344" t="str">
        <f>IF(VLOOKUP(C344,Customers!A:E,5,FALSE)&gt;=1000,"YES","NO")</f>
        <v>NO</v>
      </c>
      <c r="I344">
        <f t="shared" si="5"/>
        <v>130</v>
      </c>
      <c r="J344">
        <f>(I344 - VLOOKUP(E344,Desserts!A:D,4,FALSE)) * F344</f>
        <v>180</v>
      </c>
    </row>
    <row r="345" spans="1:10" x14ac:dyDescent="0.3">
      <c r="A345" t="s">
        <v>1206</v>
      </c>
      <c r="B345" t="s">
        <v>655</v>
      </c>
      <c r="C345" t="s">
        <v>457</v>
      </c>
      <c r="D345" t="s">
        <v>79</v>
      </c>
      <c r="E345" t="s">
        <v>583</v>
      </c>
      <c r="F345">
        <v>5</v>
      </c>
      <c r="G345">
        <v>207</v>
      </c>
      <c r="H345" t="str">
        <f>IF(VLOOKUP(C345,Customers!A:E,5,FALSE)&gt;=1000,"YES","NO")</f>
        <v>YES</v>
      </c>
      <c r="I345">
        <f t="shared" si="5"/>
        <v>103.5</v>
      </c>
      <c r="J345">
        <f>(I345 - VLOOKUP(E345,Desserts!A:D,4,FALSE)) * F345</f>
        <v>102.5</v>
      </c>
    </row>
    <row r="346" spans="1:10" x14ac:dyDescent="0.3">
      <c r="A346" t="s">
        <v>1207</v>
      </c>
      <c r="B346" t="s">
        <v>1208</v>
      </c>
      <c r="C346" t="s">
        <v>423</v>
      </c>
      <c r="D346" t="s">
        <v>148</v>
      </c>
      <c r="E346" t="s">
        <v>549</v>
      </c>
      <c r="F346">
        <v>3</v>
      </c>
      <c r="G346">
        <v>120</v>
      </c>
      <c r="H346" t="str">
        <f>IF(VLOOKUP(C346,Customers!A:E,5,FALSE)&gt;=1000,"YES","NO")</f>
        <v>NO</v>
      </c>
      <c r="I346">
        <f t="shared" si="5"/>
        <v>120</v>
      </c>
      <c r="J346">
        <f>(I346 - VLOOKUP(E346,Desserts!A:D,4,FALSE)) * F346</f>
        <v>123</v>
      </c>
    </row>
    <row r="347" spans="1:10" x14ac:dyDescent="0.3">
      <c r="A347" t="s">
        <v>1209</v>
      </c>
      <c r="B347" t="s">
        <v>992</v>
      </c>
      <c r="C347" t="s">
        <v>469</v>
      </c>
      <c r="D347" t="s">
        <v>175</v>
      </c>
      <c r="E347" t="s">
        <v>543</v>
      </c>
      <c r="F347">
        <v>4</v>
      </c>
      <c r="G347">
        <v>237</v>
      </c>
      <c r="H347" t="str">
        <f>IF(VLOOKUP(C347,Customers!A:E,5,FALSE)&gt;=1000,"YES","NO")</f>
        <v>NO</v>
      </c>
      <c r="I347">
        <f t="shared" si="5"/>
        <v>237</v>
      </c>
      <c r="J347">
        <f>(I347 - VLOOKUP(E347,Desserts!A:D,4,FALSE)) * F347</f>
        <v>656</v>
      </c>
    </row>
    <row r="348" spans="1:10" x14ac:dyDescent="0.3">
      <c r="A348" t="s">
        <v>1210</v>
      </c>
      <c r="B348" t="s">
        <v>739</v>
      </c>
      <c r="C348" t="s">
        <v>335</v>
      </c>
      <c r="D348" t="s">
        <v>244</v>
      </c>
      <c r="E348" t="s">
        <v>557</v>
      </c>
      <c r="F348">
        <v>2</v>
      </c>
      <c r="G348">
        <v>189</v>
      </c>
      <c r="H348" t="str">
        <f>IF(VLOOKUP(C348,Customers!A:E,5,FALSE)&gt;=1000,"YES","NO")</f>
        <v>NO</v>
      </c>
      <c r="I348">
        <f t="shared" si="5"/>
        <v>189</v>
      </c>
      <c r="J348">
        <f>(I348 - VLOOKUP(E348,Desserts!A:D,4,FALSE)) * F348</f>
        <v>210</v>
      </c>
    </row>
    <row r="349" spans="1:10" x14ac:dyDescent="0.3">
      <c r="A349" t="s">
        <v>1211</v>
      </c>
      <c r="B349" t="s">
        <v>1212</v>
      </c>
      <c r="C349" t="s">
        <v>509</v>
      </c>
      <c r="D349" t="s">
        <v>27</v>
      </c>
      <c r="E349" t="s">
        <v>533</v>
      </c>
      <c r="F349">
        <v>3</v>
      </c>
      <c r="G349">
        <v>204</v>
      </c>
      <c r="H349" t="str">
        <f>IF(VLOOKUP(C349,Customers!A:E,5,FALSE)&gt;=1000,"YES","NO")</f>
        <v>NO</v>
      </c>
      <c r="I349">
        <f t="shared" si="5"/>
        <v>204</v>
      </c>
      <c r="J349">
        <f>(I349 - VLOOKUP(E349,Desserts!A:D,4,FALSE)) * F349</f>
        <v>411</v>
      </c>
    </row>
    <row r="350" spans="1:10" x14ac:dyDescent="0.3">
      <c r="A350" t="s">
        <v>1213</v>
      </c>
      <c r="B350" t="s">
        <v>1078</v>
      </c>
      <c r="C350" t="s">
        <v>491</v>
      </c>
      <c r="D350" t="s">
        <v>157</v>
      </c>
      <c r="E350" t="s">
        <v>579</v>
      </c>
      <c r="F350">
        <v>1</v>
      </c>
      <c r="G350">
        <v>157</v>
      </c>
      <c r="H350" t="str">
        <f>IF(VLOOKUP(C350,Customers!A:E,5,FALSE)&gt;=1000,"YES","NO")</f>
        <v>NO</v>
      </c>
      <c r="I350">
        <f t="shared" si="5"/>
        <v>157</v>
      </c>
      <c r="J350">
        <f>(I350 - VLOOKUP(E350,Desserts!A:D,4,FALSE)) * F350</f>
        <v>95</v>
      </c>
    </row>
    <row r="351" spans="1:10" x14ac:dyDescent="0.3">
      <c r="A351" t="s">
        <v>1214</v>
      </c>
      <c r="B351" t="s">
        <v>1215</v>
      </c>
      <c r="C351" t="s">
        <v>389</v>
      </c>
      <c r="D351" t="s">
        <v>181</v>
      </c>
      <c r="E351" t="s">
        <v>541</v>
      </c>
      <c r="F351">
        <v>5</v>
      </c>
      <c r="G351">
        <v>107</v>
      </c>
      <c r="H351" t="str">
        <f>IF(VLOOKUP(C351,Customers!A:E,5,FALSE)&gt;=1000,"YES","NO")</f>
        <v>YES</v>
      </c>
      <c r="I351">
        <f t="shared" si="5"/>
        <v>53.5</v>
      </c>
      <c r="J351">
        <f>(I351 - VLOOKUP(E351,Desserts!A:D,4,FALSE)) * F351</f>
        <v>-17.5</v>
      </c>
    </row>
    <row r="352" spans="1:10" x14ac:dyDescent="0.3">
      <c r="A352" t="s">
        <v>1216</v>
      </c>
      <c r="B352" t="s">
        <v>1062</v>
      </c>
      <c r="C352" t="s">
        <v>495</v>
      </c>
      <c r="D352" t="s">
        <v>60</v>
      </c>
      <c r="E352" t="s">
        <v>563</v>
      </c>
      <c r="F352">
        <v>3</v>
      </c>
      <c r="G352">
        <v>108</v>
      </c>
      <c r="H352" t="str">
        <f>IF(VLOOKUP(C352,Customers!A:E,5,FALSE)&gt;=1000,"YES","NO")</f>
        <v>NO</v>
      </c>
      <c r="I352">
        <f t="shared" si="5"/>
        <v>108</v>
      </c>
      <c r="J352">
        <f>(I352 - VLOOKUP(E352,Desserts!A:D,4,FALSE)) * F352</f>
        <v>129</v>
      </c>
    </row>
    <row r="353" spans="1:10" x14ac:dyDescent="0.3">
      <c r="A353" t="s">
        <v>1217</v>
      </c>
      <c r="B353" t="s">
        <v>910</v>
      </c>
      <c r="C353" t="s">
        <v>359</v>
      </c>
      <c r="D353" t="s">
        <v>232</v>
      </c>
      <c r="E353" t="s">
        <v>537</v>
      </c>
      <c r="F353">
        <v>1</v>
      </c>
      <c r="G353">
        <v>185</v>
      </c>
      <c r="H353" t="str">
        <f>IF(VLOOKUP(C353,Customers!A:E,5,FALSE)&gt;=1000,"YES","NO")</f>
        <v>YES</v>
      </c>
      <c r="I353">
        <f t="shared" si="5"/>
        <v>92.5</v>
      </c>
      <c r="J353">
        <f>(I353 - VLOOKUP(E353,Desserts!A:D,4,FALSE)) * F353</f>
        <v>8.5</v>
      </c>
    </row>
    <row r="354" spans="1:10" x14ac:dyDescent="0.3">
      <c r="A354" t="s">
        <v>1218</v>
      </c>
      <c r="B354" t="s">
        <v>1219</v>
      </c>
      <c r="C354" t="s">
        <v>497</v>
      </c>
      <c r="D354" t="s">
        <v>33</v>
      </c>
      <c r="E354" t="s">
        <v>581</v>
      </c>
      <c r="F354">
        <v>1</v>
      </c>
      <c r="G354">
        <v>106</v>
      </c>
      <c r="H354" t="str">
        <f>IF(VLOOKUP(C354,Customers!A:E,5,FALSE)&gt;=1000,"YES","NO")</f>
        <v>NO</v>
      </c>
      <c r="I354">
        <f t="shared" si="5"/>
        <v>106</v>
      </c>
      <c r="J354">
        <f>(I354 - VLOOKUP(E354,Desserts!A:D,4,FALSE)) * F354</f>
        <v>17</v>
      </c>
    </row>
    <row r="355" spans="1:10" x14ac:dyDescent="0.3">
      <c r="A355" t="s">
        <v>1220</v>
      </c>
      <c r="B355" t="s">
        <v>996</v>
      </c>
      <c r="C355" t="s">
        <v>411</v>
      </c>
      <c r="D355" t="s">
        <v>229</v>
      </c>
      <c r="E355" t="s">
        <v>547</v>
      </c>
      <c r="F355">
        <v>1</v>
      </c>
      <c r="G355">
        <v>178</v>
      </c>
      <c r="H355" t="str">
        <f>IF(VLOOKUP(C355,Customers!A:E,5,FALSE)&gt;=1000,"YES","NO")</f>
        <v>NO</v>
      </c>
      <c r="I355">
        <f t="shared" si="5"/>
        <v>178</v>
      </c>
      <c r="J355">
        <f>(I355 - VLOOKUP(E355,Desserts!A:D,4,FALSE)) * F355</f>
        <v>128</v>
      </c>
    </row>
    <row r="356" spans="1:10" x14ac:dyDescent="0.3">
      <c r="A356" t="s">
        <v>1221</v>
      </c>
      <c r="B356" t="s">
        <v>1222</v>
      </c>
      <c r="C356" t="s">
        <v>421</v>
      </c>
      <c r="D356" t="s">
        <v>262</v>
      </c>
      <c r="E356" t="s">
        <v>559</v>
      </c>
      <c r="F356">
        <v>3</v>
      </c>
      <c r="G356">
        <v>145</v>
      </c>
      <c r="H356" t="str">
        <f>IF(VLOOKUP(C356,Customers!A:E,5,FALSE)&gt;=1000,"YES","NO")</f>
        <v>YES</v>
      </c>
      <c r="I356">
        <f t="shared" si="5"/>
        <v>72.5</v>
      </c>
      <c r="J356">
        <f>(I356 - VLOOKUP(E356,Desserts!A:D,4,FALSE)) * F356</f>
        <v>52.5</v>
      </c>
    </row>
    <row r="357" spans="1:10" x14ac:dyDescent="0.3">
      <c r="A357" t="s">
        <v>1223</v>
      </c>
      <c r="B357" t="s">
        <v>1224</v>
      </c>
      <c r="C357" t="s">
        <v>401</v>
      </c>
      <c r="D357" t="s">
        <v>115</v>
      </c>
      <c r="E357" t="s">
        <v>591</v>
      </c>
      <c r="F357">
        <v>3</v>
      </c>
      <c r="G357">
        <v>238</v>
      </c>
      <c r="H357" t="str">
        <f>IF(VLOOKUP(C357,Customers!A:E,5,FALSE)&gt;=1000,"YES","NO")</f>
        <v>YES</v>
      </c>
      <c r="I357">
        <f t="shared" si="5"/>
        <v>119</v>
      </c>
      <c r="J357">
        <f>(I357 - VLOOKUP(E357,Desserts!A:D,4,FALSE)) * F357</f>
        <v>171</v>
      </c>
    </row>
    <row r="358" spans="1:10" x14ac:dyDescent="0.3">
      <c r="A358" t="s">
        <v>1225</v>
      </c>
      <c r="B358" t="s">
        <v>1226</v>
      </c>
      <c r="C358" t="s">
        <v>501</v>
      </c>
      <c r="D358" t="s">
        <v>196</v>
      </c>
      <c r="E358" t="s">
        <v>531</v>
      </c>
      <c r="F358">
        <v>1</v>
      </c>
      <c r="G358">
        <v>169</v>
      </c>
      <c r="H358" t="str">
        <f>IF(VLOOKUP(C358,Customers!A:E,5,FALSE)&gt;=1000,"YES","NO")</f>
        <v>YES</v>
      </c>
      <c r="I358">
        <f t="shared" si="5"/>
        <v>84.5</v>
      </c>
      <c r="J358">
        <f>(I358 - VLOOKUP(E358,Desserts!A:D,4,FALSE)) * F358</f>
        <v>-0.5</v>
      </c>
    </row>
    <row r="359" spans="1:10" x14ac:dyDescent="0.3">
      <c r="A359" t="s">
        <v>1227</v>
      </c>
      <c r="B359" t="s">
        <v>1016</v>
      </c>
      <c r="C359" t="s">
        <v>407</v>
      </c>
      <c r="D359" t="s">
        <v>268</v>
      </c>
      <c r="E359" t="s">
        <v>617</v>
      </c>
      <c r="F359">
        <v>1</v>
      </c>
      <c r="G359">
        <v>180</v>
      </c>
      <c r="H359" t="str">
        <f>IF(VLOOKUP(C359,Customers!A:E,5,FALSE)&gt;=1000,"YES","NO")</f>
        <v>YES</v>
      </c>
      <c r="I359">
        <f t="shared" si="5"/>
        <v>90</v>
      </c>
      <c r="J359">
        <f>(I359 - VLOOKUP(E359,Desserts!A:D,4,FALSE)) * F359</f>
        <v>49</v>
      </c>
    </row>
    <row r="360" spans="1:10" x14ac:dyDescent="0.3">
      <c r="A360" t="s">
        <v>1228</v>
      </c>
      <c r="B360" t="s">
        <v>775</v>
      </c>
      <c r="C360" t="s">
        <v>403</v>
      </c>
      <c r="D360" t="s">
        <v>196</v>
      </c>
      <c r="E360" t="s">
        <v>541</v>
      </c>
      <c r="F360">
        <v>4</v>
      </c>
      <c r="G360">
        <v>164</v>
      </c>
      <c r="H360" t="str">
        <f>IF(VLOOKUP(C360,Customers!A:E,5,FALSE)&gt;=1000,"YES","NO")</f>
        <v>NO</v>
      </c>
      <c r="I360">
        <f t="shared" si="5"/>
        <v>164</v>
      </c>
      <c r="J360">
        <f>(I360 - VLOOKUP(E360,Desserts!A:D,4,FALSE)) * F360</f>
        <v>428</v>
      </c>
    </row>
    <row r="361" spans="1:10" x14ac:dyDescent="0.3">
      <c r="A361" t="s">
        <v>1229</v>
      </c>
      <c r="B361" t="s">
        <v>626</v>
      </c>
      <c r="C361" t="s">
        <v>515</v>
      </c>
      <c r="D361" t="s">
        <v>310</v>
      </c>
      <c r="E361" t="s">
        <v>597</v>
      </c>
      <c r="F361">
        <v>1</v>
      </c>
      <c r="G361">
        <v>177</v>
      </c>
      <c r="H361" t="str">
        <f>IF(VLOOKUP(C361,Customers!A:E,5,FALSE)&gt;=1000,"YES","NO")</f>
        <v>YES</v>
      </c>
      <c r="I361">
        <f t="shared" si="5"/>
        <v>88.5</v>
      </c>
      <c r="J361">
        <f>(I361 - VLOOKUP(E361,Desserts!A:D,4,FALSE)) * F361</f>
        <v>43.5</v>
      </c>
    </row>
    <row r="362" spans="1:10" x14ac:dyDescent="0.3">
      <c r="A362" t="s">
        <v>1230</v>
      </c>
      <c r="B362" t="s">
        <v>644</v>
      </c>
      <c r="C362" t="s">
        <v>437</v>
      </c>
      <c r="D362" t="s">
        <v>283</v>
      </c>
      <c r="E362" t="s">
        <v>611</v>
      </c>
      <c r="F362">
        <v>4</v>
      </c>
      <c r="G362">
        <v>153</v>
      </c>
      <c r="H362" t="str">
        <f>IF(VLOOKUP(C362,Customers!A:E,5,FALSE)&gt;=1000,"YES","NO")</f>
        <v>NO</v>
      </c>
      <c r="I362">
        <f t="shared" si="5"/>
        <v>153</v>
      </c>
      <c r="J362">
        <f>(I362 - VLOOKUP(E362,Desserts!A:D,4,FALSE)) * F362</f>
        <v>440</v>
      </c>
    </row>
    <row r="363" spans="1:10" x14ac:dyDescent="0.3">
      <c r="A363" t="s">
        <v>1231</v>
      </c>
      <c r="B363" t="s">
        <v>1098</v>
      </c>
      <c r="C363" t="s">
        <v>499</v>
      </c>
      <c r="D363" t="s">
        <v>310</v>
      </c>
      <c r="E363" t="s">
        <v>615</v>
      </c>
      <c r="F363">
        <v>1</v>
      </c>
      <c r="G363">
        <v>183</v>
      </c>
      <c r="H363" t="str">
        <f>IF(VLOOKUP(C363,Customers!A:E,5,FALSE)&gt;=1000,"YES","NO")</f>
        <v>NO</v>
      </c>
      <c r="I363">
        <f t="shared" si="5"/>
        <v>183</v>
      </c>
      <c r="J363">
        <f>(I363 - VLOOKUP(E363,Desserts!A:D,4,FALSE)) * F363</f>
        <v>141</v>
      </c>
    </row>
    <row r="364" spans="1:10" x14ac:dyDescent="0.3">
      <c r="A364" t="s">
        <v>1232</v>
      </c>
      <c r="B364" t="s">
        <v>1233</v>
      </c>
      <c r="C364" t="s">
        <v>331</v>
      </c>
      <c r="D364" t="s">
        <v>13</v>
      </c>
      <c r="E364" t="s">
        <v>583</v>
      </c>
      <c r="F364">
        <v>1</v>
      </c>
      <c r="G364">
        <v>153</v>
      </c>
      <c r="H364" t="str">
        <f>IF(VLOOKUP(C364,Customers!A:E,5,FALSE)&gt;=1000,"YES","NO")</f>
        <v>YES</v>
      </c>
      <c r="I364">
        <f t="shared" si="5"/>
        <v>76.5</v>
      </c>
      <c r="J364">
        <f>(I364 - VLOOKUP(E364,Desserts!A:D,4,FALSE)) * F364</f>
        <v>-6.5</v>
      </c>
    </row>
    <row r="365" spans="1:10" x14ac:dyDescent="0.3">
      <c r="A365" t="s">
        <v>1234</v>
      </c>
      <c r="B365" t="s">
        <v>1169</v>
      </c>
      <c r="C365" t="s">
        <v>499</v>
      </c>
      <c r="D365" t="s">
        <v>66</v>
      </c>
      <c r="E365" t="s">
        <v>555</v>
      </c>
      <c r="F365">
        <v>2</v>
      </c>
      <c r="G365">
        <v>159</v>
      </c>
      <c r="H365" t="str">
        <f>IF(VLOOKUP(C365,Customers!A:E,5,FALSE)&gt;=1000,"YES","NO")</f>
        <v>NO</v>
      </c>
      <c r="I365">
        <f t="shared" si="5"/>
        <v>159</v>
      </c>
      <c r="J365">
        <f>(I365 - VLOOKUP(E365,Desserts!A:D,4,FALSE)) * F365</f>
        <v>168</v>
      </c>
    </row>
    <row r="366" spans="1:10" x14ac:dyDescent="0.3">
      <c r="A366" t="s">
        <v>1235</v>
      </c>
      <c r="B366" t="s">
        <v>985</v>
      </c>
      <c r="C366" t="s">
        <v>395</v>
      </c>
      <c r="D366" t="s">
        <v>30</v>
      </c>
      <c r="E366" t="s">
        <v>553</v>
      </c>
      <c r="F366">
        <v>1</v>
      </c>
      <c r="G366">
        <v>222</v>
      </c>
      <c r="H366" t="str">
        <f>IF(VLOOKUP(C366,Customers!A:E,5,FALSE)&gt;=1000,"YES","NO")</f>
        <v>NO</v>
      </c>
      <c r="I366">
        <f t="shared" si="5"/>
        <v>222</v>
      </c>
      <c r="J366">
        <f>(I366 - VLOOKUP(E366,Desserts!A:D,4,FALSE)) * F366</f>
        <v>162</v>
      </c>
    </row>
    <row r="367" spans="1:10" x14ac:dyDescent="0.3">
      <c r="A367" t="s">
        <v>1236</v>
      </c>
      <c r="B367" t="s">
        <v>1237</v>
      </c>
      <c r="C367" t="s">
        <v>445</v>
      </c>
      <c r="D367" t="s">
        <v>310</v>
      </c>
      <c r="E367" t="s">
        <v>559</v>
      </c>
      <c r="F367">
        <v>4</v>
      </c>
      <c r="G367">
        <v>119</v>
      </c>
      <c r="H367" t="str">
        <f>IF(VLOOKUP(C367,Customers!A:E,5,FALSE)&gt;=1000,"YES","NO")</f>
        <v>NO</v>
      </c>
      <c r="I367">
        <f t="shared" si="5"/>
        <v>119</v>
      </c>
      <c r="J367">
        <f>(I367 - VLOOKUP(E367,Desserts!A:D,4,FALSE)) * F367</f>
        <v>256</v>
      </c>
    </row>
    <row r="368" spans="1:10" x14ac:dyDescent="0.3">
      <c r="A368" t="s">
        <v>1238</v>
      </c>
      <c r="B368" t="s">
        <v>689</v>
      </c>
      <c r="C368" t="s">
        <v>379</v>
      </c>
      <c r="D368" t="s">
        <v>9</v>
      </c>
      <c r="E368" t="s">
        <v>593</v>
      </c>
      <c r="F368">
        <v>5</v>
      </c>
      <c r="G368">
        <v>216</v>
      </c>
      <c r="H368" t="str">
        <f>IF(VLOOKUP(C368,Customers!A:E,5,FALSE)&gt;=1000,"YES","NO")</f>
        <v>NO</v>
      </c>
      <c r="I368">
        <f t="shared" si="5"/>
        <v>216</v>
      </c>
      <c r="J368">
        <f>(I368 - VLOOKUP(E368,Desserts!A:D,4,FALSE)) * F368</f>
        <v>810</v>
      </c>
    </row>
    <row r="369" spans="1:10" x14ac:dyDescent="0.3">
      <c r="A369" t="s">
        <v>1239</v>
      </c>
      <c r="B369" t="s">
        <v>1240</v>
      </c>
      <c r="C369" t="s">
        <v>513</v>
      </c>
      <c r="D369" t="s">
        <v>145</v>
      </c>
      <c r="E369" t="s">
        <v>523</v>
      </c>
      <c r="F369">
        <v>2</v>
      </c>
      <c r="G369">
        <v>103</v>
      </c>
      <c r="H369" t="str">
        <f>IF(VLOOKUP(C369,Customers!A:E,5,FALSE)&gt;=1000,"YES","NO")</f>
        <v>YES</v>
      </c>
      <c r="I369">
        <f t="shared" si="5"/>
        <v>51.5</v>
      </c>
      <c r="J369">
        <f>(I369 - VLOOKUP(E369,Desserts!A:D,4,FALSE)) * F369</f>
        <v>-33</v>
      </c>
    </row>
    <row r="370" spans="1:10" x14ac:dyDescent="0.3">
      <c r="A370" t="s">
        <v>1241</v>
      </c>
      <c r="B370" t="s">
        <v>1242</v>
      </c>
      <c r="C370" t="s">
        <v>363</v>
      </c>
      <c r="D370" t="s">
        <v>265</v>
      </c>
      <c r="E370" t="s">
        <v>583</v>
      </c>
      <c r="F370">
        <v>4</v>
      </c>
      <c r="G370">
        <v>248</v>
      </c>
      <c r="H370" t="str">
        <f>IF(VLOOKUP(C370,Customers!A:E,5,FALSE)&gt;=1000,"YES","NO")</f>
        <v>YES</v>
      </c>
      <c r="I370">
        <f t="shared" si="5"/>
        <v>124</v>
      </c>
      <c r="J370">
        <f>(I370 - VLOOKUP(E370,Desserts!A:D,4,FALSE)) * F370</f>
        <v>164</v>
      </c>
    </row>
    <row r="371" spans="1:10" x14ac:dyDescent="0.3">
      <c r="A371" t="s">
        <v>1243</v>
      </c>
      <c r="B371" t="s">
        <v>1142</v>
      </c>
      <c r="C371" t="s">
        <v>327</v>
      </c>
      <c r="D371" t="s">
        <v>232</v>
      </c>
      <c r="E371" t="s">
        <v>587</v>
      </c>
      <c r="F371">
        <v>2</v>
      </c>
      <c r="G371">
        <v>248</v>
      </c>
      <c r="H371" t="str">
        <f>IF(VLOOKUP(C371,Customers!A:E,5,FALSE)&gt;=1000,"YES","NO")</f>
        <v>YES</v>
      </c>
      <c r="I371">
        <f t="shared" si="5"/>
        <v>124</v>
      </c>
      <c r="J371">
        <f>(I371 - VLOOKUP(E371,Desserts!A:D,4,FALSE)) * F371</f>
        <v>104</v>
      </c>
    </row>
    <row r="372" spans="1:10" x14ac:dyDescent="0.3">
      <c r="A372" t="s">
        <v>1244</v>
      </c>
      <c r="B372" t="s">
        <v>1245</v>
      </c>
      <c r="C372" t="s">
        <v>513</v>
      </c>
      <c r="D372" t="s">
        <v>241</v>
      </c>
      <c r="E372" t="s">
        <v>599</v>
      </c>
      <c r="F372">
        <v>3</v>
      </c>
      <c r="G372">
        <v>215</v>
      </c>
      <c r="H372" t="str">
        <f>IF(VLOOKUP(C372,Customers!A:E,5,FALSE)&gt;=1000,"YES","NO")</f>
        <v>YES</v>
      </c>
      <c r="I372">
        <f t="shared" si="5"/>
        <v>107.5</v>
      </c>
      <c r="J372">
        <f>(I372 - VLOOKUP(E372,Desserts!A:D,4,FALSE)) * F372</f>
        <v>82.5</v>
      </c>
    </row>
    <row r="373" spans="1:10" x14ac:dyDescent="0.3">
      <c r="A373" t="s">
        <v>1246</v>
      </c>
      <c r="B373" t="s">
        <v>1247</v>
      </c>
      <c r="C373" t="s">
        <v>493</v>
      </c>
      <c r="D373" t="s">
        <v>199</v>
      </c>
      <c r="E373" t="s">
        <v>611</v>
      </c>
      <c r="F373">
        <v>4</v>
      </c>
      <c r="G373">
        <v>185</v>
      </c>
      <c r="H373" t="str">
        <f>IF(VLOOKUP(C373,Customers!A:E,5,FALSE)&gt;=1000,"YES","NO")</f>
        <v>NO</v>
      </c>
      <c r="I373">
        <f t="shared" si="5"/>
        <v>185</v>
      </c>
      <c r="J373">
        <f>(I373 - VLOOKUP(E373,Desserts!A:D,4,FALSE)) * F373</f>
        <v>568</v>
      </c>
    </row>
    <row r="374" spans="1:10" x14ac:dyDescent="0.3">
      <c r="A374" t="s">
        <v>1248</v>
      </c>
      <c r="B374" t="s">
        <v>976</v>
      </c>
      <c r="C374" t="s">
        <v>331</v>
      </c>
      <c r="D374" t="s">
        <v>214</v>
      </c>
      <c r="E374" t="s">
        <v>539</v>
      </c>
      <c r="F374">
        <v>3</v>
      </c>
      <c r="G374">
        <v>122</v>
      </c>
      <c r="H374" t="str">
        <f>IF(VLOOKUP(C374,Customers!A:E,5,FALSE)&gt;=1000,"YES","NO")</f>
        <v>YES</v>
      </c>
      <c r="I374">
        <f t="shared" si="5"/>
        <v>61</v>
      </c>
      <c r="J374">
        <f>(I374 - VLOOKUP(E374,Desserts!A:D,4,FALSE)) * F374</f>
        <v>-3</v>
      </c>
    </row>
    <row r="375" spans="1:10" x14ac:dyDescent="0.3">
      <c r="A375" t="s">
        <v>1249</v>
      </c>
      <c r="B375" t="s">
        <v>1222</v>
      </c>
      <c r="C375" t="s">
        <v>349</v>
      </c>
      <c r="D375" t="s">
        <v>76</v>
      </c>
      <c r="E375" t="s">
        <v>579</v>
      </c>
      <c r="F375">
        <v>5</v>
      </c>
      <c r="G375">
        <v>239</v>
      </c>
      <c r="H375" t="str">
        <f>IF(VLOOKUP(C375,Customers!A:E,5,FALSE)&gt;=1000,"YES","NO")</f>
        <v>NO</v>
      </c>
      <c r="I375">
        <f t="shared" si="5"/>
        <v>239</v>
      </c>
      <c r="J375">
        <f>(I375 - VLOOKUP(E375,Desserts!A:D,4,FALSE)) * F375</f>
        <v>885</v>
      </c>
    </row>
    <row r="376" spans="1:10" x14ac:dyDescent="0.3">
      <c r="A376" t="s">
        <v>1250</v>
      </c>
      <c r="B376" t="s">
        <v>890</v>
      </c>
      <c r="C376" t="s">
        <v>399</v>
      </c>
      <c r="D376" t="s">
        <v>172</v>
      </c>
      <c r="E376" t="s">
        <v>571</v>
      </c>
      <c r="F376">
        <v>4</v>
      </c>
      <c r="G376">
        <v>149</v>
      </c>
      <c r="H376" t="str">
        <f>IF(VLOOKUP(C376,Customers!A:E,5,FALSE)&gt;=1000,"YES","NO")</f>
        <v>YES</v>
      </c>
      <c r="I376">
        <f t="shared" si="5"/>
        <v>74.5</v>
      </c>
      <c r="J376">
        <f>(I376 - VLOOKUP(E376,Desserts!A:D,4,FALSE)) * F376</f>
        <v>134</v>
      </c>
    </row>
    <row r="377" spans="1:10" x14ac:dyDescent="0.3">
      <c r="A377" t="s">
        <v>1251</v>
      </c>
      <c r="B377" t="s">
        <v>735</v>
      </c>
      <c r="C377" t="s">
        <v>475</v>
      </c>
      <c r="D377" t="s">
        <v>214</v>
      </c>
      <c r="E377" t="s">
        <v>539</v>
      </c>
      <c r="F377">
        <v>2</v>
      </c>
      <c r="G377">
        <v>194</v>
      </c>
      <c r="H377" t="str">
        <f>IF(VLOOKUP(C377,Customers!A:E,5,FALSE)&gt;=1000,"YES","NO")</f>
        <v>NO</v>
      </c>
      <c r="I377">
        <f t="shared" si="5"/>
        <v>194</v>
      </c>
      <c r="J377">
        <f>(I377 - VLOOKUP(E377,Desserts!A:D,4,FALSE)) * F377</f>
        <v>264</v>
      </c>
    </row>
    <row r="378" spans="1:10" x14ac:dyDescent="0.3">
      <c r="A378" t="s">
        <v>1252</v>
      </c>
      <c r="B378" t="s">
        <v>1253</v>
      </c>
      <c r="C378" t="s">
        <v>475</v>
      </c>
      <c r="D378" t="s">
        <v>30</v>
      </c>
      <c r="E378" t="s">
        <v>529</v>
      </c>
      <c r="F378">
        <v>5</v>
      </c>
      <c r="G378">
        <v>133</v>
      </c>
      <c r="H378" t="str">
        <f>IF(VLOOKUP(C378,Customers!A:E,5,FALSE)&gt;=1000,"YES","NO")</f>
        <v>NO</v>
      </c>
      <c r="I378">
        <f t="shared" si="5"/>
        <v>133</v>
      </c>
      <c r="J378">
        <f>(I378 - VLOOKUP(E378,Desserts!A:D,4,FALSE)) * F378</f>
        <v>325</v>
      </c>
    </row>
    <row r="379" spans="1:10" x14ac:dyDescent="0.3">
      <c r="A379" t="s">
        <v>1254</v>
      </c>
      <c r="B379" t="s">
        <v>753</v>
      </c>
      <c r="C379" t="s">
        <v>349</v>
      </c>
      <c r="D379" t="s">
        <v>40</v>
      </c>
      <c r="E379" t="s">
        <v>539</v>
      </c>
      <c r="F379">
        <v>3</v>
      </c>
      <c r="G379">
        <v>164</v>
      </c>
      <c r="H379" t="str">
        <f>IF(VLOOKUP(C379,Customers!A:E,5,FALSE)&gt;=1000,"YES","NO")</f>
        <v>NO</v>
      </c>
      <c r="I379">
        <f t="shared" si="5"/>
        <v>164</v>
      </c>
      <c r="J379">
        <f>(I379 - VLOOKUP(E379,Desserts!A:D,4,FALSE)) * F379</f>
        <v>306</v>
      </c>
    </row>
    <row r="380" spans="1:10" x14ac:dyDescent="0.3">
      <c r="A380" t="s">
        <v>1255</v>
      </c>
      <c r="B380" t="s">
        <v>1199</v>
      </c>
      <c r="C380" t="s">
        <v>387</v>
      </c>
      <c r="D380" t="s">
        <v>196</v>
      </c>
      <c r="E380" t="s">
        <v>527</v>
      </c>
      <c r="F380">
        <v>4</v>
      </c>
      <c r="G380">
        <v>139</v>
      </c>
      <c r="H380" t="str">
        <f>IF(VLOOKUP(C380,Customers!A:E,5,FALSE)&gt;=1000,"YES","NO")</f>
        <v>NO</v>
      </c>
      <c r="I380">
        <f t="shared" si="5"/>
        <v>139</v>
      </c>
      <c r="J380">
        <f>(I380 - VLOOKUP(E380,Desserts!A:D,4,FALSE)) * F380</f>
        <v>384</v>
      </c>
    </row>
    <row r="381" spans="1:10" x14ac:dyDescent="0.3">
      <c r="A381" t="s">
        <v>1256</v>
      </c>
      <c r="B381" t="s">
        <v>789</v>
      </c>
      <c r="C381" t="s">
        <v>469</v>
      </c>
      <c r="D381" t="s">
        <v>27</v>
      </c>
      <c r="E381" t="s">
        <v>601</v>
      </c>
      <c r="F381">
        <v>4</v>
      </c>
      <c r="G381">
        <v>226</v>
      </c>
      <c r="H381" t="str">
        <f>IF(VLOOKUP(C381,Customers!A:E,5,FALSE)&gt;=1000,"YES","NO")</f>
        <v>NO</v>
      </c>
      <c r="I381">
        <f t="shared" si="5"/>
        <v>226</v>
      </c>
      <c r="J381">
        <f>(I381 - VLOOKUP(E381,Desserts!A:D,4,FALSE)) * F381</f>
        <v>684</v>
      </c>
    </row>
    <row r="382" spans="1:10" x14ac:dyDescent="0.3">
      <c r="A382" t="s">
        <v>1257</v>
      </c>
      <c r="B382" t="s">
        <v>1258</v>
      </c>
      <c r="C382" t="s">
        <v>381</v>
      </c>
      <c r="D382" t="s">
        <v>43</v>
      </c>
      <c r="E382" t="s">
        <v>521</v>
      </c>
      <c r="F382">
        <v>1</v>
      </c>
      <c r="G382">
        <v>120</v>
      </c>
      <c r="H382" t="str">
        <f>IF(VLOOKUP(C382,Customers!A:E,5,FALSE)&gt;=1000,"YES","NO")</f>
        <v>NO</v>
      </c>
      <c r="I382">
        <f t="shared" si="5"/>
        <v>120</v>
      </c>
      <c r="J382">
        <f>(I382 - VLOOKUP(E382,Desserts!A:D,4,FALSE)) * F382</f>
        <v>56</v>
      </c>
    </row>
    <row r="383" spans="1:10" x14ac:dyDescent="0.3">
      <c r="A383" t="s">
        <v>1259</v>
      </c>
      <c r="B383" t="s">
        <v>675</v>
      </c>
      <c r="C383" t="s">
        <v>333</v>
      </c>
      <c r="D383" t="s">
        <v>66</v>
      </c>
      <c r="E383" t="s">
        <v>529</v>
      </c>
      <c r="F383">
        <v>2</v>
      </c>
      <c r="G383">
        <v>116</v>
      </c>
      <c r="H383" t="str">
        <f>IF(VLOOKUP(C383,Customers!A:E,5,FALSE)&gt;=1000,"YES","NO")</f>
        <v>YES</v>
      </c>
      <c r="I383">
        <f t="shared" si="5"/>
        <v>58</v>
      </c>
      <c r="J383">
        <f>(I383 - VLOOKUP(E383,Desserts!A:D,4,FALSE)) * F383</f>
        <v>-20</v>
      </c>
    </row>
    <row r="384" spans="1:10" x14ac:dyDescent="0.3">
      <c r="A384" t="s">
        <v>1260</v>
      </c>
      <c r="B384" t="s">
        <v>1261</v>
      </c>
      <c r="C384" t="s">
        <v>457</v>
      </c>
      <c r="D384" t="s">
        <v>187</v>
      </c>
      <c r="E384" t="s">
        <v>539</v>
      </c>
      <c r="F384">
        <v>3</v>
      </c>
      <c r="G384">
        <v>121</v>
      </c>
      <c r="H384" t="str">
        <f>IF(VLOOKUP(C384,Customers!A:E,5,FALSE)&gt;=1000,"YES","NO")</f>
        <v>YES</v>
      </c>
      <c r="I384">
        <f t="shared" si="5"/>
        <v>60.5</v>
      </c>
      <c r="J384">
        <f>(I384 - VLOOKUP(E384,Desserts!A:D,4,FALSE)) * F384</f>
        <v>-4.5</v>
      </c>
    </row>
    <row r="385" spans="1:10" x14ac:dyDescent="0.3">
      <c r="A385" t="s">
        <v>1262</v>
      </c>
      <c r="B385" t="s">
        <v>1253</v>
      </c>
      <c r="C385" t="s">
        <v>467</v>
      </c>
      <c r="D385" t="s">
        <v>13</v>
      </c>
      <c r="E385" t="s">
        <v>575</v>
      </c>
      <c r="F385">
        <v>3</v>
      </c>
      <c r="G385">
        <v>221</v>
      </c>
      <c r="H385" t="str">
        <f>IF(VLOOKUP(C385,Customers!A:E,5,FALSE)&gt;=1000,"YES","NO")</f>
        <v>YES</v>
      </c>
      <c r="I385">
        <f t="shared" si="5"/>
        <v>110.5</v>
      </c>
      <c r="J385">
        <f>(I385 - VLOOKUP(E385,Desserts!A:D,4,FALSE)) * F385</f>
        <v>106.5</v>
      </c>
    </row>
    <row r="386" spans="1:10" x14ac:dyDescent="0.3">
      <c r="A386" t="s">
        <v>1263</v>
      </c>
      <c r="B386" t="s">
        <v>1194</v>
      </c>
      <c r="C386" t="s">
        <v>505</v>
      </c>
      <c r="D386" t="s">
        <v>229</v>
      </c>
      <c r="E386" t="s">
        <v>559</v>
      </c>
      <c r="F386">
        <v>3</v>
      </c>
      <c r="G386">
        <v>230</v>
      </c>
      <c r="H386" t="str">
        <f>IF(VLOOKUP(C386,Customers!A:E,5,FALSE)&gt;=1000,"YES","NO")</f>
        <v>YES</v>
      </c>
      <c r="I386">
        <f t="shared" ref="I386:I449" si="6">IF(H386="YES",G386*0.5,G386)</f>
        <v>115</v>
      </c>
      <c r="J386">
        <f>(I386 - VLOOKUP(E386,Desserts!A:D,4,FALSE)) * F386</f>
        <v>180</v>
      </c>
    </row>
    <row r="387" spans="1:10" x14ac:dyDescent="0.3">
      <c r="A387" t="s">
        <v>1264</v>
      </c>
      <c r="B387" t="s">
        <v>1265</v>
      </c>
      <c r="C387" t="s">
        <v>433</v>
      </c>
      <c r="D387" t="s">
        <v>130</v>
      </c>
      <c r="E387" t="s">
        <v>533</v>
      </c>
      <c r="F387">
        <v>1</v>
      </c>
      <c r="G387">
        <v>249</v>
      </c>
      <c r="H387" t="str">
        <f>IF(VLOOKUP(C387,Customers!A:E,5,FALSE)&gt;=1000,"YES","NO")</f>
        <v>YES</v>
      </c>
      <c r="I387">
        <f t="shared" si="6"/>
        <v>124.5</v>
      </c>
      <c r="J387">
        <f>(I387 - VLOOKUP(E387,Desserts!A:D,4,FALSE)) * F387</f>
        <v>57.5</v>
      </c>
    </row>
    <row r="388" spans="1:10" x14ac:dyDescent="0.3">
      <c r="A388" t="s">
        <v>1266</v>
      </c>
      <c r="B388" t="s">
        <v>669</v>
      </c>
      <c r="C388" t="s">
        <v>359</v>
      </c>
      <c r="D388" t="s">
        <v>268</v>
      </c>
      <c r="E388" t="s">
        <v>545</v>
      </c>
      <c r="F388">
        <v>1</v>
      </c>
      <c r="G388">
        <v>195</v>
      </c>
      <c r="H388" t="str">
        <f>IF(VLOOKUP(C388,Customers!A:E,5,FALSE)&gt;=1000,"YES","NO")</f>
        <v>YES</v>
      </c>
      <c r="I388">
        <f t="shared" si="6"/>
        <v>97.5</v>
      </c>
      <c r="J388">
        <f>(I388 - VLOOKUP(E388,Desserts!A:D,4,FALSE)) * F388</f>
        <v>52.5</v>
      </c>
    </row>
    <row r="389" spans="1:10" x14ac:dyDescent="0.3">
      <c r="A389" t="s">
        <v>1267</v>
      </c>
      <c r="B389" t="s">
        <v>1096</v>
      </c>
      <c r="C389" t="s">
        <v>461</v>
      </c>
      <c r="D389" t="s">
        <v>262</v>
      </c>
      <c r="E389" t="s">
        <v>551</v>
      </c>
      <c r="F389">
        <v>4</v>
      </c>
      <c r="G389">
        <v>156</v>
      </c>
      <c r="H389" t="str">
        <f>IF(VLOOKUP(C389,Customers!A:E,5,FALSE)&gt;=1000,"YES","NO")</f>
        <v>YES</v>
      </c>
      <c r="I389">
        <f t="shared" si="6"/>
        <v>78</v>
      </c>
      <c r="J389">
        <f>(I389 - VLOOKUP(E389,Desserts!A:D,4,FALSE)) * F389</f>
        <v>36</v>
      </c>
    </row>
    <row r="390" spans="1:10" x14ac:dyDescent="0.3">
      <c r="A390" t="s">
        <v>1268</v>
      </c>
      <c r="B390" t="s">
        <v>1208</v>
      </c>
      <c r="C390" t="s">
        <v>425</v>
      </c>
      <c r="D390" t="s">
        <v>124</v>
      </c>
      <c r="E390" t="s">
        <v>593</v>
      </c>
      <c r="F390">
        <v>3</v>
      </c>
      <c r="G390">
        <v>208</v>
      </c>
      <c r="H390" t="str">
        <f>IF(VLOOKUP(C390,Customers!A:E,5,FALSE)&gt;=1000,"YES","NO")</f>
        <v>NO</v>
      </c>
      <c r="I390">
        <f t="shared" si="6"/>
        <v>208</v>
      </c>
      <c r="J390">
        <f>(I390 - VLOOKUP(E390,Desserts!A:D,4,FALSE)) * F390</f>
        <v>462</v>
      </c>
    </row>
    <row r="391" spans="1:10" x14ac:dyDescent="0.3">
      <c r="A391" t="s">
        <v>1269</v>
      </c>
      <c r="B391" t="s">
        <v>1090</v>
      </c>
      <c r="C391" t="s">
        <v>323</v>
      </c>
      <c r="D391" t="s">
        <v>20</v>
      </c>
      <c r="E391" t="s">
        <v>539</v>
      </c>
      <c r="F391">
        <v>4</v>
      </c>
      <c r="G391">
        <v>139</v>
      </c>
      <c r="H391" t="str">
        <f>IF(VLOOKUP(C391,Customers!A:E,5,FALSE)&gt;=1000,"YES","NO")</f>
        <v>NO</v>
      </c>
      <c r="I391">
        <f t="shared" si="6"/>
        <v>139</v>
      </c>
      <c r="J391">
        <f>(I391 - VLOOKUP(E391,Desserts!A:D,4,FALSE)) * F391</f>
        <v>308</v>
      </c>
    </row>
    <row r="392" spans="1:10" x14ac:dyDescent="0.3">
      <c r="A392" t="s">
        <v>1270</v>
      </c>
      <c r="B392" t="s">
        <v>882</v>
      </c>
      <c r="C392" t="s">
        <v>339</v>
      </c>
      <c r="D392" t="s">
        <v>241</v>
      </c>
      <c r="E392" t="s">
        <v>557</v>
      </c>
      <c r="F392">
        <v>2</v>
      </c>
      <c r="G392">
        <v>169</v>
      </c>
      <c r="H392" t="str">
        <f>IF(VLOOKUP(C392,Customers!A:E,5,FALSE)&gt;=1000,"YES","NO")</f>
        <v>NO</v>
      </c>
      <c r="I392">
        <f t="shared" si="6"/>
        <v>169</v>
      </c>
      <c r="J392">
        <f>(I392 - VLOOKUP(E392,Desserts!A:D,4,FALSE)) * F392</f>
        <v>170</v>
      </c>
    </row>
    <row r="393" spans="1:10" x14ac:dyDescent="0.3">
      <c r="A393" t="s">
        <v>1271</v>
      </c>
      <c r="B393" t="s">
        <v>1240</v>
      </c>
      <c r="C393" t="s">
        <v>363</v>
      </c>
      <c r="D393" t="s">
        <v>118</v>
      </c>
      <c r="E393" t="s">
        <v>583</v>
      </c>
      <c r="F393">
        <v>4</v>
      </c>
      <c r="G393">
        <v>190</v>
      </c>
      <c r="H393" t="str">
        <f>IF(VLOOKUP(C393,Customers!A:E,5,FALSE)&gt;=1000,"YES","NO")</f>
        <v>YES</v>
      </c>
      <c r="I393">
        <f t="shared" si="6"/>
        <v>95</v>
      </c>
      <c r="J393">
        <f>(I393 - VLOOKUP(E393,Desserts!A:D,4,FALSE)) * F393</f>
        <v>48</v>
      </c>
    </row>
    <row r="394" spans="1:10" x14ac:dyDescent="0.3">
      <c r="A394" t="s">
        <v>1272</v>
      </c>
      <c r="B394" t="s">
        <v>940</v>
      </c>
      <c r="C394" t="s">
        <v>323</v>
      </c>
      <c r="D394" t="s">
        <v>289</v>
      </c>
      <c r="E394" t="s">
        <v>593</v>
      </c>
      <c r="F394">
        <v>3</v>
      </c>
      <c r="G394">
        <v>201</v>
      </c>
      <c r="H394" t="str">
        <f>IF(VLOOKUP(C394,Customers!A:E,5,FALSE)&gt;=1000,"YES","NO")</f>
        <v>NO</v>
      </c>
      <c r="I394">
        <f t="shared" si="6"/>
        <v>201</v>
      </c>
      <c r="J394">
        <f>(I394 - VLOOKUP(E394,Desserts!A:D,4,FALSE)) * F394</f>
        <v>441</v>
      </c>
    </row>
    <row r="395" spans="1:10" x14ac:dyDescent="0.3">
      <c r="A395" t="s">
        <v>1273</v>
      </c>
      <c r="B395" t="s">
        <v>1274</v>
      </c>
      <c r="C395" t="s">
        <v>501</v>
      </c>
      <c r="D395" t="s">
        <v>289</v>
      </c>
      <c r="E395" t="s">
        <v>545</v>
      </c>
      <c r="F395">
        <v>5</v>
      </c>
      <c r="G395">
        <v>114</v>
      </c>
      <c r="H395" t="str">
        <f>IF(VLOOKUP(C395,Customers!A:E,5,FALSE)&gt;=1000,"YES","NO")</f>
        <v>YES</v>
      </c>
      <c r="I395">
        <f t="shared" si="6"/>
        <v>57</v>
      </c>
      <c r="J395">
        <f>(I395 - VLOOKUP(E395,Desserts!A:D,4,FALSE)) * F395</f>
        <v>60</v>
      </c>
    </row>
    <row r="396" spans="1:10" x14ac:dyDescent="0.3">
      <c r="A396" t="s">
        <v>1275</v>
      </c>
      <c r="B396" t="s">
        <v>1059</v>
      </c>
      <c r="C396" t="s">
        <v>467</v>
      </c>
      <c r="D396" t="s">
        <v>253</v>
      </c>
      <c r="E396" t="s">
        <v>557</v>
      </c>
      <c r="F396">
        <v>1</v>
      </c>
      <c r="G396">
        <v>111</v>
      </c>
      <c r="H396" t="str">
        <f>IF(VLOOKUP(C396,Customers!A:E,5,FALSE)&gt;=1000,"YES","NO")</f>
        <v>YES</v>
      </c>
      <c r="I396">
        <f t="shared" si="6"/>
        <v>55.5</v>
      </c>
      <c r="J396">
        <f>(I396 - VLOOKUP(E396,Desserts!A:D,4,FALSE)) * F396</f>
        <v>-28.5</v>
      </c>
    </row>
    <row r="397" spans="1:10" x14ac:dyDescent="0.3">
      <c r="A397" t="s">
        <v>1276</v>
      </c>
      <c r="B397" t="s">
        <v>1277</v>
      </c>
      <c r="C397" t="s">
        <v>447</v>
      </c>
      <c r="D397" t="s">
        <v>205</v>
      </c>
      <c r="E397" t="s">
        <v>559</v>
      </c>
      <c r="F397">
        <v>3</v>
      </c>
      <c r="G397">
        <v>123</v>
      </c>
      <c r="H397" t="str">
        <f>IF(VLOOKUP(C397,Customers!A:E,5,FALSE)&gt;=1000,"YES","NO")</f>
        <v>YES</v>
      </c>
      <c r="I397">
        <f t="shared" si="6"/>
        <v>61.5</v>
      </c>
      <c r="J397">
        <f>(I397 - VLOOKUP(E397,Desserts!A:D,4,FALSE)) * F397</f>
        <v>19.5</v>
      </c>
    </row>
    <row r="398" spans="1:10" x14ac:dyDescent="0.3">
      <c r="A398" t="s">
        <v>1278</v>
      </c>
      <c r="B398" t="s">
        <v>1190</v>
      </c>
      <c r="C398" t="s">
        <v>437</v>
      </c>
      <c r="D398" t="s">
        <v>292</v>
      </c>
      <c r="E398" t="s">
        <v>551</v>
      </c>
      <c r="F398">
        <v>3</v>
      </c>
      <c r="G398">
        <v>113</v>
      </c>
      <c r="H398" t="str">
        <f>IF(VLOOKUP(C398,Customers!A:E,5,FALSE)&gt;=1000,"YES","NO")</f>
        <v>NO</v>
      </c>
      <c r="I398">
        <f t="shared" si="6"/>
        <v>113</v>
      </c>
      <c r="J398">
        <f>(I398 - VLOOKUP(E398,Desserts!A:D,4,FALSE)) * F398</f>
        <v>132</v>
      </c>
    </row>
    <row r="399" spans="1:10" x14ac:dyDescent="0.3">
      <c r="A399" t="s">
        <v>1279</v>
      </c>
      <c r="B399" t="s">
        <v>1280</v>
      </c>
      <c r="C399" t="s">
        <v>489</v>
      </c>
      <c r="D399" t="s">
        <v>178</v>
      </c>
      <c r="E399" t="s">
        <v>585</v>
      </c>
      <c r="F399">
        <v>4</v>
      </c>
      <c r="G399">
        <v>218</v>
      </c>
      <c r="H399" t="str">
        <f>IF(VLOOKUP(C399,Customers!A:E,5,FALSE)&gt;=1000,"YES","NO")</f>
        <v>NO</v>
      </c>
      <c r="I399">
        <f t="shared" si="6"/>
        <v>218</v>
      </c>
      <c r="J399">
        <f>(I399 - VLOOKUP(E399,Desserts!A:D,4,FALSE)) * F399</f>
        <v>684</v>
      </c>
    </row>
    <row r="400" spans="1:10" x14ac:dyDescent="0.3">
      <c r="A400" t="s">
        <v>1281</v>
      </c>
      <c r="B400" t="s">
        <v>814</v>
      </c>
      <c r="C400" t="s">
        <v>361</v>
      </c>
      <c r="D400" t="s">
        <v>301</v>
      </c>
      <c r="E400" t="s">
        <v>541</v>
      </c>
      <c r="F400">
        <v>1</v>
      </c>
      <c r="G400">
        <v>197</v>
      </c>
      <c r="H400" t="str">
        <f>IF(VLOOKUP(C400,Customers!A:E,5,FALSE)&gt;=1000,"YES","NO")</f>
        <v>NO</v>
      </c>
      <c r="I400">
        <f t="shared" si="6"/>
        <v>197</v>
      </c>
      <c r="J400">
        <f>(I400 - VLOOKUP(E400,Desserts!A:D,4,FALSE)) * F400</f>
        <v>140</v>
      </c>
    </row>
    <row r="401" spans="1:10" x14ac:dyDescent="0.3">
      <c r="A401" t="s">
        <v>1282</v>
      </c>
      <c r="B401" t="s">
        <v>659</v>
      </c>
      <c r="C401" t="s">
        <v>465</v>
      </c>
      <c r="D401" t="s">
        <v>202</v>
      </c>
      <c r="E401" t="s">
        <v>599</v>
      </c>
      <c r="F401">
        <v>2</v>
      </c>
      <c r="G401">
        <v>163</v>
      </c>
      <c r="H401" t="str">
        <f>IF(VLOOKUP(C401,Customers!A:E,5,FALSE)&gt;=1000,"YES","NO")</f>
        <v>YES</v>
      </c>
      <c r="I401">
        <f t="shared" si="6"/>
        <v>81.5</v>
      </c>
      <c r="J401">
        <f>(I401 - VLOOKUP(E401,Desserts!A:D,4,FALSE)) * F401</f>
        <v>3</v>
      </c>
    </row>
    <row r="402" spans="1:10" x14ac:dyDescent="0.3">
      <c r="A402" t="s">
        <v>1283</v>
      </c>
      <c r="B402" t="s">
        <v>1284</v>
      </c>
      <c r="C402" t="s">
        <v>349</v>
      </c>
      <c r="D402" t="s">
        <v>163</v>
      </c>
      <c r="E402" t="s">
        <v>615</v>
      </c>
      <c r="F402">
        <v>5</v>
      </c>
      <c r="G402">
        <v>203</v>
      </c>
      <c r="H402" t="str">
        <f>IF(VLOOKUP(C402,Customers!A:E,5,FALSE)&gt;=1000,"YES","NO")</f>
        <v>NO</v>
      </c>
      <c r="I402">
        <f t="shared" si="6"/>
        <v>203</v>
      </c>
      <c r="J402">
        <f>(I402 - VLOOKUP(E402,Desserts!A:D,4,FALSE)) * F402</f>
        <v>805</v>
      </c>
    </row>
    <row r="403" spans="1:10" x14ac:dyDescent="0.3">
      <c r="A403" t="s">
        <v>1285</v>
      </c>
      <c r="B403" t="s">
        <v>892</v>
      </c>
      <c r="C403" t="s">
        <v>481</v>
      </c>
      <c r="D403" t="s">
        <v>142</v>
      </c>
      <c r="E403" t="s">
        <v>523</v>
      </c>
      <c r="F403">
        <v>3</v>
      </c>
      <c r="G403">
        <v>131</v>
      </c>
      <c r="H403" t="str">
        <f>IF(VLOOKUP(C403,Customers!A:E,5,FALSE)&gt;=1000,"YES","NO")</f>
        <v>YES</v>
      </c>
      <c r="I403">
        <f t="shared" si="6"/>
        <v>65.5</v>
      </c>
      <c r="J403">
        <f>(I403 - VLOOKUP(E403,Desserts!A:D,4,FALSE)) * F403</f>
        <v>-7.5</v>
      </c>
    </row>
    <row r="404" spans="1:10" x14ac:dyDescent="0.3">
      <c r="A404" t="s">
        <v>1286</v>
      </c>
      <c r="B404" t="s">
        <v>1287</v>
      </c>
      <c r="C404" t="s">
        <v>367</v>
      </c>
      <c r="D404" t="s">
        <v>250</v>
      </c>
      <c r="E404" t="s">
        <v>603</v>
      </c>
      <c r="F404">
        <v>2</v>
      </c>
      <c r="G404">
        <v>150</v>
      </c>
      <c r="H404" t="str">
        <f>IF(VLOOKUP(C404,Customers!A:E,5,FALSE)&gt;=1000,"YES","NO")</f>
        <v>NO</v>
      </c>
      <c r="I404">
        <f t="shared" si="6"/>
        <v>150</v>
      </c>
      <c r="J404">
        <f>(I404 - VLOOKUP(E404,Desserts!A:D,4,FALSE)) * F404</f>
        <v>122</v>
      </c>
    </row>
    <row r="405" spans="1:10" x14ac:dyDescent="0.3">
      <c r="A405" t="s">
        <v>1288</v>
      </c>
      <c r="B405" t="s">
        <v>1289</v>
      </c>
      <c r="C405" t="s">
        <v>451</v>
      </c>
      <c r="D405" t="s">
        <v>226</v>
      </c>
      <c r="E405" t="s">
        <v>577</v>
      </c>
      <c r="F405">
        <v>5</v>
      </c>
      <c r="G405">
        <v>121</v>
      </c>
      <c r="H405" t="str">
        <f>IF(VLOOKUP(C405,Customers!A:E,5,FALSE)&gt;=1000,"YES","NO")</f>
        <v>NO</v>
      </c>
      <c r="I405">
        <f t="shared" si="6"/>
        <v>121</v>
      </c>
      <c r="J405">
        <f>(I405 - VLOOKUP(E405,Desserts!A:D,4,FALSE)) * F405</f>
        <v>255</v>
      </c>
    </row>
    <row r="406" spans="1:10" x14ac:dyDescent="0.3">
      <c r="A406" t="s">
        <v>1290</v>
      </c>
      <c r="B406" t="s">
        <v>767</v>
      </c>
      <c r="C406" t="s">
        <v>463</v>
      </c>
      <c r="D406" t="s">
        <v>298</v>
      </c>
      <c r="E406" t="s">
        <v>551</v>
      </c>
      <c r="F406">
        <v>4</v>
      </c>
      <c r="G406">
        <v>160</v>
      </c>
      <c r="H406" t="str">
        <f>IF(VLOOKUP(C406,Customers!A:E,5,FALSE)&gt;=1000,"YES","NO")</f>
        <v>NO</v>
      </c>
      <c r="I406">
        <f t="shared" si="6"/>
        <v>160</v>
      </c>
      <c r="J406">
        <f>(I406 - VLOOKUP(E406,Desserts!A:D,4,FALSE)) * F406</f>
        <v>364</v>
      </c>
    </row>
    <row r="407" spans="1:10" x14ac:dyDescent="0.3">
      <c r="A407" t="s">
        <v>1291</v>
      </c>
      <c r="B407" t="s">
        <v>1104</v>
      </c>
      <c r="C407" t="s">
        <v>505</v>
      </c>
      <c r="D407" t="s">
        <v>148</v>
      </c>
      <c r="E407" t="s">
        <v>575</v>
      </c>
      <c r="F407">
        <v>2</v>
      </c>
      <c r="G407">
        <v>142</v>
      </c>
      <c r="H407" t="str">
        <f>IF(VLOOKUP(C407,Customers!A:E,5,FALSE)&gt;=1000,"YES","NO")</f>
        <v>YES</v>
      </c>
      <c r="I407">
        <f t="shared" si="6"/>
        <v>71</v>
      </c>
      <c r="J407">
        <f>(I407 - VLOOKUP(E407,Desserts!A:D,4,FALSE)) * F407</f>
        <v>-8</v>
      </c>
    </row>
    <row r="408" spans="1:10" x14ac:dyDescent="0.3">
      <c r="A408" t="s">
        <v>1292</v>
      </c>
      <c r="B408" t="s">
        <v>818</v>
      </c>
      <c r="C408" t="s">
        <v>419</v>
      </c>
      <c r="D408" t="s">
        <v>223</v>
      </c>
      <c r="E408" t="s">
        <v>619</v>
      </c>
      <c r="F408">
        <v>4</v>
      </c>
      <c r="G408">
        <v>181</v>
      </c>
      <c r="H408" t="str">
        <f>IF(VLOOKUP(C408,Customers!A:E,5,FALSE)&gt;=1000,"YES","NO")</f>
        <v>NO</v>
      </c>
      <c r="I408">
        <f t="shared" si="6"/>
        <v>181</v>
      </c>
      <c r="J408">
        <f>(I408 - VLOOKUP(E408,Desserts!A:D,4,FALSE)) * F408</f>
        <v>400</v>
      </c>
    </row>
    <row r="409" spans="1:10" x14ac:dyDescent="0.3">
      <c r="A409" t="s">
        <v>1293</v>
      </c>
      <c r="B409" t="s">
        <v>895</v>
      </c>
      <c r="C409" t="s">
        <v>509</v>
      </c>
      <c r="D409" t="s">
        <v>76</v>
      </c>
      <c r="E409" t="s">
        <v>549</v>
      </c>
      <c r="F409">
        <v>1</v>
      </c>
      <c r="G409">
        <v>141</v>
      </c>
      <c r="H409" t="str">
        <f>IF(VLOOKUP(C409,Customers!A:E,5,FALSE)&gt;=1000,"YES","NO")</f>
        <v>NO</v>
      </c>
      <c r="I409">
        <f t="shared" si="6"/>
        <v>141</v>
      </c>
      <c r="J409">
        <f>(I409 - VLOOKUP(E409,Desserts!A:D,4,FALSE)) * F409</f>
        <v>62</v>
      </c>
    </row>
    <row r="410" spans="1:10" x14ac:dyDescent="0.3">
      <c r="A410" t="s">
        <v>1294</v>
      </c>
      <c r="B410" t="s">
        <v>1155</v>
      </c>
      <c r="C410" t="s">
        <v>381</v>
      </c>
      <c r="D410" t="s">
        <v>304</v>
      </c>
      <c r="E410" t="s">
        <v>589</v>
      </c>
      <c r="F410">
        <v>4</v>
      </c>
      <c r="G410">
        <v>246</v>
      </c>
      <c r="H410" t="str">
        <f>IF(VLOOKUP(C410,Customers!A:E,5,FALSE)&gt;=1000,"YES","NO")</f>
        <v>NO</v>
      </c>
      <c r="I410">
        <f t="shared" si="6"/>
        <v>246</v>
      </c>
      <c r="J410">
        <f>(I410 - VLOOKUP(E410,Desserts!A:D,4,FALSE)) * F410</f>
        <v>700</v>
      </c>
    </row>
    <row r="411" spans="1:10" x14ac:dyDescent="0.3">
      <c r="A411" t="s">
        <v>1295</v>
      </c>
      <c r="B411" t="s">
        <v>978</v>
      </c>
      <c r="C411" t="s">
        <v>511</v>
      </c>
      <c r="D411" t="s">
        <v>301</v>
      </c>
      <c r="E411" t="s">
        <v>559</v>
      </c>
      <c r="F411">
        <v>3</v>
      </c>
      <c r="G411">
        <v>202</v>
      </c>
      <c r="H411" t="str">
        <f>IF(VLOOKUP(C411,Customers!A:E,5,FALSE)&gt;=1000,"YES","NO")</f>
        <v>YES</v>
      </c>
      <c r="I411">
        <f t="shared" si="6"/>
        <v>101</v>
      </c>
      <c r="J411">
        <f>(I411 - VLOOKUP(E411,Desserts!A:D,4,FALSE)) * F411</f>
        <v>138</v>
      </c>
    </row>
    <row r="412" spans="1:10" x14ac:dyDescent="0.3">
      <c r="A412" t="s">
        <v>1296</v>
      </c>
      <c r="B412" t="s">
        <v>1297</v>
      </c>
      <c r="C412" t="s">
        <v>495</v>
      </c>
      <c r="D412" t="s">
        <v>208</v>
      </c>
      <c r="E412" t="s">
        <v>615</v>
      </c>
      <c r="F412">
        <v>3</v>
      </c>
      <c r="G412">
        <v>100</v>
      </c>
      <c r="H412" t="str">
        <f>IF(VLOOKUP(C412,Customers!A:E,5,FALSE)&gt;=1000,"YES","NO")</f>
        <v>NO</v>
      </c>
      <c r="I412">
        <f t="shared" si="6"/>
        <v>100</v>
      </c>
      <c r="J412">
        <f>(I412 - VLOOKUP(E412,Desserts!A:D,4,FALSE)) * F412</f>
        <v>174</v>
      </c>
    </row>
    <row r="413" spans="1:10" x14ac:dyDescent="0.3">
      <c r="A413" t="s">
        <v>1298</v>
      </c>
      <c r="B413" t="s">
        <v>1299</v>
      </c>
      <c r="C413" t="s">
        <v>363</v>
      </c>
      <c r="D413" t="s">
        <v>289</v>
      </c>
      <c r="E413" t="s">
        <v>549</v>
      </c>
      <c r="F413">
        <v>3</v>
      </c>
      <c r="G413">
        <v>141</v>
      </c>
      <c r="H413" t="str">
        <f>IF(VLOOKUP(C413,Customers!A:E,5,FALSE)&gt;=1000,"YES","NO")</f>
        <v>YES</v>
      </c>
      <c r="I413">
        <f t="shared" si="6"/>
        <v>70.5</v>
      </c>
      <c r="J413">
        <f>(I413 - VLOOKUP(E413,Desserts!A:D,4,FALSE)) * F413</f>
        <v>-25.5</v>
      </c>
    </row>
    <row r="414" spans="1:10" x14ac:dyDescent="0.3">
      <c r="A414" t="s">
        <v>1300</v>
      </c>
      <c r="B414" t="s">
        <v>1237</v>
      </c>
      <c r="C414" t="s">
        <v>487</v>
      </c>
      <c r="D414" t="s">
        <v>124</v>
      </c>
      <c r="E414" t="s">
        <v>605</v>
      </c>
      <c r="F414">
        <v>4</v>
      </c>
      <c r="G414">
        <v>105</v>
      </c>
      <c r="H414" t="str">
        <f>IF(VLOOKUP(C414,Customers!A:E,5,FALSE)&gt;=1000,"YES","NO")</f>
        <v>NO</v>
      </c>
      <c r="I414">
        <f t="shared" si="6"/>
        <v>105</v>
      </c>
      <c r="J414">
        <f>(I414 - VLOOKUP(E414,Desserts!A:D,4,FALSE)) * F414</f>
        <v>172</v>
      </c>
    </row>
    <row r="415" spans="1:10" x14ac:dyDescent="0.3">
      <c r="A415" t="s">
        <v>1301</v>
      </c>
      <c r="B415" t="s">
        <v>1302</v>
      </c>
      <c r="C415" t="s">
        <v>483</v>
      </c>
      <c r="D415" t="s">
        <v>247</v>
      </c>
      <c r="E415" t="s">
        <v>579</v>
      </c>
      <c r="F415">
        <v>5</v>
      </c>
      <c r="G415">
        <v>235</v>
      </c>
      <c r="H415" t="str">
        <f>IF(VLOOKUP(C415,Customers!A:E,5,FALSE)&gt;=1000,"YES","NO")</f>
        <v>YES</v>
      </c>
      <c r="I415">
        <f t="shared" si="6"/>
        <v>117.5</v>
      </c>
      <c r="J415">
        <f>(I415 - VLOOKUP(E415,Desserts!A:D,4,FALSE)) * F415</f>
        <v>277.5</v>
      </c>
    </row>
    <row r="416" spans="1:10" x14ac:dyDescent="0.3">
      <c r="A416" t="s">
        <v>1303</v>
      </c>
      <c r="B416" t="s">
        <v>992</v>
      </c>
      <c r="C416" t="s">
        <v>345</v>
      </c>
      <c r="D416" t="s">
        <v>298</v>
      </c>
      <c r="E416" t="s">
        <v>583</v>
      </c>
      <c r="F416">
        <v>5</v>
      </c>
      <c r="G416">
        <v>113</v>
      </c>
      <c r="H416" t="str">
        <f>IF(VLOOKUP(C416,Customers!A:E,5,FALSE)&gt;=1000,"YES","NO")</f>
        <v>YES</v>
      </c>
      <c r="I416">
        <f t="shared" si="6"/>
        <v>56.5</v>
      </c>
      <c r="J416">
        <f>(I416 - VLOOKUP(E416,Desserts!A:D,4,FALSE)) * F416</f>
        <v>-132.5</v>
      </c>
    </row>
    <row r="417" spans="1:10" x14ac:dyDescent="0.3">
      <c r="A417" t="s">
        <v>1304</v>
      </c>
      <c r="B417" t="s">
        <v>1305</v>
      </c>
      <c r="C417" t="s">
        <v>435</v>
      </c>
      <c r="D417" t="s">
        <v>142</v>
      </c>
      <c r="E417" t="s">
        <v>613</v>
      </c>
      <c r="F417">
        <v>5</v>
      </c>
      <c r="G417">
        <v>176</v>
      </c>
      <c r="H417" t="str">
        <f>IF(VLOOKUP(C417,Customers!A:E,5,FALSE)&gt;=1000,"YES","NO")</f>
        <v>NO</v>
      </c>
      <c r="I417">
        <f t="shared" si="6"/>
        <v>176</v>
      </c>
      <c r="J417">
        <f>(I417 - VLOOKUP(E417,Desserts!A:D,4,FALSE)) * F417</f>
        <v>455</v>
      </c>
    </row>
    <row r="418" spans="1:10" x14ac:dyDescent="0.3">
      <c r="A418" t="s">
        <v>1306</v>
      </c>
      <c r="B418" t="s">
        <v>1145</v>
      </c>
      <c r="C418" t="s">
        <v>377</v>
      </c>
      <c r="D418" t="s">
        <v>208</v>
      </c>
      <c r="E418" t="s">
        <v>609</v>
      </c>
      <c r="F418">
        <v>3</v>
      </c>
      <c r="G418">
        <v>225</v>
      </c>
      <c r="H418" t="str">
        <f>IF(VLOOKUP(C418,Customers!A:E,5,FALSE)&gt;=1000,"YES","NO")</f>
        <v>NO</v>
      </c>
      <c r="I418">
        <f t="shared" si="6"/>
        <v>225</v>
      </c>
      <c r="J418">
        <f>(I418 - VLOOKUP(E418,Desserts!A:D,4,FALSE)) * F418</f>
        <v>483</v>
      </c>
    </row>
    <row r="419" spans="1:10" x14ac:dyDescent="0.3">
      <c r="A419" t="s">
        <v>1307</v>
      </c>
      <c r="B419" t="s">
        <v>1308</v>
      </c>
      <c r="C419" t="s">
        <v>377</v>
      </c>
      <c r="D419" t="s">
        <v>43</v>
      </c>
      <c r="E419" t="s">
        <v>581</v>
      </c>
      <c r="F419">
        <v>1</v>
      </c>
      <c r="G419">
        <v>183</v>
      </c>
      <c r="H419" t="str">
        <f>IF(VLOOKUP(C419,Customers!A:E,5,FALSE)&gt;=1000,"YES","NO")</f>
        <v>NO</v>
      </c>
      <c r="I419">
        <f t="shared" si="6"/>
        <v>183</v>
      </c>
      <c r="J419">
        <f>(I419 - VLOOKUP(E419,Desserts!A:D,4,FALSE)) * F419</f>
        <v>94</v>
      </c>
    </row>
    <row r="420" spans="1:10" x14ac:dyDescent="0.3">
      <c r="A420" t="s">
        <v>1309</v>
      </c>
      <c r="B420" t="s">
        <v>1310</v>
      </c>
      <c r="C420" t="s">
        <v>371</v>
      </c>
      <c r="D420" t="s">
        <v>79</v>
      </c>
      <c r="E420" t="s">
        <v>557</v>
      </c>
      <c r="F420">
        <v>1</v>
      </c>
      <c r="G420">
        <v>217</v>
      </c>
      <c r="H420" t="str">
        <f>IF(VLOOKUP(C420,Customers!A:E,5,FALSE)&gt;=1000,"YES","NO")</f>
        <v>NO</v>
      </c>
      <c r="I420">
        <f t="shared" si="6"/>
        <v>217</v>
      </c>
      <c r="J420">
        <f>(I420 - VLOOKUP(E420,Desserts!A:D,4,FALSE)) * F420</f>
        <v>133</v>
      </c>
    </row>
    <row r="421" spans="1:10" x14ac:dyDescent="0.3">
      <c r="A421" t="s">
        <v>1311</v>
      </c>
      <c r="B421" t="s">
        <v>695</v>
      </c>
      <c r="C421" t="s">
        <v>345</v>
      </c>
      <c r="D421" t="s">
        <v>127</v>
      </c>
      <c r="E421" t="s">
        <v>569</v>
      </c>
      <c r="F421">
        <v>4</v>
      </c>
      <c r="G421">
        <v>233</v>
      </c>
      <c r="H421" t="str">
        <f>IF(VLOOKUP(C421,Customers!A:E,5,FALSE)&gt;=1000,"YES","NO")</f>
        <v>YES</v>
      </c>
      <c r="I421">
        <f t="shared" si="6"/>
        <v>116.5</v>
      </c>
      <c r="J421">
        <f>(I421 - VLOOKUP(E421,Desserts!A:D,4,FALSE)) * F421</f>
        <v>158</v>
      </c>
    </row>
    <row r="422" spans="1:10" x14ac:dyDescent="0.3">
      <c r="A422" t="s">
        <v>1312</v>
      </c>
      <c r="B422" t="s">
        <v>1113</v>
      </c>
      <c r="C422" t="s">
        <v>507</v>
      </c>
      <c r="D422" t="s">
        <v>217</v>
      </c>
      <c r="E422" t="s">
        <v>527</v>
      </c>
      <c r="F422">
        <v>1</v>
      </c>
      <c r="G422">
        <v>134</v>
      </c>
      <c r="H422" t="str">
        <f>IF(VLOOKUP(C422,Customers!A:E,5,FALSE)&gt;=1000,"YES","NO")</f>
        <v>NO</v>
      </c>
      <c r="I422">
        <f t="shared" si="6"/>
        <v>134</v>
      </c>
      <c r="J422">
        <f>(I422 - VLOOKUP(E422,Desserts!A:D,4,FALSE)) * F422</f>
        <v>91</v>
      </c>
    </row>
    <row r="423" spans="1:10" x14ac:dyDescent="0.3">
      <c r="A423" t="s">
        <v>1313</v>
      </c>
      <c r="B423" t="s">
        <v>1314</v>
      </c>
      <c r="C423" t="s">
        <v>447</v>
      </c>
      <c r="D423" t="s">
        <v>30</v>
      </c>
      <c r="E423" t="s">
        <v>529</v>
      </c>
      <c r="F423">
        <v>1</v>
      </c>
      <c r="G423">
        <v>220</v>
      </c>
      <c r="H423" t="str">
        <f>IF(VLOOKUP(C423,Customers!A:E,5,FALSE)&gt;=1000,"YES","NO")</f>
        <v>YES</v>
      </c>
      <c r="I423">
        <f t="shared" si="6"/>
        <v>110</v>
      </c>
      <c r="J423">
        <f>(I423 - VLOOKUP(E423,Desserts!A:D,4,FALSE)) * F423</f>
        <v>42</v>
      </c>
    </row>
    <row r="424" spans="1:10" x14ac:dyDescent="0.3">
      <c r="A424" t="s">
        <v>1315</v>
      </c>
      <c r="B424" t="s">
        <v>1316</v>
      </c>
      <c r="C424" t="s">
        <v>393</v>
      </c>
      <c r="D424" t="s">
        <v>66</v>
      </c>
      <c r="E424" t="s">
        <v>583</v>
      </c>
      <c r="F424">
        <v>1</v>
      </c>
      <c r="G424">
        <v>102</v>
      </c>
      <c r="H424" t="str">
        <f>IF(VLOOKUP(C424,Customers!A:E,5,FALSE)&gt;=1000,"YES","NO")</f>
        <v>YES</v>
      </c>
      <c r="I424">
        <f t="shared" si="6"/>
        <v>51</v>
      </c>
      <c r="J424">
        <f>(I424 - VLOOKUP(E424,Desserts!A:D,4,FALSE)) * F424</f>
        <v>-32</v>
      </c>
    </row>
    <row r="425" spans="1:10" x14ac:dyDescent="0.3">
      <c r="A425" t="s">
        <v>1317</v>
      </c>
      <c r="B425" t="s">
        <v>1318</v>
      </c>
      <c r="C425" t="s">
        <v>427</v>
      </c>
      <c r="D425" t="s">
        <v>157</v>
      </c>
      <c r="E425" t="s">
        <v>617</v>
      </c>
      <c r="F425">
        <v>1</v>
      </c>
      <c r="G425">
        <v>236</v>
      </c>
      <c r="H425" t="str">
        <f>IF(VLOOKUP(C425,Customers!A:E,5,FALSE)&gt;=1000,"YES","NO")</f>
        <v>NO</v>
      </c>
      <c r="I425">
        <f t="shared" si="6"/>
        <v>236</v>
      </c>
      <c r="J425">
        <f>(I425 - VLOOKUP(E425,Desserts!A:D,4,FALSE)) * F425</f>
        <v>195</v>
      </c>
    </row>
    <row r="426" spans="1:10" x14ac:dyDescent="0.3">
      <c r="A426" t="s">
        <v>1319</v>
      </c>
      <c r="B426" t="s">
        <v>701</v>
      </c>
      <c r="C426" t="s">
        <v>485</v>
      </c>
      <c r="D426" t="s">
        <v>51</v>
      </c>
      <c r="E426" t="s">
        <v>593</v>
      </c>
      <c r="F426">
        <v>4</v>
      </c>
      <c r="G426">
        <v>220</v>
      </c>
      <c r="H426" t="str">
        <f>IF(VLOOKUP(C426,Customers!A:E,5,FALSE)&gt;=1000,"YES","NO")</f>
        <v>YES</v>
      </c>
      <c r="I426">
        <f t="shared" si="6"/>
        <v>110</v>
      </c>
      <c r="J426">
        <f>(I426 - VLOOKUP(E426,Desserts!A:D,4,FALSE)) * F426</f>
        <v>224</v>
      </c>
    </row>
    <row r="427" spans="1:10" x14ac:dyDescent="0.3">
      <c r="A427" t="s">
        <v>1320</v>
      </c>
      <c r="B427" t="s">
        <v>1321</v>
      </c>
      <c r="C427" t="s">
        <v>327</v>
      </c>
      <c r="D427" t="s">
        <v>88</v>
      </c>
      <c r="E427" t="s">
        <v>549</v>
      </c>
      <c r="F427">
        <v>4</v>
      </c>
      <c r="G427">
        <v>159</v>
      </c>
      <c r="H427" t="str">
        <f>IF(VLOOKUP(C427,Customers!A:E,5,FALSE)&gt;=1000,"YES","NO")</f>
        <v>YES</v>
      </c>
      <c r="I427">
        <f t="shared" si="6"/>
        <v>79.5</v>
      </c>
      <c r="J427">
        <f>(I427 - VLOOKUP(E427,Desserts!A:D,4,FALSE)) * F427</f>
        <v>2</v>
      </c>
    </row>
    <row r="428" spans="1:10" x14ac:dyDescent="0.3">
      <c r="A428" t="s">
        <v>1322</v>
      </c>
      <c r="B428" t="s">
        <v>1208</v>
      </c>
      <c r="C428" t="s">
        <v>439</v>
      </c>
      <c r="D428" t="s">
        <v>94</v>
      </c>
      <c r="E428" t="s">
        <v>583</v>
      </c>
      <c r="F428">
        <v>5</v>
      </c>
      <c r="G428">
        <v>111</v>
      </c>
      <c r="H428" t="str">
        <f>IF(VLOOKUP(C428,Customers!A:E,5,FALSE)&gt;=1000,"YES","NO")</f>
        <v>YES</v>
      </c>
      <c r="I428">
        <f t="shared" si="6"/>
        <v>55.5</v>
      </c>
      <c r="J428">
        <f>(I428 - VLOOKUP(E428,Desserts!A:D,4,FALSE)) * F428</f>
        <v>-137.5</v>
      </c>
    </row>
    <row r="429" spans="1:10" x14ac:dyDescent="0.3">
      <c r="A429" t="s">
        <v>1323</v>
      </c>
      <c r="B429" t="s">
        <v>1324</v>
      </c>
      <c r="C429" t="s">
        <v>335</v>
      </c>
      <c r="D429" t="s">
        <v>43</v>
      </c>
      <c r="E429" t="s">
        <v>539</v>
      </c>
      <c r="F429">
        <v>1</v>
      </c>
      <c r="G429">
        <v>137</v>
      </c>
      <c r="H429" t="str">
        <f>IF(VLOOKUP(C429,Customers!A:E,5,FALSE)&gt;=1000,"YES","NO")</f>
        <v>NO</v>
      </c>
      <c r="I429">
        <f t="shared" si="6"/>
        <v>137</v>
      </c>
      <c r="J429">
        <f>(I429 - VLOOKUP(E429,Desserts!A:D,4,FALSE)) * F429</f>
        <v>75</v>
      </c>
    </row>
    <row r="430" spans="1:10" x14ac:dyDescent="0.3">
      <c r="A430" t="s">
        <v>1325</v>
      </c>
      <c r="B430" t="s">
        <v>1326</v>
      </c>
      <c r="C430" t="s">
        <v>329</v>
      </c>
      <c r="D430" t="s">
        <v>223</v>
      </c>
      <c r="E430" t="s">
        <v>559</v>
      </c>
      <c r="F430">
        <v>1</v>
      </c>
      <c r="G430">
        <v>241</v>
      </c>
      <c r="H430" t="str">
        <f>IF(VLOOKUP(C430,Customers!A:E,5,FALSE)&gt;=1000,"YES","NO")</f>
        <v>YES</v>
      </c>
      <c r="I430">
        <f t="shared" si="6"/>
        <v>120.5</v>
      </c>
      <c r="J430">
        <f>(I430 - VLOOKUP(E430,Desserts!A:D,4,FALSE)) * F430</f>
        <v>65.5</v>
      </c>
    </row>
    <row r="431" spans="1:10" x14ac:dyDescent="0.3">
      <c r="A431" t="s">
        <v>1327</v>
      </c>
      <c r="B431" t="s">
        <v>1328</v>
      </c>
      <c r="C431" t="s">
        <v>363</v>
      </c>
      <c r="D431" t="s">
        <v>66</v>
      </c>
      <c r="E431" t="s">
        <v>563</v>
      </c>
      <c r="F431">
        <v>2</v>
      </c>
      <c r="G431">
        <v>151</v>
      </c>
      <c r="H431" t="str">
        <f>IF(VLOOKUP(C431,Customers!A:E,5,FALSE)&gt;=1000,"YES","NO")</f>
        <v>YES</v>
      </c>
      <c r="I431">
        <f t="shared" si="6"/>
        <v>75.5</v>
      </c>
      <c r="J431">
        <f>(I431 - VLOOKUP(E431,Desserts!A:D,4,FALSE)) * F431</f>
        <v>21</v>
      </c>
    </row>
    <row r="432" spans="1:10" x14ac:dyDescent="0.3">
      <c r="A432" t="s">
        <v>1329</v>
      </c>
      <c r="B432" t="s">
        <v>1064</v>
      </c>
      <c r="C432" t="s">
        <v>417</v>
      </c>
      <c r="D432" t="s">
        <v>274</v>
      </c>
      <c r="E432" t="s">
        <v>589</v>
      </c>
      <c r="F432">
        <v>4</v>
      </c>
      <c r="G432">
        <v>140</v>
      </c>
      <c r="H432" t="str">
        <f>IF(VLOOKUP(C432,Customers!A:E,5,FALSE)&gt;=1000,"YES","NO")</f>
        <v>YES</v>
      </c>
      <c r="I432">
        <f t="shared" si="6"/>
        <v>70</v>
      </c>
      <c r="J432">
        <f>(I432 - VLOOKUP(E432,Desserts!A:D,4,FALSE)) * F432</f>
        <v>-4</v>
      </c>
    </row>
    <row r="433" spans="1:10" x14ac:dyDescent="0.3">
      <c r="A433" t="s">
        <v>1330</v>
      </c>
      <c r="B433" t="s">
        <v>1068</v>
      </c>
      <c r="C433" t="s">
        <v>375</v>
      </c>
      <c r="D433" t="s">
        <v>268</v>
      </c>
      <c r="E433" t="s">
        <v>539</v>
      </c>
      <c r="F433">
        <v>1</v>
      </c>
      <c r="G433">
        <v>130</v>
      </c>
      <c r="H433" t="str">
        <f>IF(VLOOKUP(C433,Customers!A:E,5,FALSE)&gt;=1000,"YES","NO")</f>
        <v>NO</v>
      </c>
      <c r="I433">
        <f t="shared" si="6"/>
        <v>130</v>
      </c>
      <c r="J433">
        <f>(I433 - VLOOKUP(E433,Desserts!A:D,4,FALSE)) * F433</f>
        <v>68</v>
      </c>
    </row>
    <row r="434" spans="1:10" x14ac:dyDescent="0.3">
      <c r="A434" t="s">
        <v>1331</v>
      </c>
      <c r="B434" t="s">
        <v>996</v>
      </c>
      <c r="C434" t="s">
        <v>339</v>
      </c>
      <c r="D434" t="s">
        <v>172</v>
      </c>
      <c r="E434" t="s">
        <v>597</v>
      </c>
      <c r="F434">
        <v>2</v>
      </c>
      <c r="G434">
        <v>160</v>
      </c>
      <c r="H434" t="str">
        <f>IF(VLOOKUP(C434,Customers!A:E,5,FALSE)&gt;=1000,"YES","NO")</f>
        <v>NO</v>
      </c>
      <c r="I434">
        <f t="shared" si="6"/>
        <v>160</v>
      </c>
      <c r="J434">
        <f>(I434 - VLOOKUP(E434,Desserts!A:D,4,FALSE)) * F434</f>
        <v>230</v>
      </c>
    </row>
    <row r="435" spans="1:10" x14ac:dyDescent="0.3">
      <c r="A435" t="s">
        <v>1332</v>
      </c>
      <c r="B435" t="s">
        <v>1333</v>
      </c>
      <c r="C435" t="s">
        <v>455</v>
      </c>
      <c r="D435" t="s">
        <v>63</v>
      </c>
      <c r="E435" t="s">
        <v>563</v>
      </c>
      <c r="F435">
        <v>2</v>
      </c>
      <c r="G435">
        <v>234</v>
      </c>
      <c r="H435" t="str">
        <f>IF(VLOOKUP(C435,Customers!A:E,5,FALSE)&gt;=1000,"YES","NO")</f>
        <v>YES</v>
      </c>
      <c r="I435">
        <f t="shared" si="6"/>
        <v>117</v>
      </c>
      <c r="J435">
        <f>(I435 - VLOOKUP(E435,Desserts!A:D,4,FALSE)) * F435</f>
        <v>104</v>
      </c>
    </row>
    <row r="436" spans="1:10" x14ac:dyDescent="0.3">
      <c r="A436" t="s">
        <v>1334</v>
      </c>
      <c r="B436" t="s">
        <v>1335</v>
      </c>
      <c r="C436" t="s">
        <v>437</v>
      </c>
      <c r="D436" t="s">
        <v>57</v>
      </c>
      <c r="E436" t="s">
        <v>547</v>
      </c>
      <c r="F436">
        <v>3</v>
      </c>
      <c r="G436">
        <v>225</v>
      </c>
      <c r="H436" t="str">
        <f>IF(VLOOKUP(C436,Customers!A:E,5,FALSE)&gt;=1000,"YES","NO")</f>
        <v>NO</v>
      </c>
      <c r="I436">
        <f t="shared" si="6"/>
        <v>225</v>
      </c>
      <c r="J436">
        <f>(I436 - VLOOKUP(E436,Desserts!A:D,4,FALSE)) * F436</f>
        <v>525</v>
      </c>
    </row>
    <row r="437" spans="1:10" x14ac:dyDescent="0.3">
      <c r="A437" t="s">
        <v>1336</v>
      </c>
      <c r="B437" t="s">
        <v>755</v>
      </c>
      <c r="C437" t="s">
        <v>483</v>
      </c>
      <c r="D437" t="s">
        <v>109</v>
      </c>
      <c r="E437" t="s">
        <v>585</v>
      </c>
      <c r="F437">
        <v>2</v>
      </c>
      <c r="G437">
        <v>155</v>
      </c>
      <c r="H437" t="str">
        <f>IF(VLOOKUP(C437,Customers!A:E,5,FALSE)&gt;=1000,"YES","NO")</f>
        <v>YES</v>
      </c>
      <c r="I437">
        <f t="shared" si="6"/>
        <v>77.5</v>
      </c>
      <c r="J437">
        <f>(I437 - VLOOKUP(E437,Desserts!A:D,4,FALSE)) * F437</f>
        <v>61</v>
      </c>
    </row>
    <row r="438" spans="1:10" x14ac:dyDescent="0.3">
      <c r="A438" t="s">
        <v>1337</v>
      </c>
      <c r="B438" t="s">
        <v>733</v>
      </c>
      <c r="C438" t="s">
        <v>427</v>
      </c>
      <c r="D438" t="s">
        <v>142</v>
      </c>
      <c r="E438" t="s">
        <v>545</v>
      </c>
      <c r="F438">
        <v>2</v>
      </c>
      <c r="G438">
        <v>211</v>
      </c>
      <c r="H438" t="str">
        <f>IF(VLOOKUP(C438,Customers!A:E,5,FALSE)&gt;=1000,"YES","NO")</f>
        <v>NO</v>
      </c>
      <c r="I438">
        <f t="shared" si="6"/>
        <v>211</v>
      </c>
      <c r="J438">
        <f>(I438 - VLOOKUP(E438,Desserts!A:D,4,FALSE)) * F438</f>
        <v>332</v>
      </c>
    </row>
    <row r="439" spans="1:10" x14ac:dyDescent="0.3">
      <c r="A439" t="s">
        <v>1338</v>
      </c>
      <c r="B439" t="s">
        <v>713</v>
      </c>
      <c r="C439" t="s">
        <v>459</v>
      </c>
      <c r="D439" t="s">
        <v>217</v>
      </c>
      <c r="E439" t="s">
        <v>593</v>
      </c>
      <c r="F439">
        <v>5</v>
      </c>
      <c r="G439">
        <v>153</v>
      </c>
      <c r="H439" t="str">
        <f>IF(VLOOKUP(C439,Customers!A:E,5,FALSE)&gt;=1000,"YES","NO")</f>
        <v>NO</v>
      </c>
      <c r="I439">
        <f t="shared" si="6"/>
        <v>153</v>
      </c>
      <c r="J439">
        <f>(I439 - VLOOKUP(E439,Desserts!A:D,4,FALSE)) * F439</f>
        <v>495</v>
      </c>
    </row>
    <row r="440" spans="1:10" x14ac:dyDescent="0.3">
      <c r="A440" t="s">
        <v>1339</v>
      </c>
      <c r="B440" t="s">
        <v>638</v>
      </c>
      <c r="C440" t="s">
        <v>435</v>
      </c>
      <c r="D440" t="s">
        <v>40</v>
      </c>
      <c r="E440" t="s">
        <v>549</v>
      </c>
      <c r="F440">
        <v>2</v>
      </c>
      <c r="G440">
        <v>234</v>
      </c>
      <c r="H440" t="str">
        <f>IF(VLOOKUP(C440,Customers!A:E,5,FALSE)&gt;=1000,"YES","NO")</f>
        <v>NO</v>
      </c>
      <c r="I440">
        <f t="shared" si="6"/>
        <v>234</v>
      </c>
      <c r="J440">
        <f>(I440 - VLOOKUP(E440,Desserts!A:D,4,FALSE)) * F440</f>
        <v>310</v>
      </c>
    </row>
    <row r="441" spans="1:10" x14ac:dyDescent="0.3">
      <c r="A441" t="s">
        <v>1340</v>
      </c>
      <c r="B441" t="s">
        <v>1341</v>
      </c>
      <c r="C441" t="s">
        <v>403</v>
      </c>
      <c r="D441" t="s">
        <v>47</v>
      </c>
      <c r="E441" t="s">
        <v>557</v>
      </c>
      <c r="F441">
        <v>3</v>
      </c>
      <c r="G441">
        <v>147</v>
      </c>
      <c r="H441" t="str">
        <f>IF(VLOOKUP(C441,Customers!A:E,5,FALSE)&gt;=1000,"YES","NO")</f>
        <v>NO</v>
      </c>
      <c r="I441">
        <f t="shared" si="6"/>
        <v>147</v>
      </c>
      <c r="J441">
        <f>(I441 - VLOOKUP(E441,Desserts!A:D,4,FALSE)) * F441</f>
        <v>189</v>
      </c>
    </row>
    <row r="442" spans="1:10" x14ac:dyDescent="0.3">
      <c r="A442" t="s">
        <v>1342</v>
      </c>
      <c r="B442" t="s">
        <v>1224</v>
      </c>
      <c r="C442" t="s">
        <v>475</v>
      </c>
      <c r="D442" t="s">
        <v>283</v>
      </c>
      <c r="E442" t="s">
        <v>619</v>
      </c>
      <c r="F442">
        <v>3</v>
      </c>
      <c r="G442">
        <v>226</v>
      </c>
      <c r="H442" t="str">
        <f>IF(VLOOKUP(C442,Customers!A:E,5,FALSE)&gt;=1000,"YES","NO")</f>
        <v>NO</v>
      </c>
      <c r="I442">
        <f t="shared" si="6"/>
        <v>226</v>
      </c>
      <c r="J442">
        <f>(I442 - VLOOKUP(E442,Desserts!A:D,4,FALSE)) * F442</f>
        <v>435</v>
      </c>
    </row>
    <row r="443" spans="1:10" x14ac:dyDescent="0.3">
      <c r="A443" t="s">
        <v>1343</v>
      </c>
      <c r="B443" t="s">
        <v>1308</v>
      </c>
      <c r="C443" t="s">
        <v>355</v>
      </c>
      <c r="D443" t="s">
        <v>54</v>
      </c>
      <c r="E443" t="s">
        <v>597</v>
      </c>
      <c r="F443">
        <v>4</v>
      </c>
      <c r="G443">
        <v>167</v>
      </c>
      <c r="H443" t="str">
        <f>IF(VLOOKUP(C443,Customers!A:E,5,FALSE)&gt;=1000,"YES","NO")</f>
        <v>YES</v>
      </c>
      <c r="I443">
        <f t="shared" si="6"/>
        <v>83.5</v>
      </c>
      <c r="J443">
        <f>(I443 - VLOOKUP(E443,Desserts!A:D,4,FALSE)) * F443</f>
        <v>154</v>
      </c>
    </row>
    <row r="444" spans="1:10" x14ac:dyDescent="0.3">
      <c r="A444" t="s">
        <v>1344</v>
      </c>
      <c r="B444" t="s">
        <v>1345</v>
      </c>
      <c r="C444" t="s">
        <v>345</v>
      </c>
      <c r="D444" t="s">
        <v>127</v>
      </c>
      <c r="E444" t="s">
        <v>543</v>
      </c>
      <c r="F444">
        <v>2</v>
      </c>
      <c r="G444">
        <v>168</v>
      </c>
      <c r="H444" t="str">
        <f>IF(VLOOKUP(C444,Customers!A:E,5,FALSE)&gt;=1000,"YES","NO")</f>
        <v>YES</v>
      </c>
      <c r="I444">
        <f t="shared" si="6"/>
        <v>84</v>
      </c>
      <c r="J444">
        <f>(I444 - VLOOKUP(E444,Desserts!A:D,4,FALSE)) * F444</f>
        <v>22</v>
      </c>
    </row>
    <row r="445" spans="1:10" x14ac:dyDescent="0.3">
      <c r="A445" t="s">
        <v>1346</v>
      </c>
      <c r="B445" t="s">
        <v>1347</v>
      </c>
      <c r="C445" t="s">
        <v>497</v>
      </c>
      <c r="D445" t="s">
        <v>142</v>
      </c>
      <c r="E445" t="s">
        <v>589</v>
      </c>
      <c r="F445">
        <v>1</v>
      </c>
      <c r="G445">
        <v>129</v>
      </c>
      <c r="H445" t="str">
        <f>IF(VLOOKUP(C445,Customers!A:E,5,FALSE)&gt;=1000,"YES","NO")</f>
        <v>NO</v>
      </c>
      <c r="I445">
        <f t="shared" si="6"/>
        <v>129</v>
      </c>
      <c r="J445">
        <f>(I445 - VLOOKUP(E445,Desserts!A:D,4,FALSE)) * F445</f>
        <v>58</v>
      </c>
    </row>
    <row r="446" spans="1:10" x14ac:dyDescent="0.3">
      <c r="A446" t="s">
        <v>1348</v>
      </c>
      <c r="B446" t="s">
        <v>1287</v>
      </c>
      <c r="C446" t="s">
        <v>423</v>
      </c>
      <c r="D446" t="s">
        <v>235</v>
      </c>
      <c r="E446" t="s">
        <v>565</v>
      </c>
      <c r="F446">
        <v>4</v>
      </c>
      <c r="G446">
        <v>167</v>
      </c>
      <c r="H446" t="str">
        <f>IF(VLOOKUP(C446,Customers!A:E,5,FALSE)&gt;=1000,"YES","NO")</f>
        <v>NO</v>
      </c>
      <c r="I446">
        <f t="shared" si="6"/>
        <v>167</v>
      </c>
      <c r="J446">
        <f>(I446 - VLOOKUP(E446,Desserts!A:D,4,FALSE)) * F446</f>
        <v>504</v>
      </c>
    </row>
    <row r="447" spans="1:10" x14ac:dyDescent="0.3">
      <c r="A447" t="s">
        <v>1349</v>
      </c>
      <c r="B447" t="s">
        <v>908</v>
      </c>
      <c r="C447" t="s">
        <v>359</v>
      </c>
      <c r="D447" t="s">
        <v>100</v>
      </c>
      <c r="E447" t="s">
        <v>589</v>
      </c>
      <c r="F447">
        <v>2</v>
      </c>
      <c r="G447">
        <v>161</v>
      </c>
      <c r="H447" t="str">
        <f>IF(VLOOKUP(C447,Customers!A:E,5,FALSE)&gt;=1000,"YES","NO")</f>
        <v>YES</v>
      </c>
      <c r="I447">
        <f t="shared" si="6"/>
        <v>80.5</v>
      </c>
      <c r="J447">
        <f>(I447 - VLOOKUP(E447,Desserts!A:D,4,FALSE)) * F447</f>
        <v>19</v>
      </c>
    </row>
    <row r="448" spans="1:10" x14ac:dyDescent="0.3">
      <c r="A448" t="s">
        <v>1350</v>
      </c>
      <c r="B448" t="s">
        <v>1351</v>
      </c>
      <c r="C448" t="s">
        <v>467</v>
      </c>
      <c r="D448" t="s">
        <v>40</v>
      </c>
      <c r="E448" t="s">
        <v>577</v>
      </c>
      <c r="F448">
        <v>4</v>
      </c>
      <c r="G448">
        <v>188</v>
      </c>
      <c r="H448" t="str">
        <f>IF(VLOOKUP(C448,Customers!A:E,5,FALSE)&gt;=1000,"YES","NO")</f>
        <v>YES</v>
      </c>
      <c r="I448">
        <f t="shared" si="6"/>
        <v>94</v>
      </c>
      <c r="J448">
        <f>(I448 - VLOOKUP(E448,Desserts!A:D,4,FALSE)) * F448</f>
        <v>96</v>
      </c>
    </row>
    <row r="449" spans="1:10" x14ac:dyDescent="0.3">
      <c r="A449" t="s">
        <v>1352</v>
      </c>
      <c r="B449" t="s">
        <v>1090</v>
      </c>
      <c r="C449" t="s">
        <v>415</v>
      </c>
      <c r="D449" t="s">
        <v>163</v>
      </c>
      <c r="E449" t="s">
        <v>543</v>
      </c>
      <c r="F449">
        <v>5</v>
      </c>
      <c r="G449">
        <v>231</v>
      </c>
      <c r="H449" t="str">
        <f>IF(VLOOKUP(C449,Customers!A:E,5,FALSE)&gt;=1000,"YES","NO")</f>
        <v>YES</v>
      </c>
      <c r="I449">
        <f t="shared" si="6"/>
        <v>115.5</v>
      </c>
      <c r="J449">
        <f>(I449 - VLOOKUP(E449,Desserts!A:D,4,FALSE)) * F449</f>
        <v>212.5</v>
      </c>
    </row>
    <row r="450" spans="1:10" x14ac:dyDescent="0.3">
      <c r="A450" t="s">
        <v>1353</v>
      </c>
      <c r="B450" t="s">
        <v>847</v>
      </c>
      <c r="C450" t="s">
        <v>339</v>
      </c>
      <c r="D450" t="s">
        <v>214</v>
      </c>
      <c r="E450" t="s">
        <v>553</v>
      </c>
      <c r="F450">
        <v>5</v>
      </c>
      <c r="G450">
        <v>101</v>
      </c>
      <c r="H450" t="str">
        <f>IF(VLOOKUP(C450,Customers!A:E,5,FALSE)&gt;=1000,"YES","NO")</f>
        <v>NO</v>
      </c>
      <c r="I450">
        <f t="shared" ref="I450:I513" si="7">IF(H450="YES",G450*0.5,G450)</f>
        <v>101</v>
      </c>
      <c r="J450">
        <f>(I450 - VLOOKUP(E450,Desserts!A:D,4,FALSE)) * F450</f>
        <v>205</v>
      </c>
    </row>
    <row r="451" spans="1:10" x14ac:dyDescent="0.3">
      <c r="A451" t="s">
        <v>1354</v>
      </c>
      <c r="B451" t="s">
        <v>661</v>
      </c>
      <c r="C451" t="s">
        <v>467</v>
      </c>
      <c r="D451" t="s">
        <v>220</v>
      </c>
      <c r="E451" t="s">
        <v>565</v>
      </c>
      <c r="F451">
        <v>3</v>
      </c>
      <c r="G451">
        <v>184</v>
      </c>
      <c r="H451" t="str">
        <f>IF(VLOOKUP(C451,Customers!A:E,5,FALSE)&gt;=1000,"YES","NO")</f>
        <v>YES</v>
      </c>
      <c r="I451">
        <f t="shared" si="7"/>
        <v>92</v>
      </c>
      <c r="J451">
        <f>(I451 - VLOOKUP(E451,Desserts!A:D,4,FALSE)) * F451</f>
        <v>153</v>
      </c>
    </row>
    <row r="452" spans="1:10" x14ac:dyDescent="0.3">
      <c r="A452" t="s">
        <v>1355</v>
      </c>
      <c r="B452" t="s">
        <v>932</v>
      </c>
      <c r="C452" t="s">
        <v>491</v>
      </c>
      <c r="D452" t="s">
        <v>139</v>
      </c>
      <c r="E452" t="s">
        <v>593</v>
      </c>
      <c r="F452">
        <v>1</v>
      </c>
      <c r="G452">
        <v>195</v>
      </c>
      <c r="H452" t="str">
        <f>IF(VLOOKUP(C452,Customers!A:E,5,FALSE)&gt;=1000,"YES","NO")</f>
        <v>NO</v>
      </c>
      <c r="I452">
        <f t="shared" si="7"/>
        <v>195</v>
      </c>
      <c r="J452">
        <f>(I452 - VLOOKUP(E452,Desserts!A:D,4,FALSE)) * F452</f>
        <v>141</v>
      </c>
    </row>
    <row r="453" spans="1:10" x14ac:dyDescent="0.3">
      <c r="A453" t="s">
        <v>1356</v>
      </c>
      <c r="B453" t="s">
        <v>1357</v>
      </c>
      <c r="C453" t="s">
        <v>429</v>
      </c>
      <c r="D453" t="s">
        <v>205</v>
      </c>
      <c r="E453" t="s">
        <v>617</v>
      </c>
      <c r="F453">
        <v>4</v>
      </c>
      <c r="G453">
        <v>142</v>
      </c>
      <c r="H453" t="str">
        <f>IF(VLOOKUP(C453,Customers!A:E,5,FALSE)&gt;=1000,"YES","NO")</f>
        <v>YES</v>
      </c>
      <c r="I453">
        <f t="shared" si="7"/>
        <v>71</v>
      </c>
      <c r="J453">
        <f>(I453 - VLOOKUP(E453,Desserts!A:D,4,FALSE)) * F453</f>
        <v>120</v>
      </c>
    </row>
    <row r="454" spans="1:10" x14ac:dyDescent="0.3">
      <c r="A454" t="s">
        <v>1358</v>
      </c>
      <c r="B454" t="s">
        <v>791</v>
      </c>
      <c r="C454" t="s">
        <v>505</v>
      </c>
      <c r="D454" t="s">
        <v>115</v>
      </c>
      <c r="E454" t="s">
        <v>615</v>
      </c>
      <c r="F454">
        <v>2</v>
      </c>
      <c r="G454">
        <v>249</v>
      </c>
      <c r="H454" t="str">
        <f>IF(VLOOKUP(C454,Customers!A:E,5,FALSE)&gt;=1000,"YES","NO")</f>
        <v>YES</v>
      </c>
      <c r="I454">
        <f t="shared" si="7"/>
        <v>124.5</v>
      </c>
      <c r="J454">
        <f>(I454 - VLOOKUP(E454,Desserts!A:D,4,FALSE)) * F454</f>
        <v>165</v>
      </c>
    </row>
    <row r="455" spans="1:10" x14ac:dyDescent="0.3">
      <c r="A455" t="s">
        <v>1359</v>
      </c>
      <c r="B455" t="s">
        <v>785</v>
      </c>
      <c r="C455" t="s">
        <v>337</v>
      </c>
      <c r="D455" t="s">
        <v>20</v>
      </c>
      <c r="E455" t="s">
        <v>603</v>
      </c>
      <c r="F455">
        <v>3</v>
      </c>
      <c r="G455">
        <v>173</v>
      </c>
      <c r="H455" t="str">
        <f>IF(VLOOKUP(C455,Customers!A:E,5,FALSE)&gt;=1000,"YES","NO")</f>
        <v>NO</v>
      </c>
      <c r="I455">
        <f t="shared" si="7"/>
        <v>173</v>
      </c>
      <c r="J455">
        <f>(I455 - VLOOKUP(E455,Desserts!A:D,4,FALSE)) * F455</f>
        <v>252</v>
      </c>
    </row>
    <row r="456" spans="1:10" x14ac:dyDescent="0.3">
      <c r="A456" t="s">
        <v>1360</v>
      </c>
      <c r="B456" t="s">
        <v>800</v>
      </c>
      <c r="C456" t="s">
        <v>367</v>
      </c>
      <c r="D456" t="s">
        <v>181</v>
      </c>
      <c r="E456" t="s">
        <v>551</v>
      </c>
      <c r="F456">
        <v>4</v>
      </c>
      <c r="G456">
        <v>188</v>
      </c>
      <c r="H456" t="str">
        <f>IF(VLOOKUP(C456,Customers!A:E,5,FALSE)&gt;=1000,"YES","NO")</f>
        <v>NO</v>
      </c>
      <c r="I456">
        <f t="shared" si="7"/>
        <v>188</v>
      </c>
      <c r="J456">
        <f>(I456 - VLOOKUP(E456,Desserts!A:D,4,FALSE)) * F456</f>
        <v>476</v>
      </c>
    </row>
    <row r="457" spans="1:10" x14ac:dyDescent="0.3">
      <c r="A457" t="s">
        <v>1361</v>
      </c>
      <c r="B457" t="s">
        <v>814</v>
      </c>
      <c r="C457" t="s">
        <v>331</v>
      </c>
      <c r="D457" t="s">
        <v>223</v>
      </c>
      <c r="E457" t="s">
        <v>553</v>
      </c>
      <c r="F457">
        <v>4</v>
      </c>
      <c r="G457">
        <v>116</v>
      </c>
      <c r="H457" t="str">
        <f>IF(VLOOKUP(C457,Customers!A:E,5,FALSE)&gt;=1000,"YES","NO")</f>
        <v>YES</v>
      </c>
      <c r="I457">
        <f t="shared" si="7"/>
        <v>58</v>
      </c>
      <c r="J457">
        <f>(I457 - VLOOKUP(E457,Desserts!A:D,4,FALSE)) * F457</f>
        <v>-8</v>
      </c>
    </row>
    <row r="458" spans="1:10" x14ac:dyDescent="0.3">
      <c r="A458" t="s">
        <v>1362</v>
      </c>
      <c r="B458" t="s">
        <v>679</v>
      </c>
      <c r="C458" t="s">
        <v>441</v>
      </c>
      <c r="D458" t="s">
        <v>17</v>
      </c>
      <c r="E458" t="s">
        <v>597</v>
      </c>
      <c r="F458">
        <v>5</v>
      </c>
      <c r="G458">
        <v>124</v>
      </c>
      <c r="H458" t="str">
        <f>IF(VLOOKUP(C458,Customers!A:E,5,FALSE)&gt;=1000,"YES","NO")</f>
        <v>NO</v>
      </c>
      <c r="I458">
        <f t="shared" si="7"/>
        <v>124</v>
      </c>
      <c r="J458">
        <f>(I458 - VLOOKUP(E458,Desserts!A:D,4,FALSE)) * F458</f>
        <v>395</v>
      </c>
    </row>
    <row r="459" spans="1:10" x14ac:dyDescent="0.3">
      <c r="A459" t="s">
        <v>1363</v>
      </c>
      <c r="B459" t="s">
        <v>703</v>
      </c>
      <c r="C459" t="s">
        <v>325</v>
      </c>
      <c r="D459" t="s">
        <v>205</v>
      </c>
      <c r="E459" t="s">
        <v>521</v>
      </c>
      <c r="F459">
        <v>4</v>
      </c>
      <c r="G459">
        <v>242</v>
      </c>
      <c r="H459" t="str">
        <f>IF(VLOOKUP(C459,Customers!A:E,5,FALSE)&gt;=1000,"YES","NO")</f>
        <v>NO</v>
      </c>
      <c r="I459">
        <f t="shared" si="7"/>
        <v>242</v>
      </c>
      <c r="J459">
        <f>(I459 - VLOOKUP(E459,Desserts!A:D,4,FALSE)) * F459</f>
        <v>712</v>
      </c>
    </row>
    <row r="460" spans="1:10" x14ac:dyDescent="0.3">
      <c r="A460" t="s">
        <v>1364</v>
      </c>
      <c r="B460" t="s">
        <v>1212</v>
      </c>
      <c r="C460" t="s">
        <v>373</v>
      </c>
      <c r="D460" t="s">
        <v>5</v>
      </c>
      <c r="E460" t="s">
        <v>613</v>
      </c>
      <c r="F460">
        <v>3</v>
      </c>
      <c r="G460">
        <v>136</v>
      </c>
      <c r="H460" t="str">
        <f>IF(VLOOKUP(C460,Customers!A:E,5,FALSE)&gt;=1000,"YES","NO")</f>
        <v>NO</v>
      </c>
      <c r="I460">
        <f t="shared" si="7"/>
        <v>136</v>
      </c>
      <c r="J460">
        <f>(I460 - VLOOKUP(E460,Desserts!A:D,4,FALSE)) * F460</f>
        <v>153</v>
      </c>
    </row>
    <row r="461" spans="1:10" x14ac:dyDescent="0.3">
      <c r="A461" t="s">
        <v>1365</v>
      </c>
      <c r="B461" t="s">
        <v>1036</v>
      </c>
      <c r="C461" t="s">
        <v>407</v>
      </c>
      <c r="D461" t="s">
        <v>5</v>
      </c>
      <c r="E461" t="s">
        <v>585</v>
      </c>
      <c r="F461">
        <v>3</v>
      </c>
      <c r="G461">
        <v>246</v>
      </c>
      <c r="H461" t="str">
        <f>IF(VLOOKUP(C461,Customers!A:E,5,FALSE)&gt;=1000,"YES","NO")</f>
        <v>YES</v>
      </c>
      <c r="I461">
        <f t="shared" si="7"/>
        <v>123</v>
      </c>
      <c r="J461">
        <f>(I461 - VLOOKUP(E461,Desserts!A:D,4,FALSE)) * F461</f>
        <v>228</v>
      </c>
    </row>
    <row r="462" spans="1:10" x14ac:dyDescent="0.3">
      <c r="A462" t="s">
        <v>1366</v>
      </c>
      <c r="B462" t="s">
        <v>1367</v>
      </c>
      <c r="C462" t="s">
        <v>425</v>
      </c>
      <c r="D462" t="s">
        <v>63</v>
      </c>
      <c r="E462" t="s">
        <v>563</v>
      </c>
      <c r="F462">
        <v>5</v>
      </c>
      <c r="G462">
        <v>108</v>
      </c>
      <c r="H462" t="str">
        <f>IF(VLOOKUP(C462,Customers!A:E,5,FALSE)&gt;=1000,"YES","NO")</f>
        <v>NO</v>
      </c>
      <c r="I462">
        <f t="shared" si="7"/>
        <v>108</v>
      </c>
      <c r="J462">
        <f>(I462 - VLOOKUP(E462,Desserts!A:D,4,FALSE)) * F462</f>
        <v>215</v>
      </c>
    </row>
    <row r="463" spans="1:10" x14ac:dyDescent="0.3">
      <c r="A463" t="s">
        <v>1368</v>
      </c>
      <c r="B463" t="s">
        <v>1369</v>
      </c>
      <c r="C463" t="s">
        <v>395</v>
      </c>
      <c r="D463" t="s">
        <v>289</v>
      </c>
      <c r="E463" t="s">
        <v>599</v>
      </c>
      <c r="F463">
        <v>3</v>
      </c>
      <c r="G463">
        <v>168</v>
      </c>
      <c r="H463" t="str">
        <f>IF(VLOOKUP(C463,Customers!A:E,5,FALSE)&gt;=1000,"YES","NO")</f>
        <v>NO</v>
      </c>
      <c r="I463">
        <f t="shared" si="7"/>
        <v>168</v>
      </c>
      <c r="J463">
        <f>(I463 - VLOOKUP(E463,Desserts!A:D,4,FALSE)) * F463</f>
        <v>264</v>
      </c>
    </row>
    <row r="464" spans="1:10" x14ac:dyDescent="0.3">
      <c r="A464" t="s">
        <v>1370</v>
      </c>
      <c r="B464" t="s">
        <v>852</v>
      </c>
      <c r="C464" t="s">
        <v>471</v>
      </c>
      <c r="D464" t="s">
        <v>205</v>
      </c>
      <c r="E464" t="s">
        <v>555</v>
      </c>
      <c r="F464">
        <v>5</v>
      </c>
      <c r="G464">
        <v>249</v>
      </c>
      <c r="H464" t="str">
        <f>IF(VLOOKUP(C464,Customers!A:E,5,FALSE)&gt;=1000,"YES","NO")</f>
        <v>NO</v>
      </c>
      <c r="I464">
        <f t="shared" si="7"/>
        <v>249</v>
      </c>
      <c r="J464">
        <f>(I464 - VLOOKUP(E464,Desserts!A:D,4,FALSE)) * F464</f>
        <v>870</v>
      </c>
    </row>
    <row r="465" spans="1:10" x14ac:dyDescent="0.3">
      <c r="A465" t="s">
        <v>1371</v>
      </c>
      <c r="B465" t="s">
        <v>703</v>
      </c>
      <c r="C465" t="s">
        <v>445</v>
      </c>
      <c r="D465" t="s">
        <v>118</v>
      </c>
      <c r="E465" t="s">
        <v>537</v>
      </c>
      <c r="F465">
        <v>4</v>
      </c>
      <c r="G465">
        <v>221</v>
      </c>
      <c r="H465" t="str">
        <f>IF(VLOOKUP(C465,Customers!A:E,5,FALSE)&gt;=1000,"YES","NO")</f>
        <v>NO</v>
      </c>
      <c r="I465">
        <f t="shared" si="7"/>
        <v>221</v>
      </c>
      <c r="J465">
        <f>(I465 - VLOOKUP(E465,Desserts!A:D,4,FALSE)) * F465</f>
        <v>548</v>
      </c>
    </row>
    <row r="466" spans="1:10" x14ac:dyDescent="0.3">
      <c r="A466" t="s">
        <v>1372</v>
      </c>
      <c r="B466" t="s">
        <v>1373</v>
      </c>
      <c r="C466" t="s">
        <v>433</v>
      </c>
      <c r="D466" t="s">
        <v>244</v>
      </c>
      <c r="E466" t="s">
        <v>595</v>
      </c>
      <c r="F466">
        <v>3</v>
      </c>
      <c r="G466">
        <v>199</v>
      </c>
      <c r="H466" t="str">
        <f>IF(VLOOKUP(C466,Customers!A:E,5,FALSE)&gt;=1000,"YES","NO")</f>
        <v>YES</v>
      </c>
      <c r="I466">
        <f t="shared" si="7"/>
        <v>99.5</v>
      </c>
      <c r="J466">
        <f>(I466 - VLOOKUP(E466,Desserts!A:D,4,FALSE)) * F466</f>
        <v>88.5</v>
      </c>
    </row>
    <row r="467" spans="1:10" x14ac:dyDescent="0.3">
      <c r="A467" t="s">
        <v>1374</v>
      </c>
      <c r="B467" t="s">
        <v>634</v>
      </c>
      <c r="C467" t="s">
        <v>339</v>
      </c>
      <c r="D467" t="s">
        <v>130</v>
      </c>
      <c r="E467" t="s">
        <v>589</v>
      </c>
      <c r="F467">
        <v>4</v>
      </c>
      <c r="G467">
        <v>135</v>
      </c>
      <c r="H467" t="str">
        <f>IF(VLOOKUP(C467,Customers!A:E,5,FALSE)&gt;=1000,"YES","NO")</f>
        <v>NO</v>
      </c>
      <c r="I467">
        <f t="shared" si="7"/>
        <v>135</v>
      </c>
      <c r="J467">
        <f>(I467 - VLOOKUP(E467,Desserts!A:D,4,FALSE)) * F467</f>
        <v>256</v>
      </c>
    </row>
    <row r="468" spans="1:10" x14ac:dyDescent="0.3">
      <c r="A468" t="s">
        <v>1375</v>
      </c>
      <c r="B468" t="s">
        <v>1321</v>
      </c>
      <c r="C468" t="s">
        <v>405</v>
      </c>
      <c r="D468" t="s">
        <v>163</v>
      </c>
      <c r="E468" t="s">
        <v>547</v>
      </c>
      <c r="F468">
        <v>3</v>
      </c>
      <c r="G468">
        <v>190</v>
      </c>
      <c r="H468" t="str">
        <f>IF(VLOOKUP(C468,Customers!A:E,5,FALSE)&gt;=1000,"YES","NO")</f>
        <v>YES</v>
      </c>
      <c r="I468">
        <f t="shared" si="7"/>
        <v>95</v>
      </c>
      <c r="J468">
        <f>(I468 - VLOOKUP(E468,Desserts!A:D,4,FALSE)) * F468</f>
        <v>135</v>
      </c>
    </row>
    <row r="469" spans="1:10" x14ac:dyDescent="0.3">
      <c r="A469" t="s">
        <v>1376</v>
      </c>
      <c r="B469" t="s">
        <v>800</v>
      </c>
      <c r="C469" t="s">
        <v>397</v>
      </c>
      <c r="D469" t="s">
        <v>148</v>
      </c>
      <c r="E469" t="s">
        <v>617</v>
      </c>
      <c r="F469">
        <v>2</v>
      </c>
      <c r="G469">
        <v>172</v>
      </c>
      <c r="H469" t="str">
        <f>IF(VLOOKUP(C469,Customers!A:E,5,FALSE)&gt;=1000,"YES","NO")</f>
        <v>NO</v>
      </c>
      <c r="I469">
        <f t="shared" si="7"/>
        <v>172</v>
      </c>
      <c r="J469">
        <f>(I469 - VLOOKUP(E469,Desserts!A:D,4,FALSE)) * F469</f>
        <v>262</v>
      </c>
    </row>
    <row r="470" spans="1:10" x14ac:dyDescent="0.3">
      <c r="A470" t="s">
        <v>1377</v>
      </c>
      <c r="B470" t="s">
        <v>921</v>
      </c>
      <c r="C470" t="s">
        <v>407</v>
      </c>
      <c r="D470" t="s">
        <v>211</v>
      </c>
      <c r="E470" t="s">
        <v>541</v>
      </c>
      <c r="F470">
        <v>2</v>
      </c>
      <c r="G470">
        <v>239</v>
      </c>
      <c r="H470" t="str">
        <f>IF(VLOOKUP(C470,Customers!A:E,5,FALSE)&gt;=1000,"YES","NO")</f>
        <v>YES</v>
      </c>
      <c r="I470">
        <f t="shared" si="7"/>
        <v>119.5</v>
      </c>
      <c r="J470">
        <f>(I470 - VLOOKUP(E470,Desserts!A:D,4,FALSE)) * F470</f>
        <v>125</v>
      </c>
    </row>
    <row r="471" spans="1:10" x14ac:dyDescent="0.3">
      <c r="A471" t="s">
        <v>1378</v>
      </c>
      <c r="B471" t="s">
        <v>677</v>
      </c>
      <c r="C471" t="s">
        <v>343</v>
      </c>
      <c r="D471" t="s">
        <v>193</v>
      </c>
      <c r="E471" t="s">
        <v>537</v>
      </c>
      <c r="F471">
        <v>1</v>
      </c>
      <c r="G471">
        <v>221</v>
      </c>
      <c r="H471" t="str">
        <f>IF(VLOOKUP(C471,Customers!A:E,5,FALSE)&gt;=1000,"YES","NO")</f>
        <v>YES</v>
      </c>
      <c r="I471">
        <f t="shared" si="7"/>
        <v>110.5</v>
      </c>
      <c r="J471">
        <f>(I471 - VLOOKUP(E471,Desserts!A:D,4,FALSE)) * F471</f>
        <v>26.5</v>
      </c>
    </row>
    <row r="472" spans="1:10" x14ac:dyDescent="0.3">
      <c r="A472" t="s">
        <v>1379</v>
      </c>
      <c r="B472" t="s">
        <v>1016</v>
      </c>
      <c r="C472" t="s">
        <v>503</v>
      </c>
      <c r="D472" t="s">
        <v>91</v>
      </c>
      <c r="E472" t="s">
        <v>525</v>
      </c>
      <c r="F472">
        <v>1</v>
      </c>
      <c r="G472">
        <v>207</v>
      </c>
      <c r="H472" t="str">
        <f>IF(VLOOKUP(C472,Customers!A:E,5,FALSE)&gt;=1000,"YES","NO")</f>
        <v>NO</v>
      </c>
      <c r="I472">
        <f t="shared" si="7"/>
        <v>207</v>
      </c>
      <c r="J472">
        <f>(I472 - VLOOKUP(E472,Desserts!A:D,4,FALSE)) * F472</f>
        <v>123</v>
      </c>
    </row>
    <row r="473" spans="1:10" x14ac:dyDescent="0.3">
      <c r="A473" t="s">
        <v>1380</v>
      </c>
      <c r="B473" t="s">
        <v>1121</v>
      </c>
      <c r="C473" t="s">
        <v>387</v>
      </c>
      <c r="D473" t="s">
        <v>310</v>
      </c>
      <c r="E473" t="s">
        <v>569</v>
      </c>
      <c r="F473">
        <v>5</v>
      </c>
      <c r="G473">
        <v>137</v>
      </c>
      <c r="H473" t="str">
        <f>IF(VLOOKUP(C473,Customers!A:E,5,FALSE)&gt;=1000,"YES","NO")</f>
        <v>NO</v>
      </c>
      <c r="I473">
        <f t="shared" si="7"/>
        <v>137</v>
      </c>
      <c r="J473">
        <f>(I473 - VLOOKUP(E473,Desserts!A:D,4,FALSE)) * F473</f>
        <v>300</v>
      </c>
    </row>
    <row r="474" spans="1:10" x14ac:dyDescent="0.3">
      <c r="A474" t="s">
        <v>1381</v>
      </c>
      <c r="B474" t="s">
        <v>1382</v>
      </c>
      <c r="C474" t="s">
        <v>337</v>
      </c>
      <c r="D474" t="s">
        <v>66</v>
      </c>
      <c r="E474" t="s">
        <v>617</v>
      </c>
      <c r="F474">
        <v>2</v>
      </c>
      <c r="G474">
        <v>185</v>
      </c>
      <c r="H474" t="str">
        <f>IF(VLOOKUP(C474,Customers!A:E,5,FALSE)&gt;=1000,"YES","NO")</f>
        <v>NO</v>
      </c>
      <c r="I474">
        <f t="shared" si="7"/>
        <v>185</v>
      </c>
      <c r="J474">
        <f>(I474 - VLOOKUP(E474,Desserts!A:D,4,FALSE)) * F474</f>
        <v>288</v>
      </c>
    </row>
    <row r="475" spans="1:10" x14ac:dyDescent="0.3">
      <c r="A475" t="s">
        <v>1383</v>
      </c>
      <c r="B475" t="s">
        <v>1384</v>
      </c>
      <c r="C475" t="s">
        <v>333</v>
      </c>
      <c r="D475" t="s">
        <v>112</v>
      </c>
      <c r="E475" t="s">
        <v>569</v>
      </c>
      <c r="F475">
        <v>3</v>
      </c>
      <c r="G475">
        <v>146</v>
      </c>
      <c r="H475" t="str">
        <f>IF(VLOOKUP(C475,Customers!A:E,5,FALSE)&gt;=1000,"YES","NO")</f>
        <v>YES</v>
      </c>
      <c r="I475">
        <f t="shared" si="7"/>
        <v>73</v>
      </c>
      <c r="J475">
        <f>(I475 - VLOOKUP(E475,Desserts!A:D,4,FALSE)) * F475</f>
        <v>-12</v>
      </c>
    </row>
    <row r="476" spans="1:10" x14ac:dyDescent="0.3">
      <c r="A476" t="s">
        <v>1385</v>
      </c>
      <c r="B476" t="s">
        <v>1386</v>
      </c>
      <c r="C476" t="s">
        <v>387</v>
      </c>
      <c r="D476" t="s">
        <v>157</v>
      </c>
      <c r="E476" t="s">
        <v>543</v>
      </c>
      <c r="F476">
        <v>1</v>
      </c>
      <c r="G476">
        <v>192</v>
      </c>
      <c r="H476" t="str">
        <f>IF(VLOOKUP(C476,Customers!A:E,5,FALSE)&gt;=1000,"YES","NO")</f>
        <v>NO</v>
      </c>
      <c r="I476">
        <f t="shared" si="7"/>
        <v>192</v>
      </c>
      <c r="J476">
        <f>(I476 - VLOOKUP(E476,Desserts!A:D,4,FALSE)) * F476</f>
        <v>119</v>
      </c>
    </row>
    <row r="477" spans="1:10" x14ac:dyDescent="0.3">
      <c r="A477" t="s">
        <v>1387</v>
      </c>
      <c r="B477" t="s">
        <v>775</v>
      </c>
      <c r="C477" t="s">
        <v>347</v>
      </c>
      <c r="D477" t="s">
        <v>72</v>
      </c>
      <c r="E477" t="s">
        <v>555</v>
      </c>
      <c r="F477">
        <v>3</v>
      </c>
      <c r="G477">
        <v>193</v>
      </c>
      <c r="H477" t="str">
        <f>IF(VLOOKUP(C477,Customers!A:E,5,FALSE)&gt;=1000,"YES","NO")</f>
        <v>YES</v>
      </c>
      <c r="I477">
        <f t="shared" si="7"/>
        <v>96.5</v>
      </c>
      <c r="J477">
        <f>(I477 - VLOOKUP(E477,Desserts!A:D,4,FALSE)) * F477</f>
        <v>64.5</v>
      </c>
    </row>
    <row r="478" spans="1:10" x14ac:dyDescent="0.3">
      <c r="A478" t="s">
        <v>1388</v>
      </c>
      <c r="B478" t="s">
        <v>936</v>
      </c>
      <c r="C478" t="s">
        <v>343</v>
      </c>
      <c r="D478" t="s">
        <v>103</v>
      </c>
      <c r="E478" t="s">
        <v>597</v>
      </c>
      <c r="F478">
        <v>3</v>
      </c>
      <c r="G478">
        <v>188</v>
      </c>
      <c r="H478" t="str">
        <f>IF(VLOOKUP(C478,Customers!A:E,5,FALSE)&gt;=1000,"YES","NO")</f>
        <v>YES</v>
      </c>
      <c r="I478">
        <f t="shared" si="7"/>
        <v>94</v>
      </c>
      <c r="J478">
        <f>(I478 - VLOOKUP(E478,Desserts!A:D,4,FALSE)) * F478</f>
        <v>147</v>
      </c>
    </row>
    <row r="479" spans="1:10" x14ac:dyDescent="0.3">
      <c r="A479" t="s">
        <v>1389</v>
      </c>
      <c r="B479" t="s">
        <v>1081</v>
      </c>
      <c r="C479" t="s">
        <v>423</v>
      </c>
      <c r="D479" t="s">
        <v>79</v>
      </c>
      <c r="E479" t="s">
        <v>543</v>
      </c>
      <c r="F479">
        <v>3</v>
      </c>
      <c r="G479">
        <v>227</v>
      </c>
      <c r="H479" t="str">
        <f>IF(VLOOKUP(C479,Customers!A:E,5,FALSE)&gt;=1000,"YES","NO")</f>
        <v>NO</v>
      </c>
      <c r="I479">
        <f t="shared" si="7"/>
        <v>227</v>
      </c>
      <c r="J479">
        <f>(I479 - VLOOKUP(E479,Desserts!A:D,4,FALSE)) * F479</f>
        <v>462</v>
      </c>
    </row>
    <row r="480" spans="1:10" x14ac:dyDescent="0.3">
      <c r="A480" t="s">
        <v>1390</v>
      </c>
      <c r="B480" t="s">
        <v>998</v>
      </c>
      <c r="C480" t="s">
        <v>369</v>
      </c>
      <c r="D480" t="s">
        <v>247</v>
      </c>
      <c r="E480" t="s">
        <v>541</v>
      </c>
      <c r="F480">
        <v>3</v>
      </c>
      <c r="G480">
        <v>110</v>
      </c>
      <c r="H480" t="str">
        <f>IF(VLOOKUP(C480,Customers!A:E,5,FALSE)&gt;=1000,"YES","NO")</f>
        <v>YES</v>
      </c>
      <c r="I480">
        <f t="shared" si="7"/>
        <v>55</v>
      </c>
      <c r="J480">
        <f>(I480 - VLOOKUP(E480,Desserts!A:D,4,FALSE)) * F480</f>
        <v>-6</v>
      </c>
    </row>
    <row r="481" spans="1:10" x14ac:dyDescent="0.3">
      <c r="A481" t="s">
        <v>1391</v>
      </c>
      <c r="B481" t="s">
        <v>1000</v>
      </c>
      <c r="C481" t="s">
        <v>485</v>
      </c>
      <c r="D481" t="s">
        <v>274</v>
      </c>
      <c r="E481" t="s">
        <v>611</v>
      </c>
      <c r="F481">
        <v>4</v>
      </c>
      <c r="G481">
        <v>101</v>
      </c>
      <c r="H481" t="str">
        <f>IF(VLOOKUP(C481,Customers!A:E,5,FALSE)&gt;=1000,"YES","NO")</f>
        <v>YES</v>
      </c>
      <c r="I481">
        <f t="shared" si="7"/>
        <v>50.5</v>
      </c>
      <c r="J481">
        <f>(I481 - VLOOKUP(E481,Desserts!A:D,4,FALSE)) * F481</f>
        <v>30</v>
      </c>
    </row>
    <row r="482" spans="1:10" x14ac:dyDescent="0.3">
      <c r="A482" t="s">
        <v>1392</v>
      </c>
      <c r="B482" t="s">
        <v>878</v>
      </c>
      <c r="C482" t="s">
        <v>419</v>
      </c>
      <c r="D482" t="s">
        <v>54</v>
      </c>
      <c r="E482" t="s">
        <v>573</v>
      </c>
      <c r="F482">
        <v>4</v>
      </c>
      <c r="G482">
        <v>162</v>
      </c>
      <c r="H482" t="str">
        <f>IF(VLOOKUP(C482,Customers!A:E,5,FALSE)&gt;=1000,"YES","NO")</f>
        <v>NO</v>
      </c>
      <c r="I482">
        <f t="shared" si="7"/>
        <v>162</v>
      </c>
      <c r="J482">
        <f>(I482 - VLOOKUP(E482,Desserts!A:D,4,FALSE)) * F482</f>
        <v>448</v>
      </c>
    </row>
    <row r="483" spans="1:10" x14ac:dyDescent="0.3">
      <c r="A483" t="s">
        <v>1393</v>
      </c>
      <c r="B483" t="s">
        <v>810</v>
      </c>
      <c r="C483" t="s">
        <v>363</v>
      </c>
      <c r="D483" t="s">
        <v>268</v>
      </c>
      <c r="E483" t="s">
        <v>535</v>
      </c>
      <c r="F483">
        <v>2</v>
      </c>
      <c r="G483">
        <v>168</v>
      </c>
      <c r="H483" t="str">
        <f>IF(VLOOKUP(C483,Customers!A:E,5,FALSE)&gt;=1000,"YES","NO")</f>
        <v>YES</v>
      </c>
      <c r="I483">
        <f t="shared" si="7"/>
        <v>84</v>
      </c>
      <c r="J483">
        <f>(I483 - VLOOKUP(E483,Desserts!A:D,4,FALSE)) * F483</f>
        <v>20</v>
      </c>
    </row>
    <row r="484" spans="1:10" x14ac:dyDescent="0.3">
      <c r="A484" t="s">
        <v>1394</v>
      </c>
      <c r="B484" t="s">
        <v>988</v>
      </c>
      <c r="C484" t="s">
        <v>421</v>
      </c>
      <c r="D484" t="s">
        <v>57</v>
      </c>
      <c r="E484" t="s">
        <v>545</v>
      </c>
      <c r="F484">
        <v>4</v>
      </c>
      <c r="G484">
        <v>123</v>
      </c>
      <c r="H484" t="str">
        <f>IF(VLOOKUP(C484,Customers!A:E,5,FALSE)&gt;=1000,"YES","NO")</f>
        <v>YES</v>
      </c>
      <c r="I484">
        <f t="shared" si="7"/>
        <v>61.5</v>
      </c>
      <c r="J484">
        <f>(I484 - VLOOKUP(E484,Desserts!A:D,4,FALSE)) * F484</f>
        <v>66</v>
      </c>
    </row>
    <row r="485" spans="1:10" x14ac:dyDescent="0.3">
      <c r="A485" t="s">
        <v>1395</v>
      </c>
      <c r="B485" t="s">
        <v>904</v>
      </c>
      <c r="C485" t="s">
        <v>365</v>
      </c>
      <c r="D485" t="s">
        <v>193</v>
      </c>
      <c r="E485" t="s">
        <v>607</v>
      </c>
      <c r="F485">
        <v>5</v>
      </c>
      <c r="G485">
        <v>232</v>
      </c>
      <c r="H485" t="str">
        <f>IF(VLOOKUP(C485,Customers!A:E,5,FALSE)&gt;=1000,"YES","NO")</f>
        <v>NO</v>
      </c>
      <c r="I485">
        <f t="shared" si="7"/>
        <v>232</v>
      </c>
      <c r="J485">
        <f>(I485 - VLOOKUP(E485,Desserts!A:D,4,FALSE)) * F485</f>
        <v>810</v>
      </c>
    </row>
    <row r="486" spans="1:10" x14ac:dyDescent="0.3">
      <c r="A486" t="s">
        <v>1396</v>
      </c>
      <c r="B486" t="s">
        <v>852</v>
      </c>
      <c r="C486" t="s">
        <v>349</v>
      </c>
      <c r="D486" t="s">
        <v>37</v>
      </c>
      <c r="E486" t="s">
        <v>619</v>
      </c>
      <c r="F486">
        <v>2</v>
      </c>
      <c r="G486">
        <v>199</v>
      </c>
      <c r="H486" t="str">
        <f>IF(VLOOKUP(C486,Customers!A:E,5,FALSE)&gt;=1000,"YES","NO")</f>
        <v>NO</v>
      </c>
      <c r="I486">
        <f t="shared" si="7"/>
        <v>199</v>
      </c>
      <c r="J486">
        <f>(I486 - VLOOKUP(E486,Desserts!A:D,4,FALSE)) * F486</f>
        <v>236</v>
      </c>
    </row>
    <row r="487" spans="1:10" x14ac:dyDescent="0.3">
      <c r="A487" t="s">
        <v>1397</v>
      </c>
      <c r="B487" t="s">
        <v>1398</v>
      </c>
      <c r="C487" t="s">
        <v>481</v>
      </c>
      <c r="D487" t="s">
        <v>265</v>
      </c>
      <c r="E487" t="s">
        <v>565</v>
      </c>
      <c r="F487">
        <v>1</v>
      </c>
      <c r="G487">
        <v>172</v>
      </c>
      <c r="H487" t="str">
        <f>IF(VLOOKUP(C487,Customers!A:E,5,FALSE)&gt;=1000,"YES","NO")</f>
        <v>YES</v>
      </c>
      <c r="I487">
        <f t="shared" si="7"/>
        <v>86</v>
      </c>
      <c r="J487">
        <f>(I487 - VLOOKUP(E487,Desserts!A:D,4,FALSE)) * F487</f>
        <v>45</v>
      </c>
    </row>
    <row r="488" spans="1:10" x14ac:dyDescent="0.3">
      <c r="A488" t="s">
        <v>1399</v>
      </c>
      <c r="B488" t="s">
        <v>667</v>
      </c>
      <c r="C488" t="s">
        <v>347</v>
      </c>
      <c r="D488" t="s">
        <v>250</v>
      </c>
      <c r="E488" t="s">
        <v>523</v>
      </c>
      <c r="F488">
        <v>3</v>
      </c>
      <c r="G488">
        <v>191</v>
      </c>
      <c r="H488" t="str">
        <f>IF(VLOOKUP(C488,Customers!A:E,5,FALSE)&gt;=1000,"YES","NO")</f>
        <v>YES</v>
      </c>
      <c r="I488">
        <f t="shared" si="7"/>
        <v>95.5</v>
      </c>
      <c r="J488">
        <f>(I488 - VLOOKUP(E488,Desserts!A:D,4,FALSE)) * F488</f>
        <v>82.5</v>
      </c>
    </row>
    <row r="489" spans="1:10" x14ac:dyDescent="0.3">
      <c r="A489" t="s">
        <v>1400</v>
      </c>
      <c r="B489" t="s">
        <v>962</v>
      </c>
      <c r="C489" t="s">
        <v>503</v>
      </c>
      <c r="D489" t="s">
        <v>63</v>
      </c>
      <c r="E489" t="s">
        <v>569</v>
      </c>
      <c r="F489">
        <v>1</v>
      </c>
      <c r="G489">
        <v>102</v>
      </c>
      <c r="H489" t="str">
        <f>IF(VLOOKUP(C489,Customers!A:E,5,FALSE)&gt;=1000,"YES","NO")</f>
        <v>NO</v>
      </c>
      <c r="I489">
        <f t="shared" si="7"/>
        <v>102</v>
      </c>
      <c r="J489">
        <f>(I489 - VLOOKUP(E489,Desserts!A:D,4,FALSE)) * F489</f>
        <v>25</v>
      </c>
    </row>
    <row r="490" spans="1:10" x14ac:dyDescent="0.3">
      <c r="A490" t="s">
        <v>1401</v>
      </c>
      <c r="B490" t="s">
        <v>719</v>
      </c>
      <c r="C490" t="s">
        <v>413</v>
      </c>
      <c r="D490" t="s">
        <v>301</v>
      </c>
      <c r="E490" t="s">
        <v>583</v>
      </c>
      <c r="F490">
        <v>4</v>
      </c>
      <c r="G490">
        <v>152</v>
      </c>
      <c r="H490" t="str">
        <f>IF(VLOOKUP(C490,Customers!A:E,5,FALSE)&gt;=1000,"YES","NO")</f>
        <v>YES</v>
      </c>
      <c r="I490">
        <f t="shared" si="7"/>
        <v>76</v>
      </c>
      <c r="J490">
        <f>(I490 - VLOOKUP(E490,Desserts!A:D,4,FALSE)) * F490</f>
        <v>-28</v>
      </c>
    </row>
    <row r="491" spans="1:10" x14ac:dyDescent="0.3">
      <c r="A491" t="s">
        <v>1402</v>
      </c>
      <c r="B491" t="s">
        <v>1403</v>
      </c>
      <c r="C491" t="s">
        <v>389</v>
      </c>
      <c r="D491" t="s">
        <v>100</v>
      </c>
      <c r="E491" t="s">
        <v>587</v>
      </c>
      <c r="F491">
        <v>1</v>
      </c>
      <c r="G491">
        <v>145</v>
      </c>
      <c r="H491" t="str">
        <f>IF(VLOOKUP(C491,Customers!A:E,5,FALSE)&gt;=1000,"YES","NO")</f>
        <v>YES</v>
      </c>
      <c r="I491">
        <f t="shared" si="7"/>
        <v>72.5</v>
      </c>
      <c r="J491">
        <f>(I491 - VLOOKUP(E491,Desserts!A:D,4,FALSE)) * F491</f>
        <v>0.5</v>
      </c>
    </row>
    <row r="492" spans="1:10" x14ac:dyDescent="0.3">
      <c r="A492" t="s">
        <v>1404</v>
      </c>
      <c r="B492" t="s">
        <v>1405</v>
      </c>
      <c r="C492" t="s">
        <v>383</v>
      </c>
      <c r="D492" t="s">
        <v>172</v>
      </c>
      <c r="E492" t="s">
        <v>567</v>
      </c>
      <c r="F492">
        <v>5</v>
      </c>
      <c r="G492">
        <v>135</v>
      </c>
      <c r="H492" t="str">
        <f>IF(VLOOKUP(C492,Customers!A:E,5,FALSE)&gt;=1000,"YES","NO")</f>
        <v>NO</v>
      </c>
      <c r="I492">
        <f t="shared" si="7"/>
        <v>135</v>
      </c>
      <c r="J492">
        <f>(I492 - VLOOKUP(E492,Desserts!A:D,4,FALSE)) * F492</f>
        <v>395</v>
      </c>
    </row>
    <row r="493" spans="1:10" x14ac:dyDescent="0.3">
      <c r="A493" t="s">
        <v>1406</v>
      </c>
      <c r="B493" t="s">
        <v>1407</v>
      </c>
      <c r="C493" t="s">
        <v>453</v>
      </c>
      <c r="D493" t="s">
        <v>304</v>
      </c>
      <c r="E493" t="s">
        <v>549</v>
      </c>
      <c r="F493">
        <v>1</v>
      </c>
      <c r="G493">
        <v>135</v>
      </c>
      <c r="H493" t="str">
        <f>IF(VLOOKUP(C493,Customers!A:E,5,FALSE)&gt;=1000,"YES","NO")</f>
        <v>YES</v>
      </c>
      <c r="I493">
        <f t="shared" si="7"/>
        <v>67.5</v>
      </c>
      <c r="J493">
        <f>(I493 - VLOOKUP(E493,Desserts!A:D,4,FALSE)) * F493</f>
        <v>-11.5</v>
      </c>
    </row>
    <row r="494" spans="1:10" x14ac:dyDescent="0.3">
      <c r="A494" t="s">
        <v>1408</v>
      </c>
      <c r="B494" t="s">
        <v>781</v>
      </c>
      <c r="C494" t="s">
        <v>341</v>
      </c>
      <c r="D494" t="s">
        <v>226</v>
      </c>
      <c r="E494" t="s">
        <v>523</v>
      </c>
      <c r="F494">
        <v>3</v>
      </c>
      <c r="G494">
        <v>158</v>
      </c>
      <c r="H494" t="str">
        <f>IF(VLOOKUP(C494,Customers!A:E,5,FALSE)&gt;=1000,"YES","NO")</f>
        <v>YES</v>
      </c>
      <c r="I494">
        <f t="shared" si="7"/>
        <v>79</v>
      </c>
      <c r="J494">
        <f>(I494 - VLOOKUP(E494,Desserts!A:D,4,FALSE)) * F494</f>
        <v>33</v>
      </c>
    </row>
    <row r="495" spans="1:10" x14ac:dyDescent="0.3">
      <c r="A495" t="s">
        <v>1409</v>
      </c>
      <c r="B495" t="s">
        <v>888</v>
      </c>
      <c r="C495" t="s">
        <v>463</v>
      </c>
      <c r="D495" t="s">
        <v>289</v>
      </c>
      <c r="E495" t="s">
        <v>565</v>
      </c>
      <c r="F495">
        <v>3</v>
      </c>
      <c r="G495">
        <v>104</v>
      </c>
      <c r="H495" t="str">
        <f>IF(VLOOKUP(C495,Customers!A:E,5,FALSE)&gt;=1000,"YES","NO")</f>
        <v>NO</v>
      </c>
      <c r="I495">
        <f t="shared" si="7"/>
        <v>104</v>
      </c>
      <c r="J495">
        <f>(I495 - VLOOKUP(E495,Desserts!A:D,4,FALSE)) * F495</f>
        <v>189</v>
      </c>
    </row>
    <row r="496" spans="1:10" x14ac:dyDescent="0.3">
      <c r="A496" t="s">
        <v>1410</v>
      </c>
      <c r="B496" t="s">
        <v>1411</v>
      </c>
      <c r="C496" t="s">
        <v>379</v>
      </c>
      <c r="D496" t="s">
        <v>181</v>
      </c>
      <c r="E496" t="s">
        <v>617</v>
      </c>
      <c r="F496">
        <v>1</v>
      </c>
      <c r="G496">
        <v>130</v>
      </c>
      <c r="H496" t="str">
        <f>IF(VLOOKUP(C496,Customers!A:E,5,FALSE)&gt;=1000,"YES","NO")</f>
        <v>NO</v>
      </c>
      <c r="I496">
        <f t="shared" si="7"/>
        <v>130</v>
      </c>
      <c r="J496">
        <f>(I496 - VLOOKUP(E496,Desserts!A:D,4,FALSE)) * F496</f>
        <v>89</v>
      </c>
    </row>
    <row r="497" spans="1:10" x14ac:dyDescent="0.3">
      <c r="A497" t="s">
        <v>1412</v>
      </c>
      <c r="B497" t="s">
        <v>1413</v>
      </c>
      <c r="C497" t="s">
        <v>477</v>
      </c>
      <c r="D497" t="s">
        <v>304</v>
      </c>
      <c r="E497" t="s">
        <v>539</v>
      </c>
      <c r="F497">
        <v>3</v>
      </c>
      <c r="G497">
        <v>155</v>
      </c>
      <c r="H497" t="str">
        <f>IF(VLOOKUP(C497,Customers!A:E,5,FALSE)&gt;=1000,"YES","NO")</f>
        <v>YES</v>
      </c>
      <c r="I497">
        <f t="shared" si="7"/>
        <v>77.5</v>
      </c>
      <c r="J497">
        <f>(I497 - VLOOKUP(E497,Desserts!A:D,4,FALSE)) * F497</f>
        <v>46.5</v>
      </c>
    </row>
    <row r="498" spans="1:10" x14ac:dyDescent="0.3">
      <c r="A498" t="s">
        <v>1414</v>
      </c>
      <c r="B498" t="s">
        <v>904</v>
      </c>
      <c r="C498" t="s">
        <v>505</v>
      </c>
      <c r="D498" t="s">
        <v>172</v>
      </c>
      <c r="E498" t="s">
        <v>613</v>
      </c>
      <c r="F498">
        <v>4</v>
      </c>
      <c r="G498">
        <v>114</v>
      </c>
      <c r="H498" t="str">
        <f>IF(VLOOKUP(C498,Customers!A:E,5,FALSE)&gt;=1000,"YES","NO")</f>
        <v>YES</v>
      </c>
      <c r="I498">
        <f t="shared" si="7"/>
        <v>57</v>
      </c>
      <c r="J498">
        <f>(I498 - VLOOKUP(E498,Desserts!A:D,4,FALSE)) * F498</f>
        <v>-112</v>
      </c>
    </row>
    <row r="499" spans="1:10" x14ac:dyDescent="0.3">
      <c r="A499" t="s">
        <v>1415</v>
      </c>
      <c r="B499" t="s">
        <v>1134</v>
      </c>
      <c r="C499" t="s">
        <v>481</v>
      </c>
      <c r="D499" t="s">
        <v>292</v>
      </c>
      <c r="E499" t="s">
        <v>609</v>
      </c>
      <c r="F499">
        <v>3</v>
      </c>
      <c r="G499">
        <v>122</v>
      </c>
      <c r="H499" t="str">
        <f>IF(VLOOKUP(C499,Customers!A:E,5,FALSE)&gt;=1000,"YES","NO")</f>
        <v>YES</v>
      </c>
      <c r="I499">
        <f t="shared" si="7"/>
        <v>61</v>
      </c>
      <c r="J499">
        <f>(I499 - VLOOKUP(E499,Desserts!A:D,4,FALSE)) * F499</f>
        <v>-9</v>
      </c>
    </row>
    <row r="500" spans="1:10" x14ac:dyDescent="0.3">
      <c r="A500" t="s">
        <v>1416</v>
      </c>
      <c r="B500" t="s">
        <v>1417</v>
      </c>
      <c r="C500" t="s">
        <v>331</v>
      </c>
      <c r="D500" t="s">
        <v>166</v>
      </c>
      <c r="E500" t="s">
        <v>585</v>
      </c>
      <c r="F500">
        <v>2</v>
      </c>
      <c r="G500">
        <v>236</v>
      </c>
      <c r="H500" t="str">
        <f>IF(VLOOKUP(C500,Customers!A:E,5,FALSE)&gt;=1000,"YES","NO")</f>
        <v>YES</v>
      </c>
      <c r="I500">
        <f t="shared" si="7"/>
        <v>118</v>
      </c>
      <c r="J500">
        <f>(I500 - VLOOKUP(E500,Desserts!A:D,4,FALSE)) * F500</f>
        <v>142</v>
      </c>
    </row>
    <row r="501" spans="1:10" x14ac:dyDescent="0.3">
      <c r="A501" t="s">
        <v>1418</v>
      </c>
      <c r="B501" t="s">
        <v>1419</v>
      </c>
      <c r="C501" t="s">
        <v>385</v>
      </c>
      <c r="D501" t="s">
        <v>298</v>
      </c>
      <c r="E501" t="s">
        <v>525</v>
      </c>
      <c r="F501">
        <v>2</v>
      </c>
      <c r="G501">
        <v>159</v>
      </c>
      <c r="H501" t="str">
        <f>IF(VLOOKUP(C501,Customers!A:E,5,FALSE)&gt;=1000,"YES","NO")</f>
        <v>YES</v>
      </c>
      <c r="I501">
        <f t="shared" si="7"/>
        <v>79.5</v>
      </c>
      <c r="J501">
        <f>(I501 - VLOOKUP(E501,Desserts!A:D,4,FALSE)) * F501</f>
        <v>-9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44"/>
  <sheetViews>
    <sheetView workbookViewId="0">
      <selection activeCell="D22" sqref="D22"/>
    </sheetView>
  </sheetViews>
  <sheetFormatPr defaultRowHeight="14.4" x14ac:dyDescent="0.3"/>
  <cols>
    <col min="1" max="1" width="10.77734375" bestFit="1" customWidth="1"/>
    <col min="2" max="2" width="12.109375" bestFit="1" customWidth="1"/>
    <col min="3" max="3" width="14.88671875" bestFit="1" customWidth="1"/>
    <col min="4" max="4" width="16.44140625" bestFit="1" customWidth="1"/>
  </cols>
  <sheetData>
    <row r="1" spans="1:4" ht="18" x14ac:dyDescent="0.35">
      <c r="A1" s="11" t="s">
        <v>1420</v>
      </c>
      <c r="B1" s="11"/>
      <c r="C1" s="11"/>
    </row>
    <row r="6" spans="1:4" x14ac:dyDescent="0.3">
      <c r="B6" t="s">
        <v>1426</v>
      </c>
      <c r="C6" t="s">
        <v>1427</v>
      </c>
      <c r="D6" t="s">
        <v>1430</v>
      </c>
    </row>
    <row r="7" spans="1:4" x14ac:dyDescent="0.3">
      <c r="A7" s="3" t="s">
        <v>317</v>
      </c>
      <c r="B7" s="4">
        <v>905</v>
      </c>
      <c r="C7" s="4">
        <v>6</v>
      </c>
      <c r="D7" s="4">
        <v>3</v>
      </c>
    </row>
    <row r="8" spans="1:4" x14ac:dyDescent="0.3">
      <c r="A8" s="3" t="s">
        <v>319</v>
      </c>
      <c r="B8" s="4">
        <v>164.5</v>
      </c>
      <c r="C8" s="4">
        <v>7</v>
      </c>
      <c r="D8" s="4">
        <v>3</v>
      </c>
    </row>
    <row r="9" spans="1:4" x14ac:dyDescent="0.3">
      <c r="A9" s="3" t="s">
        <v>321</v>
      </c>
      <c r="B9" s="4">
        <v>2113</v>
      </c>
      <c r="C9" s="4">
        <v>19</v>
      </c>
      <c r="D9" s="4">
        <v>7</v>
      </c>
    </row>
    <row r="10" spans="1:4" x14ac:dyDescent="0.3">
      <c r="A10" s="3" t="s">
        <v>323</v>
      </c>
      <c r="B10" s="4">
        <v>1498</v>
      </c>
      <c r="C10" s="4">
        <v>17</v>
      </c>
      <c r="D10" s="4">
        <v>5</v>
      </c>
    </row>
    <row r="11" spans="1:4" x14ac:dyDescent="0.3">
      <c r="A11" s="3" t="s">
        <v>325</v>
      </c>
      <c r="B11" s="4">
        <v>1962</v>
      </c>
      <c r="C11" s="4">
        <v>12</v>
      </c>
      <c r="D11" s="4">
        <v>4</v>
      </c>
    </row>
    <row r="12" spans="1:4" x14ac:dyDescent="0.3">
      <c r="A12" s="3" t="s">
        <v>327</v>
      </c>
      <c r="B12" s="4">
        <v>323.5</v>
      </c>
      <c r="C12" s="4">
        <v>11</v>
      </c>
      <c r="D12" s="4">
        <v>3</v>
      </c>
    </row>
    <row r="13" spans="1:4" x14ac:dyDescent="0.3">
      <c r="A13" s="3" t="s">
        <v>329</v>
      </c>
      <c r="B13" s="4">
        <v>760.5</v>
      </c>
      <c r="C13" s="4">
        <v>21</v>
      </c>
      <c r="D13" s="4">
        <v>7</v>
      </c>
    </row>
    <row r="14" spans="1:4" x14ac:dyDescent="0.3">
      <c r="A14" s="3" t="s">
        <v>331</v>
      </c>
      <c r="B14" s="4">
        <v>270</v>
      </c>
      <c r="C14" s="4">
        <v>22</v>
      </c>
      <c r="D14" s="4">
        <v>8</v>
      </c>
    </row>
    <row r="15" spans="1:4" x14ac:dyDescent="0.3">
      <c r="A15" s="3" t="s">
        <v>333</v>
      </c>
      <c r="B15" s="4">
        <v>-32</v>
      </c>
      <c r="C15" s="4">
        <v>5</v>
      </c>
      <c r="D15" s="4">
        <v>2</v>
      </c>
    </row>
    <row r="16" spans="1:4" x14ac:dyDescent="0.3">
      <c r="A16" s="3" t="s">
        <v>335</v>
      </c>
      <c r="B16" s="4">
        <v>1304</v>
      </c>
      <c r="C16" s="4">
        <v>17</v>
      </c>
      <c r="D16" s="4">
        <v>7</v>
      </c>
    </row>
    <row r="17" spans="1:4" x14ac:dyDescent="0.3">
      <c r="A17" s="3" t="s">
        <v>337</v>
      </c>
      <c r="B17" s="4">
        <v>1181</v>
      </c>
      <c r="C17" s="4">
        <v>10</v>
      </c>
      <c r="D17" s="4">
        <v>4</v>
      </c>
    </row>
    <row r="18" spans="1:4" x14ac:dyDescent="0.3">
      <c r="A18" s="3" t="s">
        <v>339</v>
      </c>
      <c r="B18" s="4">
        <v>1571</v>
      </c>
      <c r="C18" s="4">
        <v>18</v>
      </c>
      <c r="D18" s="4">
        <v>5</v>
      </c>
    </row>
    <row r="19" spans="1:4" x14ac:dyDescent="0.3">
      <c r="A19" s="3" t="s">
        <v>341</v>
      </c>
      <c r="B19" s="4">
        <v>725</v>
      </c>
      <c r="C19" s="4">
        <v>27</v>
      </c>
      <c r="D19" s="4">
        <v>7</v>
      </c>
    </row>
    <row r="20" spans="1:4" x14ac:dyDescent="0.3">
      <c r="A20" s="3" t="s">
        <v>343</v>
      </c>
      <c r="B20" s="4">
        <v>601.5</v>
      </c>
      <c r="C20" s="4">
        <v>12</v>
      </c>
      <c r="D20" s="4">
        <v>5</v>
      </c>
    </row>
    <row r="21" spans="1:4" x14ac:dyDescent="0.3">
      <c r="A21" s="3" t="s">
        <v>345</v>
      </c>
      <c r="B21" s="4">
        <v>219.5</v>
      </c>
      <c r="C21" s="4">
        <v>17</v>
      </c>
      <c r="D21" s="4">
        <v>6</v>
      </c>
    </row>
    <row r="22" spans="1:4" x14ac:dyDescent="0.3">
      <c r="A22" s="3" t="s">
        <v>347</v>
      </c>
      <c r="B22" s="4">
        <v>438.5</v>
      </c>
      <c r="C22" s="4">
        <v>22</v>
      </c>
      <c r="D22" s="4">
        <v>7</v>
      </c>
    </row>
    <row r="23" spans="1:4" x14ac:dyDescent="0.3">
      <c r="A23" s="3" t="s">
        <v>349</v>
      </c>
      <c r="B23" s="4">
        <v>2998</v>
      </c>
      <c r="C23" s="4">
        <v>22</v>
      </c>
      <c r="D23" s="4">
        <v>8</v>
      </c>
    </row>
    <row r="24" spans="1:4" x14ac:dyDescent="0.3">
      <c r="A24" s="3" t="s">
        <v>351</v>
      </c>
      <c r="B24" s="4">
        <v>1437</v>
      </c>
      <c r="C24" s="4">
        <v>13</v>
      </c>
      <c r="D24" s="4">
        <v>4</v>
      </c>
    </row>
    <row r="25" spans="1:4" x14ac:dyDescent="0.3">
      <c r="A25" s="3" t="s">
        <v>353</v>
      </c>
      <c r="B25" s="4">
        <v>420</v>
      </c>
      <c r="C25" s="4">
        <v>5</v>
      </c>
      <c r="D25" s="4">
        <v>1</v>
      </c>
    </row>
    <row r="26" spans="1:4" x14ac:dyDescent="0.3">
      <c r="A26" s="3" t="s">
        <v>355</v>
      </c>
      <c r="B26" s="4">
        <v>118</v>
      </c>
      <c r="C26" s="4">
        <v>8</v>
      </c>
      <c r="D26" s="4">
        <v>2</v>
      </c>
    </row>
    <row r="27" spans="1:4" x14ac:dyDescent="0.3">
      <c r="A27" s="3" t="s">
        <v>357</v>
      </c>
      <c r="B27" s="4">
        <v>1552</v>
      </c>
      <c r="C27" s="4">
        <v>14</v>
      </c>
      <c r="D27" s="4">
        <v>5</v>
      </c>
    </row>
    <row r="28" spans="1:4" x14ac:dyDescent="0.3">
      <c r="A28" s="3" t="s">
        <v>359</v>
      </c>
      <c r="B28" s="4">
        <v>120</v>
      </c>
      <c r="C28" s="4">
        <v>8</v>
      </c>
      <c r="D28" s="4">
        <v>4</v>
      </c>
    </row>
    <row r="29" spans="1:4" x14ac:dyDescent="0.3">
      <c r="A29" s="3" t="s">
        <v>361</v>
      </c>
      <c r="B29" s="4">
        <v>1141</v>
      </c>
      <c r="C29" s="4">
        <v>10</v>
      </c>
      <c r="D29" s="4">
        <v>5</v>
      </c>
    </row>
    <row r="30" spans="1:4" x14ac:dyDescent="0.3">
      <c r="A30" s="3" t="s">
        <v>363</v>
      </c>
      <c r="B30" s="4">
        <v>232</v>
      </c>
      <c r="C30" s="4">
        <v>18</v>
      </c>
      <c r="D30" s="4">
        <v>7</v>
      </c>
    </row>
    <row r="31" spans="1:4" x14ac:dyDescent="0.3">
      <c r="A31" s="3" t="s">
        <v>365</v>
      </c>
      <c r="B31" s="4">
        <v>1345</v>
      </c>
      <c r="C31" s="4">
        <v>15</v>
      </c>
      <c r="D31" s="4">
        <v>4</v>
      </c>
    </row>
    <row r="32" spans="1:4" x14ac:dyDescent="0.3">
      <c r="A32" s="3" t="s">
        <v>367</v>
      </c>
      <c r="B32" s="4">
        <v>2232</v>
      </c>
      <c r="C32" s="4">
        <v>19</v>
      </c>
      <c r="D32" s="4">
        <v>7</v>
      </c>
    </row>
    <row r="33" spans="1:4" x14ac:dyDescent="0.3">
      <c r="A33" s="5" t="s">
        <v>72</v>
      </c>
      <c r="B33" s="4">
        <v>428</v>
      </c>
      <c r="C33" s="4">
        <v>4</v>
      </c>
      <c r="D33" s="4">
        <v>1</v>
      </c>
    </row>
    <row r="34" spans="1:4" x14ac:dyDescent="0.3">
      <c r="A34" s="6" t="s">
        <v>1428</v>
      </c>
      <c r="B34" s="4">
        <v>428</v>
      </c>
      <c r="C34" s="4">
        <v>4</v>
      </c>
      <c r="D34" s="4">
        <v>1</v>
      </c>
    </row>
    <row r="35" spans="1:4" x14ac:dyDescent="0.3">
      <c r="A35" s="5" t="s">
        <v>178</v>
      </c>
      <c r="B35" s="4">
        <v>279</v>
      </c>
      <c r="C35" s="4">
        <v>3</v>
      </c>
      <c r="D35" s="4">
        <v>1</v>
      </c>
    </row>
    <row r="36" spans="1:4" x14ac:dyDescent="0.3">
      <c r="A36" s="6" t="s">
        <v>1428</v>
      </c>
      <c r="B36" s="4">
        <v>279</v>
      </c>
      <c r="C36" s="4">
        <v>3</v>
      </c>
      <c r="D36" s="4">
        <v>1</v>
      </c>
    </row>
    <row r="37" spans="1:4" x14ac:dyDescent="0.3">
      <c r="A37" s="5" t="s">
        <v>181</v>
      </c>
      <c r="B37" s="4">
        <v>476</v>
      </c>
      <c r="C37" s="4">
        <v>4</v>
      </c>
      <c r="D37" s="4">
        <v>1</v>
      </c>
    </row>
    <row r="38" spans="1:4" x14ac:dyDescent="0.3">
      <c r="A38" s="6" t="s">
        <v>1428</v>
      </c>
      <c r="B38" s="4">
        <v>476</v>
      </c>
      <c r="C38" s="4">
        <v>4</v>
      </c>
      <c r="D38" s="4">
        <v>1</v>
      </c>
    </row>
    <row r="39" spans="1:4" x14ac:dyDescent="0.3">
      <c r="A39" s="5" t="s">
        <v>196</v>
      </c>
      <c r="B39" s="4">
        <v>85</v>
      </c>
      <c r="C39" s="4">
        <v>1</v>
      </c>
      <c r="D39" s="4">
        <v>1</v>
      </c>
    </row>
    <row r="40" spans="1:4" x14ac:dyDescent="0.3">
      <c r="A40" s="6" t="s">
        <v>1428</v>
      </c>
      <c r="B40" s="4">
        <v>85</v>
      </c>
      <c r="C40" s="4">
        <v>1</v>
      </c>
      <c r="D40" s="4">
        <v>1</v>
      </c>
    </row>
    <row r="41" spans="1:4" x14ac:dyDescent="0.3">
      <c r="A41" s="5" t="s">
        <v>235</v>
      </c>
      <c r="B41" s="4">
        <v>344</v>
      </c>
      <c r="C41" s="4">
        <v>2</v>
      </c>
      <c r="D41" s="4">
        <v>1</v>
      </c>
    </row>
    <row r="42" spans="1:4" x14ac:dyDescent="0.3">
      <c r="A42" s="6" t="s">
        <v>1428</v>
      </c>
      <c r="B42" s="4">
        <v>344</v>
      </c>
      <c r="C42" s="4">
        <v>2</v>
      </c>
      <c r="D42" s="4">
        <v>1</v>
      </c>
    </row>
    <row r="43" spans="1:4" x14ac:dyDescent="0.3">
      <c r="A43" s="5" t="s">
        <v>250</v>
      </c>
      <c r="B43" s="4">
        <v>122</v>
      </c>
      <c r="C43" s="4">
        <v>2</v>
      </c>
      <c r="D43" s="4">
        <v>1</v>
      </c>
    </row>
    <row r="44" spans="1:4" x14ac:dyDescent="0.3">
      <c r="A44" s="6" t="s">
        <v>1428</v>
      </c>
      <c r="B44" s="4">
        <v>122</v>
      </c>
      <c r="C44" s="4">
        <v>2</v>
      </c>
      <c r="D44" s="4">
        <v>1</v>
      </c>
    </row>
    <row r="45" spans="1:4" x14ac:dyDescent="0.3">
      <c r="A45" s="5" t="s">
        <v>280</v>
      </c>
      <c r="B45" s="4">
        <v>498</v>
      </c>
      <c r="C45" s="4">
        <v>3</v>
      </c>
      <c r="D45" s="4">
        <v>1</v>
      </c>
    </row>
    <row r="46" spans="1:4" x14ac:dyDescent="0.3">
      <c r="A46" s="6" t="s">
        <v>1428</v>
      </c>
      <c r="B46" s="4">
        <v>498</v>
      </c>
      <c r="C46" s="4">
        <v>3</v>
      </c>
      <c r="D46" s="4">
        <v>1</v>
      </c>
    </row>
    <row r="47" spans="1:4" x14ac:dyDescent="0.3">
      <c r="A47" s="3" t="s">
        <v>369</v>
      </c>
      <c r="B47" s="4">
        <v>472.5</v>
      </c>
      <c r="C47" s="4">
        <v>17</v>
      </c>
      <c r="D47" s="4">
        <v>6</v>
      </c>
    </row>
    <row r="48" spans="1:4" x14ac:dyDescent="0.3">
      <c r="A48" s="5" t="s">
        <v>27</v>
      </c>
      <c r="B48" s="4">
        <v>30</v>
      </c>
      <c r="C48" s="4">
        <v>1</v>
      </c>
      <c r="D48" s="4">
        <v>1</v>
      </c>
    </row>
    <row r="49" spans="1:4" x14ac:dyDescent="0.3">
      <c r="A49" s="6" t="s">
        <v>1429</v>
      </c>
      <c r="B49" s="4">
        <v>30</v>
      </c>
      <c r="C49" s="4">
        <v>1</v>
      </c>
      <c r="D49" s="4">
        <v>1</v>
      </c>
    </row>
    <row r="50" spans="1:4" x14ac:dyDescent="0.3">
      <c r="A50" s="5" t="s">
        <v>72</v>
      </c>
      <c r="B50" s="4">
        <v>122.5</v>
      </c>
      <c r="C50" s="4">
        <v>5</v>
      </c>
      <c r="D50" s="4">
        <v>1</v>
      </c>
    </row>
    <row r="51" spans="1:4" x14ac:dyDescent="0.3">
      <c r="A51" s="6" t="s">
        <v>1429</v>
      </c>
      <c r="B51" s="4">
        <v>122.5</v>
      </c>
      <c r="C51" s="4">
        <v>5</v>
      </c>
      <c r="D51" s="4">
        <v>1</v>
      </c>
    </row>
    <row r="52" spans="1:4" x14ac:dyDescent="0.3">
      <c r="A52" s="5" t="s">
        <v>247</v>
      </c>
      <c r="B52" s="4">
        <v>-6</v>
      </c>
      <c r="C52" s="4">
        <v>3</v>
      </c>
      <c r="D52" s="4">
        <v>1</v>
      </c>
    </row>
    <row r="53" spans="1:4" x14ac:dyDescent="0.3">
      <c r="A53" s="6" t="s">
        <v>1429</v>
      </c>
      <c r="B53" s="4">
        <v>-6</v>
      </c>
      <c r="C53" s="4">
        <v>3</v>
      </c>
      <c r="D53" s="4">
        <v>1</v>
      </c>
    </row>
    <row r="54" spans="1:4" x14ac:dyDescent="0.3">
      <c r="A54" s="5" t="s">
        <v>256</v>
      </c>
      <c r="B54" s="4">
        <v>25</v>
      </c>
      <c r="C54" s="4">
        <v>1</v>
      </c>
      <c r="D54" s="4">
        <v>1</v>
      </c>
    </row>
    <row r="55" spans="1:4" x14ac:dyDescent="0.3">
      <c r="A55" s="6" t="s">
        <v>1429</v>
      </c>
      <c r="B55" s="4">
        <v>25</v>
      </c>
      <c r="C55" s="4">
        <v>1</v>
      </c>
      <c r="D55" s="4">
        <v>1</v>
      </c>
    </row>
    <row r="56" spans="1:4" x14ac:dyDescent="0.3">
      <c r="A56" s="5" t="s">
        <v>289</v>
      </c>
      <c r="B56" s="4">
        <v>185</v>
      </c>
      <c r="C56" s="4">
        <v>5</v>
      </c>
      <c r="D56" s="4">
        <v>1</v>
      </c>
    </row>
    <row r="57" spans="1:4" x14ac:dyDescent="0.3">
      <c r="A57" s="6" t="s">
        <v>1429</v>
      </c>
      <c r="B57" s="4">
        <v>185</v>
      </c>
      <c r="C57" s="4">
        <v>5</v>
      </c>
      <c r="D57" s="4">
        <v>1</v>
      </c>
    </row>
    <row r="58" spans="1:4" x14ac:dyDescent="0.3">
      <c r="A58" s="5" t="s">
        <v>301</v>
      </c>
      <c r="B58" s="4">
        <v>116</v>
      </c>
      <c r="C58" s="4">
        <v>2</v>
      </c>
      <c r="D58" s="4">
        <v>1</v>
      </c>
    </row>
    <row r="59" spans="1:4" x14ac:dyDescent="0.3">
      <c r="A59" s="6" t="s">
        <v>1429</v>
      </c>
      <c r="B59" s="4">
        <v>116</v>
      </c>
      <c r="C59" s="4">
        <v>2</v>
      </c>
      <c r="D59" s="4">
        <v>1</v>
      </c>
    </row>
    <row r="60" spans="1:4" x14ac:dyDescent="0.3">
      <c r="A60" s="3" t="s">
        <v>371</v>
      </c>
      <c r="B60" s="4">
        <v>270</v>
      </c>
      <c r="C60" s="4">
        <v>2</v>
      </c>
      <c r="D60" s="4">
        <v>2</v>
      </c>
    </row>
    <row r="61" spans="1:4" x14ac:dyDescent="0.3">
      <c r="A61" s="5" t="s">
        <v>79</v>
      </c>
      <c r="B61" s="4">
        <v>133</v>
      </c>
      <c r="C61" s="4">
        <v>1</v>
      </c>
      <c r="D61" s="4">
        <v>1</v>
      </c>
    </row>
    <row r="62" spans="1:4" x14ac:dyDescent="0.3">
      <c r="A62" s="6" t="s">
        <v>1428</v>
      </c>
      <c r="B62" s="4">
        <v>133</v>
      </c>
      <c r="C62" s="4">
        <v>1</v>
      </c>
      <c r="D62" s="4">
        <v>1</v>
      </c>
    </row>
    <row r="63" spans="1:4" x14ac:dyDescent="0.3">
      <c r="A63" s="5" t="s">
        <v>205</v>
      </c>
      <c r="B63" s="4">
        <v>137</v>
      </c>
      <c r="C63" s="4">
        <v>1</v>
      </c>
      <c r="D63" s="4">
        <v>1</v>
      </c>
    </row>
    <row r="64" spans="1:4" x14ac:dyDescent="0.3">
      <c r="A64" s="6" t="s">
        <v>1428</v>
      </c>
      <c r="B64" s="4">
        <v>137</v>
      </c>
      <c r="C64" s="4">
        <v>1</v>
      </c>
      <c r="D64" s="4">
        <v>1</v>
      </c>
    </row>
    <row r="65" spans="1:4" x14ac:dyDescent="0.3">
      <c r="A65" s="3" t="s">
        <v>373</v>
      </c>
      <c r="B65" s="4">
        <v>1406</v>
      </c>
      <c r="C65" s="4">
        <v>14</v>
      </c>
      <c r="D65" s="4">
        <v>4</v>
      </c>
    </row>
    <row r="66" spans="1:4" x14ac:dyDescent="0.3">
      <c r="A66" s="5" t="s">
        <v>5</v>
      </c>
      <c r="B66" s="4">
        <v>153</v>
      </c>
      <c r="C66" s="4">
        <v>3</v>
      </c>
      <c r="D66" s="4">
        <v>1</v>
      </c>
    </row>
    <row r="67" spans="1:4" x14ac:dyDescent="0.3">
      <c r="A67" s="6" t="s">
        <v>1428</v>
      </c>
      <c r="B67" s="4">
        <v>153</v>
      </c>
      <c r="C67" s="4">
        <v>3</v>
      </c>
      <c r="D67" s="4">
        <v>1</v>
      </c>
    </row>
    <row r="68" spans="1:4" x14ac:dyDescent="0.3">
      <c r="A68" s="5" t="s">
        <v>181</v>
      </c>
      <c r="B68" s="4">
        <v>520</v>
      </c>
      <c r="C68" s="4">
        <v>4</v>
      </c>
      <c r="D68" s="4">
        <v>1</v>
      </c>
    </row>
    <row r="69" spans="1:4" x14ac:dyDescent="0.3">
      <c r="A69" s="6" t="s">
        <v>1428</v>
      </c>
      <c r="B69" s="4">
        <v>520</v>
      </c>
      <c r="C69" s="4">
        <v>4</v>
      </c>
      <c r="D69" s="4">
        <v>1</v>
      </c>
    </row>
    <row r="70" spans="1:4" x14ac:dyDescent="0.3">
      <c r="A70" s="5" t="s">
        <v>184</v>
      </c>
      <c r="B70" s="4">
        <v>278</v>
      </c>
      <c r="C70" s="4">
        <v>2</v>
      </c>
      <c r="D70" s="4">
        <v>1</v>
      </c>
    </row>
    <row r="71" spans="1:4" x14ac:dyDescent="0.3">
      <c r="A71" s="6" t="s">
        <v>1428</v>
      </c>
      <c r="B71" s="4">
        <v>278</v>
      </c>
      <c r="C71" s="4">
        <v>2</v>
      </c>
      <c r="D71" s="4">
        <v>1</v>
      </c>
    </row>
    <row r="72" spans="1:4" x14ac:dyDescent="0.3">
      <c r="A72" s="5" t="s">
        <v>298</v>
      </c>
      <c r="B72" s="4">
        <v>455</v>
      </c>
      <c r="C72" s="4">
        <v>5</v>
      </c>
      <c r="D72" s="4">
        <v>1</v>
      </c>
    </row>
    <row r="73" spans="1:4" x14ac:dyDescent="0.3">
      <c r="A73" s="6" t="s">
        <v>1428</v>
      </c>
      <c r="B73" s="4">
        <v>455</v>
      </c>
      <c r="C73" s="4">
        <v>5</v>
      </c>
      <c r="D73" s="4">
        <v>1</v>
      </c>
    </row>
    <row r="74" spans="1:4" x14ac:dyDescent="0.3">
      <c r="A74" s="3" t="s">
        <v>375</v>
      </c>
      <c r="B74" s="4">
        <v>2587</v>
      </c>
      <c r="C74" s="4">
        <v>29</v>
      </c>
      <c r="D74" s="4">
        <v>8</v>
      </c>
    </row>
    <row r="75" spans="1:4" x14ac:dyDescent="0.3">
      <c r="A75" s="5" t="s">
        <v>115</v>
      </c>
      <c r="B75" s="4">
        <v>75</v>
      </c>
      <c r="C75" s="4">
        <v>1</v>
      </c>
      <c r="D75" s="4">
        <v>1</v>
      </c>
    </row>
    <row r="76" spans="1:4" x14ac:dyDescent="0.3">
      <c r="A76" s="6" t="s">
        <v>1428</v>
      </c>
      <c r="B76" s="4">
        <v>75</v>
      </c>
      <c r="C76" s="4">
        <v>1</v>
      </c>
      <c r="D76" s="4">
        <v>1</v>
      </c>
    </row>
    <row r="77" spans="1:4" x14ac:dyDescent="0.3">
      <c r="A77" s="5" t="s">
        <v>130</v>
      </c>
      <c r="B77" s="4">
        <v>935</v>
      </c>
      <c r="C77" s="4">
        <v>5</v>
      </c>
      <c r="D77" s="4">
        <v>1</v>
      </c>
    </row>
    <row r="78" spans="1:4" x14ac:dyDescent="0.3">
      <c r="A78" s="6" t="s">
        <v>1428</v>
      </c>
      <c r="B78" s="4">
        <v>935</v>
      </c>
      <c r="C78" s="4">
        <v>5</v>
      </c>
      <c r="D78" s="4">
        <v>1</v>
      </c>
    </row>
    <row r="79" spans="1:4" x14ac:dyDescent="0.3">
      <c r="A79" s="5" t="s">
        <v>151</v>
      </c>
      <c r="B79" s="4">
        <v>295</v>
      </c>
      <c r="C79" s="4">
        <v>5</v>
      </c>
      <c r="D79" s="4">
        <v>1</v>
      </c>
    </row>
    <row r="80" spans="1:4" x14ac:dyDescent="0.3">
      <c r="A80" s="6" t="s">
        <v>1428</v>
      </c>
      <c r="B80" s="4">
        <v>295</v>
      </c>
      <c r="C80" s="4">
        <v>5</v>
      </c>
      <c r="D80" s="4">
        <v>1</v>
      </c>
    </row>
    <row r="81" spans="1:4" x14ac:dyDescent="0.3">
      <c r="A81" s="5" t="s">
        <v>235</v>
      </c>
      <c r="B81" s="4">
        <v>204</v>
      </c>
      <c r="C81" s="4">
        <v>4</v>
      </c>
      <c r="D81" s="4">
        <v>1</v>
      </c>
    </row>
    <row r="82" spans="1:4" x14ac:dyDescent="0.3">
      <c r="A82" s="6" t="s">
        <v>1428</v>
      </c>
      <c r="B82" s="4">
        <v>204</v>
      </c>
      <c r="C82" s="4">
        <v>4</v>
      </c>
      <c r="D82" s="4">
        <v>1</v>
      </c>
    </row>
    <row r="83" spans="1:4" x14ac:dyDescent="0.3">
      <c r="A83" s="5" t="s">
        <v>238</v>
      </c>
      <c r="B83" s="4">
        <v>540</v>
      </c>
      <c r="C83" s="4">
        <v>5</v>
      </c>
      <c r="D83" s="4">
        <v>1</v>
      </c>
    </row>
    <row r="84" spans="1:4" x14ac:dyDescent="0.3">
      <c r="A84" s="6" t="s">
        <v>1428</v>
      </c>
      <c r="B84" s="4">
        <v>540</v>
      </c>
      <c r="C84" s="4">
        <v>5</v>
      </c>
      <c r="D84" s="4">
        <v>1</v>
      </c>
    </row>
    <row r="85" spans="1:4" x14ac:dyDescent="0.3">
      <c r="A85" s="5" t="s">
        <v>256</v>
      </c>
      <c r="B85" s="4">
        <v>275</v>
      </c>
      <c r="C85" s="4">
        <v>5</v>
      </c>
      <c r="D85" s="4">
        <v>1</v>
      </c>
    </row>
    <row r="86" spans="1:4" x14ac:dyDescent="0.3">
      <c r="A86" s="6" t="s">
        <v>1428</v>
      </c>
      <c r="B86" s="4">
        <v>275</v>
      </c>
      <c r="C86" s="4">
        <v>5</v>
      </c>
      <c r="D86" s="4">
        <v>1</v>
      </c>
    </row>
    <row r="87" spans="1:4" x14ac:dyDescent="0.3">
      <c r="A87" s="5" t="s">
        <v>268</v>
      </c>
      <c r="B87" s="4">
        <v>68</v>
      </c>
      <c r="C87" s="4">
        <v>1</v>
      </c>
      <c r="D87" s="4">
        <v>1</v>
      </c>
    </row>
    <row r="88" spans="1:4" x14ac:dyDescent="0.3">
      <c r="A88" s="6" t="s">
        <v>1428</v>
      </c>
      <c r="B88" s="4">
        <v>68</v>
      </c>
      <c r="C88" s="4">
        <v>1</v>
      </c>
      <c r="D88" s="4">
        <v>1</v>
      </c>
    </row>
    <row r="89" spans="1:4" x14ac:dyDescent="0.3">
      <c r="A89" s="5" t="s">
        <v>307</v>
      </c>
      <c r="B89" s="4">
        <v>195</v>
      </c>
      <c r="C89" s="4">
        <v>3</v>
      </c>
      <c r="D89" s="4">
        <v>1</v>
      </c>
    </row>
    <row r="90" spans="1:4" x14ac:dyDescent="0.3">
      <c r="A90" s="6" t="s">
        <v>1428</v>
      </c>
      <c r="B90" s="4">
        <v>195</v>
      </c>
      <c r="C90" s="4">
        <v>3</v>
      </c>
      <c r="D90" s="4">
        <v>1</v>
      </c>
    </row>
    <row r="91" spans="1:4" x14ac:dyDescent="0.3">
      <c r="A91" s="3" t="s">
        <v>377</v>
      </c>
      <c r="B91" s="4">
        <v>1686</v>
      </c>
      <c r="C91" s="4">
        <v>17</v>
      </c>
      <c r="D91" s="4">
        <v>6</v>
      </c>
    </row>
    <row r="92" spans="1:4" x14ac:dyDescent="0.3">
      <c r="A92" s="5" t="s">
        <v>43</v>
      </c>
      <c r="B92" s="4">
        <v>94</v>
      </c>
      <c r="C92" s="4">
        <v>1</v>
      </c>
      <c r="D92" s="4">
        <v>1</v>
      </c>
    </row>
    <row r="93" spans="1:4" x14ac:dyDescent="0.3">
      <c r="A93" s="6" t="s">
        <v>1428</v>
      </c>
      <c r="B93" s="4">
        <v>94</v>
      </c>
      <c r="C93" s="4">
        <v>1</v>
      </c>
      <c r="D93" s="4">
        <v>1</v>
      </c>
    </row>
    <row r="94" spans="1:4" x14ac:dyDescent="0.3">
      <c r="A94" s="5" t="s">
        <v>106</v>
      </c>
      <c r="B94" s="4">
        <v>181</v>
      </c>
      <c r="C94" s="4">
        <v>1</v>
      </c>
      <c r="D94" s="4">
        <v>1</v>
      </c>
    </row>
    <row r="95" spans="1:4" x14ac:dyDescent="0.3">
      <c r="A95" s="6" t="s">
        <v>1428</v>
      </c>
      <c r="B95" s="4">
        <v>181</v>
      </c>
      <c r="C95" s="4">
        <v>1</v>
      </c>
      <c r="D95" s="4">
        <v>1</v>
      </c>
    </row>
    <row r="96" spans="1:4" x14ac:dyDescent="0.3">
      <c r="A96" s="5" t="s">
        <v>109</v>
      </c>
      <c r="B96" s="4">
        <v>198</v>
      </c>
      <c r="C96" s="4">
        <v>2</v>
      </c>
      <c r="D96" s="4">
        <v>1</v>
      </c>
    </row>
    <row r="97" spans="1:4" x14ac:dyDescent="0.3">
      <c r="A97" s="6" t="s">
        <v>1428</v>
      </c>
      <c r="B97" s="4">
        <v>198</v>
      </c>
      <c r="C97" s="4">
        <v>2</v>
      </c>
      <c r="D97" s="4">
        <v>1</v>
      </c>
    </row>
    <row r="98" spans="1:4" x14ac:dyDescent="0.3">
      <c r="A98" s="5" t="s">
        <v>166</v>
      </c>
      <c r="B98" s="4">
        <v>250</v>
      </c>
      <c r="C98" s="4">
        <v>5</v>
      </c>
      <c r="D98" s="4">
        <v>1</v>
      </c>
    </row>
    <row r="99" spans="1:4" x14ac:dyDescent="0.3">
      <c r="A99" s="6" t="s">
        <v>1428</v>
      </c>
      <c r="B99" s="4">
        <v>250</v>
      </c>
      <c r="C99" s="4">
        <v>5</v>
      </c>
      <c r="D99" s="4">
        <v>1</v>
      </c>
    </row>
    <row r="100" spans="1:4" x14ac:dyDescent="0.3">
      <c r="A100" s="5" t="s">
        <v>208</v>
      </c>
      <c r="B100" s="4">
        <v>483</v>
      </c>
      <c r="C100" s="4">
        <v>3</v>
      </c>
      <c r="D100" s="4">
        <v>1</v>
      </c>
    </row>
    <row r="101" spans="1:4" x14ac:dyDescent="0.3">
      <c r="A101" s="6" t="s">
        <v>1428</v>
      </c>
      <c r="B101" s="4">
        <v>483</v>
      </c>
      <c r="C101" s="4">
        <v>3</v>
      </c>
      <c r="D101" s="4">
        <v>1</v>
      </c>
    </row>
    <row r="102" spans="1:4" x14ac:dyDescent="0.3">
      <c r="A102" s="5" t="s">
        <v>259</v>
      </c>
      <c r="B102" s="4">
        <v>480</v>
      </c>
      <c r="C102" s="4">
        <v>5</v>
      </c>
      <c r="D102" s="4">
        <v>1</v>
      </c>
    </row>
    <row r="103" spans="1:4" x14ac:dyDescent="0.3">
      <c r="A103" s="6" t="s">
        <v>1428</v>
      </c>
      <c r="B103" s="4">
        <v>480</v>
      </c>
      <c r="C103" s="4">
        <v>5</v>
      </c>
      <c r="D103" s="4">
        <v>1</v>
      </c>
    </row>
    <row r="104" spans="1:4" x14ac:dyDescent="0.3">
      <c r="A104" s="3" t="s">
        <v>379</v>
      </c>
      <c r="B104" s="4">
        <v>2717</v>
      </c>
      <c r="C104" s="4">
        <v>20</v>
      </c>
      <c r="D104" s="4">
        <v>6</v>
      </c>
    </row>
    <row r="105" spans="1:4" x14ac:dyDescent="0.3">
      <c r="A105" s="5" t="s">
        <v>9</v>
      </c>
      <c r="B105" s="4">
        <v>810</v>
      </c>
      <c r="C105" s="4">
        <v>5</v>
      </c>
      <c r="D105" s="4">
        <v>1</v>
      </c>
    </row>
    <row r="106" spans="1:4" x14ac:dyDescent="0.3">
      <c r="A106" s="6" t="s">
        <v>1428</v>
      </c>
      <c r="B106" s="4">
        <v>810</v>
      </c>
      <c r="C106" s="4">
        <v>5</v>
      </c>
      <c r="D106" s="4">
        <v>1</v>
      </c>
    </row>
    <row r="107" spans="1:4" x14ac:dyDescent="0.3">
      <c r="A107" s="5" t="s">
        <v>13</v>
      </c>
      <c r="B107" s="4">
        <v>450</v>
      </c>
      <c r="C107" s="4">
        <v>3</v>
      </c>
      <c r="D107" s="4">
        <v>1</v>
      </c>
    </row>
    <row r="108" spans="1:4" x14ac:dyDescent="0.3">
      <c r="A108" s="6" t="s">
        <v>1428</v>
      </c>
      <c r="B108" s="4">
        <v>450</v>
      </c>
      <c r="C108" s="4">
        <v>3</v>
      </c>
      <c r="D108" s="4">
        <v>1</v>
      </c>
    </row>
    <row r="109" spans="1:4" x14ac:dyDescent="0.3">
      <c r="A109" s="5" t="s">
        <v>47</v>
      </c>
      <c r="B109" s="4">
        <v>790</v>
      </c>
      <c r="C109" s="4">
        <v>5</v>
      </c>
      <c r="D109" s="4">
        <v>1</v>
      </c>
    </row>
    <row r="110" spans="1:4" x14ac:dyDescent="0.3">
      <c r="A110" s="6" t="s">
        <v>1428</v>
      </c>
      <c r="B110" s="4">
        <v>790</v>
      </c>
      <c r="C110" s="4">
        <v>5</v>
      </c>
      <c r="D110" s="4">
        <v>1</v>
      </c>
    </row>
    <row r="111" spans="1:4" x14ac:dyDescent="0.3">
      <c r="A111" s="5" t="s">
        <v>85</v>
      </c>
      <c r="B111" s="4">
        <v>122</v>
      </c>
      <c r="C111" s="4">
        <v>2</v>
      </c>
      <c r="D111" s="4">
        <v>1</v>
      </c>
    </row>
    <row r="112" spans="1:4" x14ac:dyDescent="0.3">
      <c r="A112" s="6" t="s">
        <v>1428</v>
      </c>
      <c r="B112" s="4">
        <v>122</v>
      </c>
      <c r="C112" s="4">
        <v>2</v>
      </c>
      <c r="D112" s="4">
        <v>1</v>
      </c>
    </row>
    <row r="113" spans="1:4" x14ac:dyDescent="0.3">
      <c r="A113" s="5" t="s">
        <v>118</v>
      </c>
      <c r="B113" s="4">
        <v>456</v>
      </c>
      <c r="C113" s="4">
        <v>4</v>
      </c>
      <c r="D113" s="4">
        <v>1</v>
      </c>
    </row>
    <row r="114" spans="1:4" x14ac:dyDescent="0.3">
      <c r="A114" s="6" t="s">
        <v>1428</v>
      </c>
      <c r="B114" s="4">
        <v>456</v>
      </c>
      <c r="C114" s="4">
        <v>4</v>
      </c>
      <c r="D114" s="4">
        <v>1</v>
      </c>
    </row>
    <row r="115" spans="1:4" x14ac:dyDescent="0.3">
      <c r="A115" s="5" t="s">
        <v>181</v>
      </c>
      <c r="B115" s="4">
        <v>89</v>
      </c>
      <c r="C115" s="4">
        <v>1</v>
      </c>
      <c r="D115" s="4">
        <v>1</v>
      </c>
    </row>
    <row r="116" spans="1:4" x14ac:dyDescent="0.3">
      <c r="A116" s="6" t="s">
        <v>1428</v>
      </c>
      <c r="B116" s="4">
        <v>89</v>
      </c>
      <c r="C116" s="4">
        <v>1</v>
      </c>
      <c r="D116" s="4">
        <v>1</v>
      </c>
    </row>
    <row r="117" spans="1:4" x14ac:dyDescent="0.3">
      <c r="A117" s="3" t="s">
        <v>381</v>
      </c>
      <c r="B117" s="4">
        <v>892</v>
      </c>
      <c r="C117" s="4">
        <v>6</v>
      </c>
      <c r="D117" s="4">
        <v>3</v>
      </c>
    </row>
    <row r="118" spans="1:4" x14ac:dyDescent="0.3">
      <c r="A118" s="5" t="s">
        <v>43</v>
      </c>
      <c r="B118" s="4">
        <v>56</v>
      </c>
      <c r="C118" s="4">
        <v>1</v>
      </c>
      <c r="D118" s="4">
        <v>1</v>
      </c>
    </row>
    <row r="119" spans="1:4" x14ac:dyDescent="0.3">
      <c r="A119" s="6" t="s">
        <v>1428</v>
      </c>
      <c r="B119" s="4">
        <v>56</v>
      </c>
      <c r="C119" s="4">
        <v>1</v>
      </c>
      <c r="D119" s="4">
        <v>1</v>
      </c>
    </row>
    <row r="120" spans="1:4" x14ac:dyDescent="0.3">
      <c r="A120" s="5" t="s">
        <v>112</v>
      </c>
      <c r="B120" s="4">
        <v>136</v>
      </c>
      <c r="C120" s="4">
        <v>1</v>
      </c>
      <c r="D120" s="4">
        <v>1</v>
      </c>
    </row>
    <row r="121" spans="1:4" x14ac:dyDescent="0.3">
      <c r="A121" s="6" t="s">
        <v>1428</v>
      </c>
      <c r="B121" s="4">
        <v>136</v>
      </c>
      <c r="C121" s="4">
        <v>1</v>
      </c>
      <c r="D121" s="4">
        <v>1</v>
      </c>
    </row>
    <row r="122" spans="1:4" x14ac:dyDescent="0.3">
      <c r="A122" s="5" t="s">
        <v>304</v>
      </c>
      <c r="B122" s="4">
        <v>700</v>
      </c>
      <c r="C122" s="4">
        <v>4</v>
      </c>
      <c r="D122" s="4">
        <v>1</v>
      </c>
    </row>
    <row r="123" spans="1:4" x14ac:dyDescent="0.3">
      <c r="A123" s="6" t="s">
        <v>1428</v>
      </c>
      <c r="B123" s="4">
        <v>700</v>
      </c>
      <c r="C123" s="4">
        <v>4</v>
      </c>
      <c r="D123" s="4">
        <v>1</v>
      </c>
    </row>
    <row r="124" spans="1:4" x14ac:dyDescent="0.3">
      <c r="A124" s="3" t="s">
        <v>383</v>
      </c>
      <c r="B124" s="4">
        <v>1551</v>
      </c>
      <c r="C124" s="4">
        <v>12</v>
      </c>
      <c r="D124" s="4">
        <v>5</v>
      </c>
    </row>
    <row r="125" spans="1:4" x14ac:dyDescent="0.3">
      <c r="A125" s="5" t="s">
        <v>57</v>
      </c>
      <c r="B125" s="4">
        <v>113</v>
      </c>
      <c r="C125" s="4">
        <v>1</v>
      </c>
      <c r="D125" s="4">
        <v>1</v>
      </c>
    </row>
    <row r="126" spans="1:4" x14ac:dyDescent="0.3">
      <c r="A126" s="6" t="s">
        <v>1428</v>
      </c>
      <c r="B126" s="4">
        <v>113</v>
      </c>
      <c r="C126" s="4">
        <v>1</v>
      </c>
      <c r="D126" s="4">
        <v>1</v>
      </c>
    </row>
    <row r="127" spans="1:4" x14ac:dyDescent="0.3">
      <c r="A127" s="5" t="s">
        <v>60</v>
      </c>
      <c r="B127" s="4">
        <v>169</v>
      </c>
      <c r="C127" s="4">
        <v>1</v>
      </c>
      <c r="D127" s="4">
        <v>1</v>
      </c>
    </row>
    <row r="128" spans="1:4" x14ac:dyDescent="0.3">
      <c r="A128" s="6" t="s">
        <v>1428</v>
      </c>
      <c r="B128" s="4">
        <v>169</v>
      </c>
      <c r="C128" s="4">
        <v>1</v>
      </c>
      <c r="D128" s="4">
        <v>1</v>
      </c>
    </row>
    <row r="129" spans="1:4" x14ac:dyDescent="0.3">
      <c r="A129" s="5" t="s">
        <v>172</v>
      </c>
      <c r="B129" s="4">
        <v>395</v>
      </c>
      <c r="C129" s="4">
        <v>5</v>
      </c>
      <c r="D129" s="4">
        <v>1</v>
      </c>
    </row>
    <row r="130" spans="1:4" x14ac:dyDescent="0.3">
      <c r="A130" s="6" t="s">
        <v>1428</v>
      </c>
      <c r="B130" s="4">
        <v>395</v>
      </c>
      <c r="C130" s="4">
        <v>5</v>
      </c>
      <c r="D130" s="4">
        <v>1</v>
      </c>
    </row>
    <row r="131" spans="1:4" x14ac:dyDescent="0.3">
      <c r="A131" s="5" t="s">
        <v>229</v>
      </c>
      <c r="B131" s="4">
        <v>394</v>
      </c>
      <c r="C131" s="4">
        <v>2</v>
      </c>
      <c r="D131" s="4">
        <v>1</v>
      </c>
    </row>
    <row r="132" spans="1:4" x14ac:dyDescent="0.3">
      <c r="A132" s="6" t="s">
        <v>1428</v>
      </c>
      <c r="B132" s="4">
        <v>394</v>
      </c>
      <c r="C132" s="4">
        <v>2</v>
      </c>
      <c r="D132" s="4">
        <v>1</v>
      </c>
    </row>
    <row r="133" spans="1:4" x14ac:dyDescent="0.3">
      <c r="A133" s="5" t="s">
        <v>280</v>
      </c>
      <c r="B133" s="4">
        <v>480</v>
      </c>
      <c r="C133" s="4">
        <v>3</v>
      </c>
      <c r="D133" s="4">
        <v>1</v>
      </c>
    </row>
    <row r="134" spans="1:4" x14ac:dyDescent="0.3">
      <c r="A134" s="6" t="s">
        <v>1428</v>
      </c>
      <c r="B134" s="4">
        <v>480</v>
      </c>
      <c r="C134" s="4">
        <v>3</v>
      </c>
      <c r="D134" s="4">
        <v>1</v>
      </c>
    </row>
    <row r="135" spans="1:4" x14ac:dyDescent="0.3">
      <c r="A135" s="3" t="s">
        <v>385</v>
      </c>
      <c r="B135" s="4">
        <v>408</v>
      </c>
      <c r="C135" s="4">
        <v>13</v>
      </c>
      <c r="D135" s="4">
        <v>6</v>
      </c>
    </row>
    <row r="136" spans="1:4" x14ac:dyDescent="0.3">
      <c r="A136" s="5" t="s">
        <v>109</v>
      </c>
      <c r="B136" s="4">
        <v>88</v>
      </c>
      <c r="C136" s="4">
        <v>2</v>
      </c>
      <c r="D136" s="4">
        <v>1</v>
      </c>
    </row>
    <row r="137" spans="1:4" x14ac:dyDescent="0.3">
      <c r="A137" s="6" t="s">
        <v>1429</v>
      </c>
      <c r="B137" s="4">
        <v>88</v>
      </c>
      <c r="C137" s="4">
        <v>2</v>
      </c>
      <c r="D137" s="4">
        <v>1</v>
      </c>
    </row>
    <row r="138" spans="1:4" x14ac:dyDescent="0.3">
      <c r="A138" s="5" t="s">
        <v>214</v>
      </c>
      <c r="B138" s="4">
        <v>141</v>
      </c>
      <c r="C138" s="4">
        <v>3</v>
      </c>
      <c r="D138" s="4">
        <v>1</v>
      </c>
    </row>
    <row r="139" spans="1:4" x14ac:dyDescent="0.3">
      <c r="A139" s="6" t="s">
        <v>1429</v>
      </c>
      <c r="B139" s="4">
        <v>141</v>
      </c>
      <c r="C139" s="4">
        <v>3</v>
      </c>
      <c r="D139" s="4">
        <v>1</v>
      </c>
    </row>
    <row r="140" spans="1:4" x14ac:dyDescent="0.3">
      <c r="A140" s="5" t="s">
        <v>262</v>
      </c>
      <c r="B140" s="4">
        <v>-5</v>
      </c>
      <c r="C140" s="4">
        <v>2</v>
      </c>
      <c r="D140" s="4">
        <v>1</v>
      </c>
    </row>
    <row r="141" spans="1:4" x14ac:dyDescent="0.3">
      <c r="A141" s="6" t="s">
        <v>1429</v>
      </c>
      <c r="B141" s="4">
        <v>-5</v>
      </c>
      <c r="C141" s="4">
        <v>2</v>
      </c>
      <c r="D141" s="4">
        <v>1</v>
      </c>
    </row>
    <row r="142" spans="1:4" x14ac:dyDescent="0.3">
      <c r="A142" s="5" t="s">
        <v>265</v>
      </c>
      <c r="B142" s="4">
        <v>50</v>
      </c>
      <c r="C142" s="4">
        <v>2</v>
      </c>
      <c r="D142" s="4">
        <v>1</v>
      </c>
    </row>
    <row r="143" spans="1:4" x14ac:dyDescent="0.3">
      <c r="A143" s="6" t="s">
        <v>1429</v>
      </c>
      <c r="B143" s="4">
        <v>50</v>
      </c>
      <c r="C143" s="4">
        <v>2</v>
      </c>
      <c r="D143" s="4">
        <v>1</v>
      </c>
    </row>
    <row r="144" spans="1:4" x14ac:dyDescent="0.3">
      <c r="A144" s="5" t="s">
        <v>277</v>
      </c>
      <c r="B144" s="4">
        <v>143</v>
      </c>
      <c r="C144" s="4">
        <v>2</v>
      </c>
      <c r="D144" s="4">
        <v>1</v>
      </c>
    </row>
    <row r="145" spans="1:4" x14ac:dyDescent="0.3">
      <c r="A145" s="6" t="s">
        <v>1429</v>
      </c>
      <c r="B145" s="4">
        <v>143</v>
      </c>
      <c r="C145" s="4">
        <v>2</v>
      </c>
      <c r="D145" s="4">
        <v>1</v>
      </c>
    </row>
    <row r="146" spans="1:4" x14ac:dyDescent="0.3">
      <c r="A146" s="5" t="s">
        <v>298</v>
      </c>
      <c r="B146" s="4">
        <v>-9</v>
      </c>
      <c r="C146" s="4">
        <v>2</v>
      </c>
      <c r="D146" s="4">
        <v>1</v>
      </c>
    </row>
    <row r="147" spans="1:4" x14ac:dyDescent="0.3">
      <c r="A147" s="6" t="s">
        <v>1429</v>
      </c>
      <c r="B147" s="4">
        <v>-9</v>
      </c>
      <c r="C147" s="4">
        <v>2</v>
      </c>
      <c r="D147" s="4">
        <v>1</v>
      </c>
    </row>
    <row r="148" spans="1:4" x14ac:dyDescent="0.3">
      <c r="A148" s="3" t="s">
        <v>387</v>
      </c>
      <c r="B148" s="4">
        <v>2343</v>
      </c>
      <c r="C148" s="4">
        <v>22</v>
      </c>
      <c r="D148" s="4">
        <v>8</v>
      </c>
    </row>
    <row r="149" spans="1:4" x14ac:dyDescent="0.3">
      <c r="A149" s="5" t="s">
        <v>97</v>
      </c>
      <c r="B149" s="4">
        <v>309</v>
      </c>
      <c r="C149" s="4">
        <v>3</v>
      </c>
      <c r="D149" s="4">
        <v>1</v>
      </c>
    </row>
    <row r="150" spans="1:4" x14ac:dyDescent="0.3">
      <c r="A150" s="6" t="s">
        <v>1428</v>
      </c>
      <c r="B150" s="4">
        <v>309</v>
      </c>
      <c r="C150" s="4">
        <v>3</v>
      </c>
      <c r="D150" s="4">
        <v>1</v>
      </c>
    </row>
    <row r="151" spans="1:4" x14ac:dyDescent="0.3">
      <c r="A151" s="5" t="s">
        <v>157</v>
      </c>
      <c r="B151" s="4">
        <v>119</v>
      </c>
      <c r="C151" s="4">
        <v>1</v>
      </c>
      <c r="D151" s="4">
        <v>1</v>
      </c>
    </row>
    <row r="152" spans="1:4" x14ac:dyDescent="0.3">
      <c r="A152" s="6" t="s">
        <v>1428</v>
      </c>
      <c r="B152" s="4">
        <v>119</v>
      </c>
      <c r="C152" s="4">
        <v>1</v>
      </c>
      <c r="D152" s="4">
        <v>1</v>
      </c>
    </row>
    <row r="153" spans="1:4" x14ac:dyDescent="0.3">
      <c r="A153" s="5" t="s">
        <v>196</v>
      </c>
      <c r="B153" s="4">
        <v>384</v>
      </c>
      <c r="C153" s="4">
        <v>4</v>
      </c>
      <c r="D153" s="4">
        <v>1</v>
      </c>
    </row>
    <row r="154" spans="1:4" x14ac:dyDescent="0.3">
      <c r="A154" s="6" t="s">
        <v>1428</v>
      </c>
      <c r="B154" s="4">
        <v>384</v>
      </c>
      <c r="C154" s="4">
        <v>4</v>
      </c>
      <c r="D154" s="4">
        <v>1</v>
      </c>
    </row>
    <row r="155" spans="1:4" x14ac:dyDescent="0.3">
      <c r="A155" s="5" t="s">
        <v>208</v>
      </c>
      <c r="B155" s="4">
        <v>402</v>
      </c>
      <c r="C155" s="4">
        <v>4</v>
      </c>
      <c r="D155" s="4">
        <v>2</v>
      </c>
    </row>
    <row r="156" spans="1:4" x14ac:dyDescent="0.3">
      <c r="A156" s="6" t="s">
        <v>1428</v>
      </c>
      <c r="B156" s="4">
        <v>402</v>
      </c>
      <c r="C156" s="4">
        <v>4</v>
      </c>
      <c r="D156" s="4">
        <v>2</v>
      </c>
    </row>
    <row r="157" spans="1:4" x14ac:dyDescent="0.3">
      <c r="A157" s="5" t="s">
        <v>268</v>
      </c>
      <c r="B157" s="4">
        <v>537</v>
      </c>
      <c r="C157" s="4">
        <v>3</v>
      </c>
      <c r="D157" s="4">
        <v>1</v>
      </c>
    </row>
    <row r="158" spans="1:4" x14ac:dyDescent="0.3">
      <c r="A158" s="6" t="s">
        <v>1428</v>
      </c>
      <c r="B158" s="4">
        <v>537</v>
      </c>
      <c r="C158" s="4">
        <v>3</v>
      </c>
      <c r="D158" s="4">
        <v>1</v>
      </c>
    </row>
    <row r="159" spans="1:4" x14ac:dyDescent="0.3">
      <c r="A159" s="5" t="s">
        <v>271</v>
      </c>
      <c r="B159" s="4">
        <v>292</v>
      </c>
      <c r="C159" s="4">
        <v>2</v>
      </c>
      <c r="D159" s="4">
        <v>1</v>
      </c>
    </row>
    <row r="160" spans="1:4" x14ac:dyDescent="0.3">
      <c r="A160" s="6" t="s">
        <v>1428</v>
      </c>
      <c r="B160" s="4">
        <v>292</v>
      </c>
      <c r="C160" s="4">
        <v>2</v>
      </c>
      <c r="D160" s="4">
        <v>1</v>
      </c>
    </row>
    <row r="161" spans="1:4" x14ac:dyDescent="0.3">
      <c r="A161" s="5" t="s">
        <v>310</v>
      </c>
      <c r="B161" s="4">
        <v>300</v>
      </c>
      <c r="C161" s="4">
        <v>5</v>
      </c>
      <c r="D161" s="4">
        <v>1</v>
      </c>
    </row>
    <row r="162" spans="1:4" x14ac:dyDescent="0.3">
      <c r="A162" s="6" t="s">
        <v>1428</v>
      </c>
      <c r="B162" s="4">
        <v>300</v>
      </c>
      <c r="C162" s="4">
        <v>5</v>
      </c>
      <c r="D162" s="4">
        <v>1</v>
      </c>
    </row>
    <row r="163" spans="1:4" x14ac:dyDescent="0.3">
      <c r="A163" s="3" t="s">
        <v>389</v>
      </c>
      <c r="B163" s="4">
        <v>179.5</v>
      </c>
      <c r="C163" s="4">
        <v>23</v>
      </c>
      <c r="D163" s="4">
        <v>6</v>
      </c>
    </row>
    <row r="164" spans="1:4" x14ac:dyDescent="0.3">
      <c r="A164" s="5" t="s">
        <v>30</v>
      </c>
      <c r="B164" s="4">
        <v>-17.5</v>
      </c>
      <c r="C164" s="4">
        <v>5</v>
      </c>
      <c r="D164" s="4">
        <v>1</v>
      </c>
    </row>
    <row r="165" spans="1:4" x14ac:dyDescent="0.3">
      <c r="A165" s="6" t="s">
        <v>1429</v>
      </c>
      <c r="B165" s="4">
        <v>-17.5</v>
      </c>
      <c r="C165" s="4">
        <v>5</v>
      </c>
      <c r="D165" s="4">
        <v>1</v>
      </c>
    </row>
    <row r="166" spans="1:4" x14ac:dyDescent="0.3">
      <c r="A166" s="5" t="s">
        <v>100</v>
      </c>
      <c r="B166" s="4">
        <v>0.5</v>
      </c>
      <c r="C166" s="4">
        <v>1</v>
      </c>
      <c r="D166" s="4">
        <v>1</v>
      </c>
    </row>
    <row r="167" spans="1:4" x14ac:dyDescent="0.3">
      <c r="A167" s="5" t="s">
        <v>133</v>
      </c>
      <c r="B167" s="4">
        <v>19</v>
      </c>
      <c r="C167" s="4">
        <v>2</v>
      </c>
      <c r="D167" s="4">
        <v>1</v>
      </c>
    </row>
    <row r="168" spans="1:4" x14ac:dyDescent="0.3">
      <c r="A168" s="6" t="s">
        <v>1429</v>
      </c>
      <c r="B168" s="4">
        <v>19</v>
      </c>
      <c r="C168" s="4">
        <v>2</v>
      </c>
      <c r="D168" s="4">
        <v>1</v>
      </c>
    </row>
    <row r="169" spans="1:4" x14ac:dyDescent="0.3">
      <c r="A169" s="5" t="s">
        <v>181</v>
      </c>
      <c r="B169" s="4">
        <v>-17.5</v>
      </c>
      <c r="C169" s="4">
        <v>5</v>
      </c>
      <c r="D169" s="4">
        <v>1</v>
      </c>
    </row>
    <row r="170" spans="1:4" x14ac:dyDescent="0.3">
      <c r="A170" s="6" t="s">
        <v>1429</v>
      </c>
      <c r="B170" s="4">
        <v>-17.5</v>
      </c>
      <c r="C170" s="4">
        <v>5</v>
      </c>
      <c r="D170" s="4">
        <v>1</v>
      </c>
    </row>
    <row r="171" spans="1:4" x14ac:dyDescent="0.3">
      <c r="A171" s="5" t="s">
        <v>187</v>
      </c>
      <c r="B171" s="4">
        <v>77.5</v>
      </c>
      <c r="C171" s="4">
        <v>5</v>
      </c>
      <c r="D171" s="4">
        <v>1</v>
      </c>
    </row>
    <row r="172" spans="1:4" x14ac:dyDescent="0.3">
      <c r="A172" s="6" t="s">
        <v>1429</v>
      </c>
      <c r="B172" s="4">
        <v>77.5</v>
      </c>
      <c r="C172" s="4">
        <v>5</v>
      </c>
      <c r="D172" s="4">
        <v>1</v>
      </c>
    </row>
    <row r="173" spans="1:4" x14ac:dyDescent="0.3">
      <c r="A173" s="5" t="s">
        <v>214</v>
      </c>
      <c r="B173" s="4">
        <v>117.5</v>
      </c>
      <c r="C173" s="4">
        <v>5</v>
      </c>
      <c r="D173" s="4">
        <v>1</v>
      </c>
    </row>
    <row r="174" spans="1:4" x14ac:dyDescent="0.3">
      <c r="A174" s="6" t="s">
        <v>1429</v>
      </c>
      <c r="B174" s="4">
        <v>117.5</v>
      </c>
      <c r="C174" s="4">
        <v>5</v>
      </c>
      <c r="D174" s="4">
        <v>1</v>
      </c>
    </row>
    <row r="175" spans="1:4" x14ac:dyDescent="0.3">
      <c r="A175" s="3" t="s">
        <v>391</v>
      </c>
      <c r="B175" s="4">
        <v>205.5</v>
      </c>
      <c r="C175" s="4">
        <v>14</v>
      </c>
      <c r="D175" s="4">
        <v>4</v>
      </c>
    </row>
    <row r="176" spans="1:4" x14ac:dyDescent="0.3">
      <c r="A176" s="5" t="s">
        <v>82</v>
      </c>
      <c r="B176" s="4">
        <v>54.5</v>
      </c>
      <c r="C176" s="4">
        <v>1</v>
      </c>
      <c r="D176" s="4">
        <v>1</v>
      </c>
    </row>
    <row r="177" spans="1:4" x14ac:dyDescent="0.3">
      <c r="A177" s="6" t="s">
        <v>1429</v>
      </c>
      <c r="B177" s="4">
        <v>54.5</v>
      </c>
      <c r="C177" s="4">
        <v>1</v>
      </c>
      <c r="D177" s="4">
        <v>1</v>
      </c>
    </row>
    <row r="178" spans="1:4" x14ac:dyDescent="0.3">
      <c r="A178" s="5" t="s">
        <v>133</v>
      </c>
      <c r="B178" s="4">
        <v>28.5</v>
      </c>
      <c r="C178" s="4">
        <v>3</v>
      </c>
      <c r="D178" s="4">
        <v>1</v>
      </c>
    </row>
    <row r="179" spans="1:4" x14ac:dyDescent="0.3">
      <c r="A179" s="6" t="s">
        <v>1429</v>
      </c>
      <c r="B179" s="4">
        <v>28.5</v>
      </c>
      <c r="C179" s="4">
        <v>3</v>
      </c>
      <c r="D179" s="4">
        <v>1</v>
      </c>
    </row>
    <row r="180" spans="1:4" x14ac:dyDescent="0.3">
      <c r="A180" s="5" t="s">
        <v>193</v>
      </c>
      <c r="B180" s="4">
        <v>65</v>
      </c>
      <c r="C180" s="4">
        <v>5</v>
      </c>
      <c r="D180" s="4">
        <v>1</v>
      </c>
    </row>
    <row r="181" spans="1:4" x14ac:dyDescent="0.3">
      <c r="A181" s="6" t="s">
        <v>1429</v>
      </c>
      <c r="B181" s="4">
        <v>65</v>
      </c>
      <c r="C181" s="4">
        <v>5</v>
      </c>
      <c r="D181" s="4">
        <v>1</v>
      </c>
    </row>
    <row r="182" spans="1:4" x14ac:dyDescent="0.3">
      <c r="A182" s="5" t="s">
        <v>232</v>
      </c>
      <c r="B182" s="4">
        <v>57.5</v>
      </c>
      <c r="C182" s="4">
        <v>5</v>
      </c>
      <c r="D182" s="4">
        <v>1</v>
      </c>
    </row>
    <row r="183" spans="1:4" x14ac:dyDescent="0.3">
      <c r="A183" s="6" t="s">
        <v>1429</v>
      </c>
      <c r="B183" s="4">
        <v>57.5</v>
      </c>
      <c r="C183" s="4">
        <v>5</v>
      </c>
      <c r="D183" s="4">
        <v>1</v>
      </c>
    </row>
    <row r="184" spans="1:4" x14ac:dyDescent="0.3">
      <c r="A184" s="3" t="s">
        <v>393</v>
      </c>
      <c r="B184" s="4">
        <v>232</v>
      </c>
      <c r="C184" s="4">
        <v>9</v>
      </c>
      <c r="D184" s="4">
        <v>4</v>
      </c>
    </row>
    <row r="185" spans="1:4" x14ac:dyDescent="0.3">
      <c r="A185" s="5" t="s">
        <v>24</v>
      </c>
      <c r="B185" s="4">
        <v>129</v>
      </c>
      <c r="C185" s="4">
        <v>3</v>
      </c>
      <c r="D185" s="4">
        <v>1</v>
      </c>
    </row>
    <row r="186" spans="1:4" x14ac:dyDescent="0.3">
      <c r="A186" s="6" t="s">
        <v>1429</v>
      </c>
      <c r="B186" s="4">
        <v>129</v>
      </c>
      <c r="C186" s="4">
        <v>3</v>
      </c>
      <c r="D186" s="4">
        <v>1</v>
      </c>
    </row>
    <row r="187" spans="1:4" x14ac:dyDescent="0.3">
      <c r="A187" s="5" t="s">
        <v>66</v>
      </c>
      <c r="B187" s="4">
        <v>-32</v>
      </c>
      <c r="C187" s="4">
        <v>1</v>
      </c>
      <c r="D187" s="4">
        <v>1</v>
      </c>
    </row>
    <row r="188" spans="1:4" x14ac:dyDescent="0.3">
      <c r="A188" s="6" t="s">
        <v>1429</v>
      </c>
      <c r="B188" s="4">
        <v>-32</v>
      </c>
      <c r="C188" s="4">
        <v>1</v>
      </c>
      <c r="D188" s="4">
        <v>1</v>
      </c>
    </row>
    <row r="189" spans="1:4" x14ac:dyDescent="0.3">
      <c r="A189" s="5" t="s">
        <v>247</v>
      </c>
      <c r="B189" s="4">
        <v>-21</v>
      </c>
      <c r="C189" s="4">
        <v>2</v>
      </c>
      <c r="D189" s="4">
        <v>1</v>
      </c>
    </row>
    <row r="190" spans="1:4" x14ac:dyDescent="0.3">
      <c r="A190" s="6" t="s">
        <v>1429</v>
      </c>
      <c r="B190" s="4">
        <v>-21</v>
      </c>
      <c r="C190" s="4">
        <v>2</v>
      </c>
      <c r="D190" s="4">
        <v>1</v>
      </c>
    </row>
    <row r="191" spans="1:4" x14ac:dyDescent="0.3">
      <c r="A191" s="5" t="s">
        <v>274</v>
      </c>
      <c r="B191" s="4">
        <v>156</v>
      </c>
      <c r="C191" s="4">
        <v>3</v>
      </c>
      <c r="D191" s="4">
        <v>1</v>
      </c>
    </row>
    <row r="192" spans="1:4" x14ac:dyDescent="0.3">
      <c r="A192" s="6" t="s">
        <v>1429</v>
      </c>
      <c r="B192" s="4">
        <v>156</v>
      </c>
      <c r="C192" s="4">
        <v>3</v>
      </c>
      <c r="D192" s="4">
        <v>1</v>
      </c>
    </row>
    <row r="193" spans="1:4" x14ac:dyDescent="0.3">
      <c r="A193" s="3" t="s">
        <v>395</v>
      </c>
      <c r="B193" s="4">
        <v>1056</v>
      </c>
      <c r="C193" s="4">
        <v>9</v>
      </c>
      <c r="D193" s="4">
        <v>4</v>
      </c>
    </row>
    <row r="194" spans="1:4" x14ac:dyDescent="0.3">
      <c r="A194" s="5" t="s">
        <v>30</v>
      </c>
      <c r="B194" s="4">
        <v>162</v>
      </c>
      <c r="C194" s="4">
        <v>1</v>
      </c>
      <c r="D194" s="4">
        <v>1</v>
      </c>
    </row>
    <row r="195" spans="1:4" x14ac:dyDescent="0.3">
      <c r="A195" s="6" t="s">
        <v>1428</v>
      </c>
      <c r="B195" s="4">
        <v>162</v>
      </c>
      <c r="C195" s="4">
        <v>1</v>
      </c>
      <c r="D195" s="4">
        <v>1</v>
      </c>
    </row>
    <row r="196" spans="1:4" x14ac:dyDescent="0.3">
      <c r="A196" s="5" t="s">
        <v>63</v>
      </c>
      <c r="B196" s="4">
        <v>246</v>
      </c>
      <c r="C196" s="4">
        <v>3</v>
      </c>
      <c r="D196" s="4">
        <v>1</v>
      </c>
    </row>
    <row r="197" spans="1:4" x14ac:dyDescent="0.3">
      <c r="A197" s="6" t="s">
        <v>1428</v>
      </c>
      <c r="B197" s="4">
        <v>246</v>
      </c>
      <c r="C197" s="4">
        <v>3</v>
      </c>
      <c r="D197" s="4">
        <v>1</v>
      </c>
    </row>
    <row r="198" spans="1:4" x14ac:dyDescent="0.3">
      <c r="A198" s="5" t="s">
        <v>88</v>
      </c>
      <c r="B198" s="4">
        <v>384</v>
      </c>
      <c r="C198" s="4">
        <v>2</v>
      </c>
      <c r="D198" s="4">
        <v>1</v>
      </c>
    </row>
    <row r="199" spans="1:4" x14ac:dyDescent="0.3">
      <c r="A199" s="6" t="s">
        <v>1428</v>
      </c>
      <c r="B199" s="4">
        <v>384</v>
      </c>
      <c r="C199" s="4">
        <v>2</v>
      </c>
      <c r="D199" s="4">
        <v>1</v>
      </c>
    </row>
    <row r="200" spans="1:4" x14ac:dyDescent="0.3">
      <c r="A200" s="5" t="s">
        <v>289</v>
      </c>
      <c r="B200" s="4">
        <v>264</v>
      </c>
      <c r="C200" s="4">
        <v>3</v>
      </c>
      <c r="D200" s="4">
        <v>1</v>
      </c>
    </row>
    <row r="201" spans="1:4" x14ac:dyDescent="0.3">
      <c r="A201" s="6" t="s">
        <v>1428</v>
      </c>
      <c r="B201" s="4">
        <v>264</v>
      </c>
      <c r="C201" s="4">
        <v>3</v>
      </c>
      <c r="D201" s="4">
        <v>1</v>
      </c>
    </row>
    <row r="202" spans="1:4" x14ac:dyDescent="0.3">
      <c r="A202" s="3" t="s">
        <v>397</v>
      </c>
      <c r="B202" s="4">
        <v>1513</v>
      </c>
      <c r="C202" s="4">
        <v>16</v>
      </c>
      <c r="D202" s="4">
        <v>5</v>
      </c>
    </row>
    <row r="203" spans="1:4" x14ac:dyDescent="0.3">
      <c r="A203" s="5" t="s">
        <v>88</v>
      </c>
      <c r="B203" s="4">
        <v>81</v>
      </c>
      <c r="C203" s="4">
        <v>3</v>
      </c>
      <c r="D203" s="4">
        <v>1</v>
      </c>
    </row>
    <row r="204" spans="1:4" x14ac:dyDescent="0.3">
      <c r="A204" s="6" t="s">
        <v>1428</v>
      </c>
      <c r="B204" s="4">
        <v>81</v>
      </c>
      <c r="C204" s="4">
        <v>3</v>
      </c>
      <c r="D204" s="4">
        <v>1</v>
      </c>
    </row>
    <row r="205" spans="1:4" x14ac:dyDescent="0.3">
      <c r="A205" s="5" t="s">
        <v>148</v>
      </c>
      <c r="B205" s="4">
        <v>262</v>
      </c>
      <c r="C205" s="4">
        <v>2</v>
      </c>
      <c r="D205" s="4">
        <v>1</v>
      </c>
    </row>
    <row r="206" spans="1:4" x14ac:dyDescent="0.3">
      <c r="A206" s="6" t="s">
        <v>1428</v>
      </c>
      <c r="B206" s="4">
        <v>262</v>
      </c>
      <c r="C206" s="4">
        <v>2</v>
      </c>
      <c r="D206" s="4">
        <v>1</v>
      </c>
    </row>
    <row r="207" spans="1:4" x14ac:dyDescent="0.3">
      <c r="A207" s="5" t="s">
        <v>199</v>
      </c>
      <c r="B207" s="4">
        <v>116</v>
      </c>
      <c r="C207" s="4">
        <v>2</v>
      </c>
      <c r="D207" s="4">
        <v>1</v>
      </c>
    </row>
    <row r="208" spans="1:4" x14ac:dyDescent="0.3">
      <c r="A208" s="6" t="s">
        <v>1428</v>
      </c>
      <c r="B208" s="4">
        <v>116</v>
      </c>
      <c r="C208" s="4">
        <v>2</v>
      </c>
      <c r="D208" s="4">
        <v>1</v>
      </c>
    </row>
    <row r="209" spans="1:4" x14ac:dyDescent="0.3">
      <c r="A209" s="5" t="s">
        <v>214</v>
      </c>
      <c r="B209" s="4">
        <v>704</v>
      </c>
      <c r="C209" s="4">
        <v>4</v>
      </c>
      <c r="D209" s="4">
        <v>1</v>
      </c>
    </row>
    <row r="210" spans="1:4" x14ac:dyDescent="0.3">
      <c r="A210" s="6" t="s">
        <v>1428</v>
      </c>
      <c r="B210" s="4">
        <v>704</v>
      </c>
      <c r="C210" s="4">
        <v>4</v>
      </c>
      <c r="D210" s="4">
        <v>1</v>
      </c>
    </row>
    <row r="211" spans="1:4" x14ac:dyDescent="0.3">
      <c r="A211" s="5" t="s">
        <v>280</v>
      </c>
      <c r="B211" s="4">
        <v>350</v>
      </c>
      <c r="C211" s="4">
        <v>5</v>
      </c>
      <c r="D211" s="4">
        <v>1</v>
      </c>
    </row>
    <row r="212" spans="1:4" x14ac:dyDescent="0.3">
      <c r="A212" s="6" t="s">
        <v>1428</v>
      </c>
      <c r="B212" s="4">
        <v>350</v>
      </c>
      <c r="C212" s="4">
        <v>5</v>
      </c>
      <c r="D212" s="4">
        <v>1</v>
      </c>
    </row>
    <row r="213" spans="1:4" x14ac:dyDescent="0.3">
      <c r="A213" s="3" t="s">
        <v>399</v>
      </c>
      <c r="B213" s="4">
        <v>459</v>
      </c>
      <c r="C213" s="4">
        <v>12</v>
      </c>
      <c r="D213" s="4">
        <v>5</v>
      </c>
    </row>
    <row r="214" spans="1:4" x14ac:dyDescent="0.3">
      <c r="A214" s="5" t="s">
        <v>154</v>
      </c>
      <c r="B214" s="4">
        <v>27</v>
      </c>
      <c r="C214" s="4">
        <v>1</v>
      </c>
      <c r="D214" s="4">
        <v>1</v>
      </c>
    </row>
    <row r="215" spans="1:4" x14ac:dyDescent="0.3">
      <c r="A215" s="6" t="s">
        <v>1429</v>
      </c>
      <c r="B215" s="4">
        <v>27</v>
      </c>
      <c r="C215" s="4">
        <v>1</v>
      </c>
      <c r="D215" s="4">
        <v>1</v>
      </c>
    </row>
    <row r="216" spans="1:4" x14ac:dyDescent="0.3">
      <c r="A216" s="5" t="s">
        <v>172</v>
      </c>
      <c r="B216" s="4">
        <v>134</v>
      </c>
      <c r="C216" s="4">
        <v>4</v>
      </c>
      <c r="D216" s="4">
        <v>1</v>
      </c>
    </row>
    <row r="217" spans="1:4" x14ac:dyDescent="0.3">
      <c r="A217" s="6" t="s">
        <v>1429</v>
      </c>
      <c r="B217" s="4">
        <v>134</v>
      </c>
      <c r="C217" s="4">
        <v>4</v>
      </c>
      <c r="D217" s="4">
        <v>1</v>
      </c>
    </row>
    <row r="218" spans="1:4" x14ac:dyDescent="0.3">
      <c r="A218" s="5" t="s">
        <v>178</v>
      </c>
      <c r="B218" s="4">
        <v>162</v>
      </c>
      <c r="C218" s="4">
        <v>3</v>
      </c>
      <c r="D218" s="4">
        <v>1</v>
      </c>
    </row>
    <row r="219" spans="1:4" x14ac:dyDescent="0.3">
      <c r="A219" s="6" t="s">
        <v>1429</v>
      </c>
      <c r="B219" s="4">
        <v>162</v>
      </c>
      <c r="C219" s="4">
        <v>3</v>
      </c>
      <c r="D219" s="4">
        <v>1</v>
      </c>
    </row>
    <row r="220" spans="1:4" x14ac:dyDescent="0.3">
      <c r="A220" s="5" t="s">
        <v>196</v>
      </c>
      <c r="B220" s="4">
        <v>53</v>
      </c>
      <c r="C220" s="4">
        <v>2</v>
      </c>
      <c r="D220" s="4">
        <v>1</v>
      </c>
    </row>
    <row r="221" spans="1:4" x14ac:dyDescent="0.3">
      <c r="A221" s="6" t="s">
        <v>1429</v>
      </c>
      <c r="B221" s="4">
        <v>53</v>
      </c>
      <c r="C221" s="4">
        <v>2</v>
      </c>
      <c r="D221" s="4">
        <v>1</v>
      </c>
    </row>
    <row r="222" spans="1:4" x14ac:dyDescent="0.3">
      <c r="A222" s="5" t="s">
        <v>238</v>
      </c>
      <c r="B222" s="4">
        <v>83</v>
      </c>
      <c r="C222" s="4">
        <v>2</v>
      </c>
      <c r="D222" s="4">
        <v>1</v>
      </c>
    </row>
    <row r="223" spans="1:4" x14ac:dyDescent="0.3">
      <c r="A223" s="6" t="s">
        <v>1429</v>
      </c>
      <c r="B223" s="4">
        <v>83</v>
      </c>
      <c r="C223" s="4">
        <v>2</v>
      </c>
      <c r="D223" s="4">
        <v>1</v>
      </c>
    </row>
    <row r="224" spans="1:4" x14ac:dyDescent="0.3">
      <c r="A224" s="3" t="s">
        <v>401</v>
      </c>
      <c r="B224" s="4">
        <v>508.5</v>
      </c>
      <c r="C224" s="4">
        <v>20</v>
      </c>
      <c r="D224" s="4">
        <v>6</v>
      </c>
    </row>
    <row r="225" spans="1:4" x14ac:dyDescent="0.3">
      <c r="A225" s="5" t="s">
        <v>115</v>
      </c>
      <c r="B225" s="4">
        <v>171</v>
      </c>
      <c r="C225" s="4">
        <v>3</v>
      </c>
      <c r="D225" s="4">
        <v>1</v>
      </c>
    </row>
    <row r="226" spans="1:4" x14ac:dyDescent="0.3">
      <c r="A226" s="6" t="s">
        <v>1429</v>
      </c>
      <c r="B226" s="4">
        <v>171</v>
      </c>
      <c r="C226" s="4">
        <v>3</v>
      </c>
      <c r="D226" s="4">
        <v>1</v>
      </c>
    </row>
    <row r="227" spans="1:4" x14ac:dyDescent="0.3">
      <c r="A227" s="5" t="s">
        <v>154</v>
      </c>
      <c r="B227" s="4">
        <v>-5</v>
      </c>
      <c r="C227" s="4">
        <v>2</v>
      </c>
      <c r="D227" s="4">
        <v>1</v>
      </c>
    </row>
    <row r="228" spans="1:4" x14ac:dyDescent="0.3">
      <c r="A228" s="6" t="s">
        <v>1429</v>
      </c>
      <c r="B228" s="4">
        <v>-5</v>
      </c>
      <c r="C228" s="4">
        <v>2</v>
      </c>
      <c r="D228" s="4">
        <v>1</v>
      </c>
    </row>
    <row r="229" spans="1:4" x14ac:dyDescent="0.3">
      <c r="A229" s="5" t="s">
        <v>157</v>
      </c>
      <c r="B229" s="4">
        <v>157.5</v>
      </c>
      <c r="C229" s="4">
        <v>5</v>
      </c>
      <c r="D229" s="4">
        <v>1</v>
      </c>
    </row>
    <row r="230" spans="1:4" x14ac:dyDescent="0.3">
      <c r="A230" s="6" t="s">
        <v>1429</v>
      </c>
      <c r="B230" s="4">
        <v>157.5</v>
      </c>
      <c r="C230" s="4">
        <v>5</v>
      </c>
      <c r="D230" s="4">
        <v>1</v>
      </c>
    </row>
    <row r="231" spans="1:4" x14ac:dyDescent="0.3">
      <c r="A231" s="5" t="s">
        <v>226</v>
      </c>
      <c r="B231" s="4">
        <v>69</v>
      </c>
      <c r="C231" s="4">
        <v>2</v>
      </c>
      <c r="D231" s="4">
        <v>1</v>
      </c>
    </row>
    <row r="232" spans="1:4" x14ac:dyDescent="0.3">
      <c r="A232" s="6" t="s">
        <v>1429</v>
      </c>
      <c r="B232" s="4">
        <v>69</v>
      </c>
      <c r="C232" s="4">
        <v>2</v>
      </c>
      <c r="D232" s="4">
        <v>1</v>
      </c>
    </row>
    <row r="233" spans="1:4" x14ac:dyDescent="0.3">
      <c r="A233" s="5" t="s">
        <v>235</v>
      </c>
      <c r="B233" s="4">
        <v>4</v>
      </c>
      <c r="C233" s="4">
        <v>4</v>
      </c>
      <c r="D233" s="4">
        <v>1</v>
      </c>
    </row>
    <row r="234" spans="1:4" x14ac:dyDescent="0.3">
      <c r="A234" s="6" t="s">
        <v>1429</v>
      </c>
      <c r="B234" s="4">
        <v>4</v>
      </c>
      <c r="C234" s="4">
        <v>4</v>
      </c>
      <c r="D234" s="4">
        <v>1</v>
      </c>
    </row>
    <row r="235" spans="1:4" x14ac:dyDescent="0.3">
      <c r="A235" s="5" t="s">
        <v>307</v>
      </c>
      <c r="B235" s="4">
        <v>112</v>
      </c>
      <c r="C235" s="4">
        <v>4</v>
      </c>
      <c r="D235" s="4">
        <v>1</v>
      </c>
    </row>
    <row r="236" spans="1:4" x14ac:dyDescent="0.3">
      <c r="A236" s="6" t="s">
        <v>1429</v>
      </c>
      <c r="B236" s="4">
        <v>112</v>
      </c>
      <c r="C236" s="4">
        <v>4</v>
      </c>
      <c r="D236" s="4">
        <v>1</v>
      </c>
    </row>
    <row r="237" spans="1:4" x14ac:dyDescent="0.3">
      <c r="A237" s="3" t="s">
        <v>403</v>
      </c>
      <c r="B237" s="4">
        <v>1418</v>
      </c>
      <c r="C237" s="4">
        <v>14</v>
      </c>
      <c r="D237" s="4">
        <v>4</v>
      </c>
    </row>
    <row r="238" spans="1:4" x14ac:dyDescent="0.3">
      <c r="A238" s="5" t="s">
        <v>47</v>
      </c>
      <c r="B238" s="4">
        <v>189</v>
      </c>
      <c r="C238" s="4">
        <v>3</v>
      </c>
      <c r="D238" s="4">
        <v>1</v>
      </c>
    </row>
    <row r="239" spans="1:4" x14ac:dyDescent="0.3">
      <c r="A239" s="6" t="s">
        <v>1428</v>
      </c>
      <c r="B239" s="4">
        <v>189</v>
      </c>
      <c r="C239" s="4">
        <v>3</v>
      </c>
      <c r="D239" s="4">
        <v>1</v>
      </c>
    </row>
    <row r="240" spans="1:4" x14ac:dyDescent="0.3">
      <c r="A240" s="5" t="s">
        <v>196</v>
      </c>
      <c r="B240" s="4">
        <v>428</v>
      </c>
      <c r="C240" s="4">
        <v>4</v>
      </c>
      <c r="D240" s="4">
        <v>1</v>
      </c>
    </row>
    <row r="241" spans="1:4" x14ac:dyDescent="0.3">
      <c r="A241" s="6" t="s">
        <v>1428</v>
      </c>
      <c r="B241" s="4">
        <v>428</v>
      </c>
      <c r="C241" s="4">
        <v>4</v>
      </c>
      <c r="D241" s="4">
        <v>1</v>
      </c>
    </row>
    <row r="242" spans="1:4" x14ac:dyDescent="0.3">
      <c r="A242" s="5" t="s">
        <v>220</v>
      </c>
      <c r="B242" s="4">
        <v>249</v>
      </c>
      <c r="C242" s="4">
        <v>3</v>
      </c>
      <c r="D242" s="4">
        <v>1</v>
      </c>
    </row>
    <row r="243" spans="1:4" x14ac:dyDescent="0.3">
      <c r="A243" s="6" t="s">
        <v>1428</v>
      </c>
      <c r="B243" s="4">
        <v>249</v>
      </c>
      <c r="C243" s="4">
        <v>3</v>
      </c>
      <c r="D243" s="4">
        <v>1</v>
      </c>
    </row>
    <row r="244" spans="1:4" x14ac:dyDescent="0.3">
      <c r="A244" s="5" t="s">
        <v>295</v>
      </c>
      <c r="B244" s="4">
        <v>552</v>
      </c>
      <c r="C244" s="4">
        <v>4</v>
      </c>
      <c r="D244" s="4">
        <v>1</v>
      </c>
    </row>
    <row r="245" spans="1:4" x14ac:dyDescent="0.3">
      <c r="A245" s="6" t="s">
        <v>1428</v>
      </c>
      <c r="B245" s="4">
        <v>552</v>
      </c>
      <c r="C245" s="4">
        <v>4</v>
      </c>
      <c r="D245" s="4">
        <v>1</v>
      </c>
    </row>
    <row r="246" spans="1:4" x14ac:dyDescent="0.3">
      <c r="A246" s="3" t="s">
        <v>405</v>
      </c>
      <c r="B246" s="4">
        <v>453</v>
      </c>
      <c r="C246" s="4">
        <v>17</v>
      </c>
      <c r="D246" s="4">
        <v>6</v>
      </c>
    </row>
    <row r="247" spans="1:4" x14ac:dyDescent="0.3">
      <c r="A247" s="5" t="s">
        <v>103</v>
      </c>
      <c r="B247" s="4">
        <v>180</v>
      </c>
      <c r="C247" s="4">
        <v>4</v>
      </c>
      <c r="D247" s="4">
        <v>1</v>
      </c>
    </row>
    <row r="248" spans="1:4" x14ac:dyDescent="0.3">
      <c r="A248" s="6" t="s">
        <v>1429</v>
      </c>
      <c r="B248" s="4">
        <v>180</v>
      </c>
      <c r="C248" s="4">
        <v>4</v>
      </c>
      <c r="D248" s="4">
        <v>1</v>
      </c>
    </row>
    <row r="249" spans="1:4" x14ac:dyDescent="0.3">
      <c r="A249" s="5" t="s">
        <v>163</v>
      </c>
      <c r="B249" s="4">
        <v>135</v>
      </c>
      <c r="C249" s="4">
        <v>3</v>
      </c>
      <c r="D249" s="4">
        <v>1</v>
      </c>
    </row>
    <row r="250" spans="1:4" x14ac:dyDescent="0.3">
      <c r="A250" s="6" t="s">
        <v>1429</v>
      </c>
      <c r="B250" s="4">
        <v>135</v>
      </c>
      <c r="C250" s="4">
        <v>3</v>
      </c>
      <c r="D250" s="4">
        <v>1</v>
      </c>
    </row>
    <row r="251" spans="1:4" x14ac:dyDescent="0.3">
      <c r="A251" s="5" t="s">
        <v>166</v>
      </c>
      <c r="B251" s="4">
        <v>8</v>
      </c>
      <c r="C251" s="4">
        <v>1</v>
      </c>
      <c r="D251" s="4">
        <v>1</v>
      </c>
    </row>
    <row r="252" spans="1:4" x14ac:dyDescent="0.3">
      <c r="A252" s="6" t="s">
        <v>1429</v>
      </c>
      <c r="B252" s="4">
        <v>8</v>
      </c>
      <c r="C252" s="4">
        <v>1</v>
      </c>
      <c r="D252" s="4">
        <v>1</v>
      </c>
    </row>
    <row r="253" spans="1:4" x14ac:dyDescent="0.3">
      <c r="A253" s="5" t="s">
        <v>193</v>
      </c>
      <c r="B253" s="4">
        <v>75</v>
      </c>
      <c r="C253" s="4">
        <v>3</v>
      </c>
      <c r="D253" s="4">
        <v>1</v>
      </c>
    </row>
    <row r="254" spans="1:4" x14ac:dyDescent="0.3">
      <c r="A254" s="6" t="s">
        <v>1429</v>
      </c>
      <c r="B254" s="4">
        <v>75</v>
      </c>
      <c r="C254" s="4">
        <v>3</v>
      </c>
      <c r="D254" s="4">
        <v>1</v>
      </c>
    </row>
    <row r="255" spans="1:4" x14ac:dyDescent="0.3">
      <c r="A255" s="5" t="s">
        <v>220</v>
      </c>
      <c r="B255" s="4">
        <v>33</v>
      </c>
      <c r="C255" s="4">
        <v>2</v>
      </c>
      <c r="D255" s="4">
        <v>1</v>
      </c>
    </row>
    <row r="256" spans="1:4" x14ac:dyDescent="0.3">
      <c r="A256" s="6" t="s">
        <v>1429</v>
      </c>
      <c r="B256" s="4">
        <v>33</v>
      </c>
      <c r="C256" s="4">
        <v>2</v>
      </c>
      <c r="D256" s="4">
        <v>1</v>
      </c>
    </row>
    <row r="257" spans="1:4" x14ac:dyDescent="0.3">
      <c r="A257" s="5" t="s">
        <v>262</v>
      </c>
      <c r="B257" s="4">
        <v>22</v>
      </c>
      <c r="C257" s="4">
        <v>4</v>
      </c>
      <c r="D257" s="4">
        <v>1</v>
      </c>
    </row>
    <row r="258" spans="1:4" x14ac:dyDescent="0.3">
      <c r="A258" s="6" t="s">
        <v>1429</v>
      </c>
      <c r="B258" s="4">
        <v>22</v>
      </c>
      <c r="C258" s="4">
        <v>4</v>
      </c>
      <c r="D258" s="4">
        <v>1</v>
      </c>
    </row>
    <row r="259" spans="1:4" x14ac:dyDescent="0.3">
      <c r="A259" s="3" t="s">
        <v>407</v>
      </c>
      <c r="B259" s="4">
        <v>675.5</v>
      </c>
      <c r="C259" s="4">
        <v>15</v>
      </c>
      <c r="D259" s="4">
        <v>7</v>
      </c>
    </row>
    <row r="260" spans="1:4" x14ac:dyDescent="0.3">
      <c r="A260" s="5" t="s">
        <v>5</v>
      </c>
      <c r="B260" s="4">
        <v>228</v>
      </c>
      <c r="C260" s="4">
        <v>3</v>
      </c>
      <c r="D260" s="4">
        <v>1</v>
      </c>
    </row>
    <row r="261" spans="1:4" x14ac:dyDescent="0.3">
      <c r="A261" s="6" t="s">
        <v>1429</v>
      </c>
      <c r="B261" s="4">
        <v>228</v>
      </c>
      <c r="C261" s="4">
        <v>3</v>
      </c>
      <c r="D261" s="4">
        <v>1</v>
      </c>
    </row>
    <row r="262" spans="1:4" x14ac:dyDescent="0.3">
      <c r="A262" s="5" t="s">
        <v>40</v>
      </c>
      <c r="B262" s="4">
        <v>24</v>
      </c>
      <c r="C262" s="4">
        <v>2</v>
      </c>
      <c r="D262" s="4">
        <v>1</v>
      </c>
    </row>
    <row r="263" spans="1:4" x14ac:dyDescent="0.3">
      <c r="A263" s="6" t="s">
        <v>1429</v>
      </c>
      <c r="B263" s="4">
        <v>24</v>
      </c>
      <c r="C263" s="4">
        <v>2</v>
      </c>
      <c r="D263" s="4">
        <v>1</v>
      </c>
    </row>
    <row r="264" spans="1:4" x14ac:dyDescent="0.3">
      <c r="A264" s="5" t="s">
        <v>106</v>
      </c>
      <c r="B264" s="4">
        <v>15</v>
      </c>
      <c r="C264" s="4">
        <v>2</v>
      </c>
      <c r="D264" s="4">
        <v>1</v>
      </c>
    </row>
    <row r="265" spans="1:4" x14ac:dyDescent="0.3">
      <c r="A265" s="6" t="s">
        <v>1429</v>
      </c>
      <c r="B265" s="4">
        <v>15</v>
      </c>
      <c r="C265" s="4">
        <v>2</v>
      </c>
      <c r="D265" s="4">
        <v>1</v>
      </c>
    </row>
    <row r="266" spans="1:4" x14ac:dyDescent="0.3">
      <c r="A266" s="5" t="s">
        <v>169</v>
      </c>
      <c r="B266" s="4">
        <v>46.5</v>
      </c>
      <c r="C266" s="4">
        <v>1</v>
      </c>
      <c r="D266" s="4">
        <v>1</v>
      </c>
    </row>
    <row r="267" spans="1:4" x14ac:dyDescent="0.3">
      <c r="A267" s="6" t="s">
        <v>1429</v>
      </c>
      <c r="B267" s="4">
        <v>46.5</v>
      </c>
      <c r="C267" s="4">
        <v>1</v>
      </c>
      <c r="D267" s="4">
        <v>1</v>
      </c>
    </row>
    <row r="268" spans="1:4" x14ac:dyDescent="0.3">
      <c r="A268" s="5" t="s">
        <v>175</v>
      </c>
      <c r="B268" s="4">
        <v>188</v>
      </c>
      <c r="C268" s="4">
        <v>4</v>
      </c>
      <c r="D268" s="4">
        <v>1</v>
      </c>
    </row>
    <row r="269" spans="1:4" x14ac:dyDescent="0.3">
      <c r="A269" s="6" t="s">
        <v>1429</v>
      </c>
      <c r="B269" s="4">
        <v>188</v>
      </c>
      <c r="C269" s="4">
        <v>4</v>
      </c>
      <c r="D269" s="4">
        <v>1</v>
      </c>
    </row>
    <row r="270" spans="1:4" x14ac:dyDescent="0.3">
      <c r="A270" s="5" t="s">
        <v>211</v>
      </c>
      <c r="B270" s="4">
        <v>125</v>
      </c>
      <c r="C270" s="4">
        <v>2</v>
      </c>
      <c r="D270" s="4">
        <v>1</v>
      </c>
    </row>
    <row r="271" spans="1:4" x14ac:dyDescent="0.3">
      <c r="A271" s="6" t="s">
        <v>1429</v>
      </c>
      <c r="B271" s="4">
        <v>125</v>
      </c>
      <c r="C271" s="4">
        <v>2</v>
      </c>
      <c r="D271" s="4">
        <v>1</v>
      </c>
    </row>
    <row r="272" spans="1:4" x14ac:dyDescent="0.3">
      <c r="A272" s="5" t="s">
        <v>268</v>
      </c>
      <c r="B272" s="4">
        <v>49</v>
      </c>
      <c r="C272" s="4">
        <v>1</v>
      </c>
      <c r="D272" s="4">
        <v>1</v>
      </c>
    </row>
    <row r="273" spans="1:4" x14ac:dyDescent="0.3">
      <c r="A273" s="6" t="s">
        <v>1429</v>
      </c>
      <c r="B273" s="4">
        <v>49</v>
      </c>
      <c r="C273" s="4">
        <v>1</v>
      </c>
      <c r="D273" s="4">
        <v>1</v>
      </c>
    </row>
    <row r="274" spans="1:4" x14ac:dyDescent="0.3">
      <c r="A274" s="3" t="s">
        <v>409</v>
      </c>
      <c r="B274" s="4">
        <v>252</v>
      </c>
      <c r="C274" s="4">
        <v>3</v>
      </c>
      <c r="D274" s="4">
        <v>1</v>
      </c>
    </row>
    <row r="275" spans="1:4" x14ac:dyDescent="0.3">
      <c r="A275" s="5" t="s">
        <v>265</v>
      </c>
      <c r="B275" s="4">
        <v>252</v>
      </c>
      <c r="C275" s="4">
        <v>3</v>
      </c>
      <c r="D275" s="4">
        <v>1</v>
      </c>
    </row>
    <row r="276" spans="1:4" x14ac:dyDescent="0.3">
      <c r="A276" s="6" t="s">
        <v>1428</v>
      </c>
      <c r="B276" s="4">
        <v>252</v>
      </c>
      <c r="C276" s="4">
        <v>3</v>
      </c>
      <c r="D276" s="4">
        <v>1</v>
      </c>
    </row>
    <row r="277" spans="1:4" x14ac:dyDescent="0.3">
      <c r="A277" s="3" t="s">
        <v>411</v>
      </c>
      <c r="B277" s="4">
        <v>1902</v>
      </c>
      <c r="C277" s="4">
        <v>17</v>
      </c>
      <c r="D277" s="4">
        <v>5</v>
      </c>
    </row>
    <row r="278" spans="1:4" x14ac:dyDescent="0.3">
      <c r="A278" s="5" t="s">
        <v>112</v>
      </c>
      <c r="B278" s="4">
        <v>465</v>
      </c>
      <c r="C278" s="4">
        <v>3</v>
      </c>
      <c r="D278" s="4">
        <v>1</v>
      </c>
    </row>
    <row r="279" spans="1:4" x14ac:dyDescent="0.3">
      <c r="A279" s="6" t="s">
        <v>1428</v>
      </c>
      <c r="B279" s="4">
        <v>465</v>
      </c>
      <c r="C279" s="4">
        <v>3</v>
      </c>
      <c r="D279" s="4">
        <v>1</v>
      </c>
    </row>
    <row r="280" spans="1:4" x14ac:dyDescent="0.3">
      <c r="A280" s="5" t="s">
        <v>190</v>
      </c>
      <c r="B280" s="4">
        <v>712</v>
      </c>
      <c r="C280" s="4">
        <v>4</v>
      </c>
      <c r="D280" s="4">
        <v>1</v>
      </c>
    </row>
    <row r="281" spans="1:4" x14ac:dyDescent="0.3">
      <c r="A281" s="6" t="s">
        <v>1428</v>
      </c>
      <c r="B281" s="4">
        <v>712</v>
      </c>
      <c r="C281" s="4">
        <v>4</v>
      </c>
      <c r="D281" s="4">
        <v>1</v>
      </c>
    </row>
    <row r="282" spans="1:4" x14ac:dyDescent="0.3">
      <c r="A282" s="5" t="s">
        <v>202</v>
      </c>
      <c r="B282" s="4">
        <v>425</v>
      </c>
      <c r="C282" s="4">
        <v>5</v>
      </c>
      <c r="D282" s="4">
        <v>1</v>
      </c>
    </row>
    <row r="283" spans="1:4" x14ac:dyDescent="0.3">
      <c r="A283" s="6" t="s">
        <v>1428</v>
      </c>
      <c r="B283" s="4">
        <v>425</v>
      </c>
      <c r="C283" s="4">
        <v>5</v>
      </c>
      <c r="D283" s="4">
        <v>1</v>
      </c>
    </row>
    <row r="284" spans="1:4" x14ac:dyDescent="0.3">
      <c r="A284" s="5" t="s">
        <v>217</v>
      </c>
      <c r="B284" s="4">
        <v>172</v>
      </c>
      <c r="C284" s="4">
        <v>4</v>
      </c>
      <c r="D284" s="4">
        <v>1</v>
      </c>
    </row>
    <row r="285" spans="1:4" x14ac:dyDescent="0.3">
      <c r="A285" s="6" t="s">
        <v>1428</v>
      </c>
      <c r="B285" s="4">
        <v>172</v>
      </c>
      <c r="C285" s="4">
        <v>4</v>
      </c>
      <c r="D285" s="4">
        <v>1</v>
      </c>
    </row>
    <row r="286" spans="1:4" x14ac:dyDescent="0.3">
      <c r="A286" s="5" t="s">
        <v>229</v>
      </c>
      <c r="B286" s="4">
        <v>128</v>
      </c>
      <c r="C286" s="4">
        <v>1</v>
      </c>
      <c r="D286" s="4">
        <v>1</v>
      </c>
    </row>
    <row r="287" spans="1:4" x14ac:dyDescent="0.3">
      <c r="A287" s="6" t="s">
        <v>1428</v>
      </c>
      <c r="B287" s="4">
        <v>128</v>
      </c>
      <c r="C287" s="4">
        <v>1</v>
      </c>
      <c r="D287" s="4">
        <v>1</v>
      </c>
    </row>
    <row r="288" spans="1:4" x14ac:dyDescent="0.3">
      <c r="A288" s="3" t="s">
        <v>413</v>
      </c>
      <c r="B288" s="4">
        <v>448</v>
      </c>
      <c r="C288" s="4">
        <v>19</v>
      </c>
      <c r="D288" s="4">
        <v>7</v>
      </c>
    </row>
    <row r="289" spans="1:4" x14ac:dyDescent="0.3">
      <c r="A289" s="5" t="s">
        <v>88</v>
      </c>
      <c r="B289" s="4">
        <v>8</v>
      </c>
      <c r="C289" s="4">
        <v>2</v>
      </c>
      <c r="D289" s="4">
        <v>1</v>
      </c>
    </row>
    <row r="290" spans="1:4" x14ac:dyDescent="0.3">
      <c r="A290" s="6" t="s">
        <v>1429</v>
      </c>
      <c r="B290" s="4">
        <v>8</v>
      </c>
      <c r="C290" s="4">
        <v>2</v>
      </c>
      <c r="D290" s="4">
        <v>1</v>
      </c>
    </row>
    <row r="291" spans="1:4" x14ac:dyDescent="0.3">
      <c r="A291" s="5" t="s">
        <v>91</v>
      </c>
      <c r="B291" s="4">
        <v>5</v>
      </c>
      <c r="C291" s="4">
        <v>2</v>
      </c>
      <c r="D291" s="4">
        <v>1</v>
      </c>
    </row>
    <row r="292" spans="1:4" x14ac:dyDescent="0.3">
      <c r="A292" s="6" t="s">
        <v>1429</v>
      </c>
      <c r="B292" s="4">
        <v>5</v>
      </c>
      <c r="C292" s="4">
        <v>2</v>
      </c>
      <c r="D292" s="4">
        <v>1</v>
      </c>
    </row>
    <row r="293" spans="1:4" x14ac:dyDescent="0.3">
      <c r="A293" s="5" t="s">
        <v>178</v>
      </c>
      <c r="B293" s="4">
        <v>-11</v>
      </c>
      <c r="C293" s="4">
        <v>2</v>
      </c>
      <c r="D293" s="4">
        <v>1</v>
      </c>
    </row>
    <row r="294" spans="1:4" x14ac:dyDescent="0.3">
      <c r="A294" s="6" t="s">
        <v>1429</v>
      </c>
      <c r="B294" s="4">
        <v>-11</v>
      </c>
      <c r="C294" s="4">
        <v>2</v>
      </c>
      <c r="D294" s="4">
        <v>1</v>
      </c>
    </row>
    <row r="295" spans="1:4" x14ac:dyDescent="0.3">
      <c r="A295" s="5" t="s">
        <v>193</v>
      </c>
      <c r="B295" s="4">
        <v>240</v>
      </c>
      <c r="C295" s="4">
        <v>4</v>
      </c>
      <c r="D295" s="4">
        <v>1</v>
      </c>
    </row>
    <row r="296" spans="1:4" x14ac:dyDescent="0.3">
      <c r="A296" s="6" t="s">
        <v>1429</v>
      </c>
      <c r="B296" s="4">
        <v>240</v>
      </c>
      <c r="C296" s="4">
        <v>4</v>
      </c>
      <c r="D296" s="4">
        <v>1</v>
      </c>
    </row>
    <row r="297" spans="1:4" x14ac:dyDescent="0.3">
      <c r="A297" s="5" t="s">
        <v>217</v>
      </c>
      <c r="B297" s="4">
        <v>75</v>
      </c>
      <c r="C297" s="4">
        <v>2</v>
      </c>
      <c r="D297" s="4">
        <v>1</v>
      </c>
    </row>
    <row r="298" spans="1:4" x14ac:dyDescent="0.3">
      <c r="A298" s="6" t="s">
        <v>1429</v>
      </c>
      <c r="B298" s="4">
        <v>75</v>
      </c>
      <c r="C298" s="4">
        <v>2</v>
      </c>
      <c r="D298" s="4">
        <v>1</v>
      </c>
    </row>
    <row r="299" spans="1:4" x14ac:dyDescent="0.3">
      <c r="A299" s="5" t="s">
        <v>271</v>
      </c>
      <c r="B299" s="4">
        <v>159</v>
      </c>
      <c r="C299" s="4">
        <v>3</v>
      </c>
      <c r="D299" s="4">
        <v>1</v>
      </c>
    </row>
    <row r="300" spans="1:4" x14ac:dyDescent="0.3">
      <c r="A300" s="6" t="s">
        <v>1429</v>
      </c>
      <c r="B300" s="4">
        <v>159</v>
      </c>
      <c r="C300" s="4">
        <v>3</v>
      </c>
      <c r="D300" s="4">
        <v>1</v>
      </c>
    </row>
    <row r="301" spans="1:4" x14ac:dyDescent="0.3">
      <c r="A301" s="5" t="s">
        <v>301</v>
      </c>
      <c r="B301" s="4">
        <v>-28</v>
      </c>
      <c r="C301" s="4">
        <v>4</v>
      </c>
      <c r="D301" s="4">
        <v>1</v>
      </c>
    </row>
    <row r="302" spans="1:4" x14ac:dyDescent="0.3">
      <c r="A302" s="6" t="s">
        <v>1429</v>
      </c>
      <c r="B302" s="4">
        <v>-28</v>
      </c>
      <c r="C302" s="4">
        <v>4</v>
      </c>
      <c r="D302" s="4">
        <v>1</v>
      </c>
    </row>
    <row r="303" spans="1:4" x14ac:dyDescent="0.3">
      <c r="A303" s="3" t="s">
        <v>415</v>
      </c>
      <c r="B303" s="4">
        <v>281.5</v>
      </c>
      <c r="C303" s="4">
        <v>14</v>
      </c>
      <c r="D303" s="4">
        <v>4</v>
      </c>
    </row>
    <row r="304" spans="1:4" x14ac:dyDescent="0.3">
      <c r="A304" s="5" t="s">
        <v>37</v>
      </c>
      <c r="B304" s="4">
        <v>31</v>
      </c>
      <c r="C304" s="4">
        <v>2</v>
      </c>
      <c r="D304" s="4">
        <v>1</v>
      </c>
    </row>
    <row r="305" spans="1:4" x14ac:dyDescent="0.3">
      <c r="A305" s="6" t="s">
        <v>1429</v>
      </c>
      <c r="B305" s="4">
        <v>31</v>
      </c>
      <c r="C305" s="4">
        <v>2</v>
      </c>
      <c r="D305" s="4">
        <v>1</v>
      </c>
    </row>
    <row r="306" spans="1:4" x14ac:dyDescent="0.3">
      <c r="A306" s="5" t="s">
        <v>148</v>
      </c>
      <c r="B306" s="4">
        <v>86</v>
      </c>
      <c r="C306" s="4">
        <v>4</v>
      </c>
      <c r="D306" s="4">
        <v>1</v>
      </c>
    </row>
    <row r="307" spans="1:4" x14ac:dyDescent="0.3">
      <c r="A307" s="6" t="s">
        <v>1429</v>
      </c>
      <c r="B307" s="4">
        <v>86</v>
      </c>
      <c r="C307" s="4">
        <v>4</v>
      </c>
      <c r="D307" s="4">
        <v>1</v>
      </c>
    </row>
    <row r="308" spans="1:4" x14ac:dyDescent="0.3">
      <c r="A308" s="5" t="s">
        <v>154</v>
      </c>
      <c r="B308" s="4">
        <v>-48</v>
      </c>
      <c r="C308" s="4">
        <v>3</v>
      </c>
      <c r="D308" s="4">
        <v>1</v>
      </c>
    </row>
    <row r="309" spans="1:4" x14ac:dyDescent="0.3">
      <c r="A309" s="6" t="s">
        <v>1429</v>
      </c>
      <c r="B309" s="4">
        <v>-48</v>
      </c>
      <c r="C309" s="4">
        <v>3</v>
      </c>
      <c r="D309" s="4">
        <v>1</v>
      </c>
    </row>
    <row r="310" spans="1:4" x14ac:dyDescent="0.3">
      <c r="A310" s="5" t="s">
        <v>163</v>
      </c>
      <c r="B310" s="4">
        <v>212.5</v>
      </c>
      <c r="C310" s="4">
        <v>5</v>
      </c>
      <c r="D310" s="4">
        <v>1</v>
      </c>
    </row>
    <row r="311" spans="1:4" x14ac:dyDescent="0.3">
      <c r="A311" s="6" t="s">
        <v>1429</v>
      </c>
      <c r="B311" s="4">
        <v>212.5</v>
      </c>
      <c r="C311" s="4">
        <v>5</v>
      </c>
      <c r="D311" s="4">
        <v>1</v>
      </c>
    </row>
    <row r="312" spans="1:4" x14ac:dyDescent="0.3">
      <c r="A312" s="3" t="s">
        <v>417</v>
      </c>
      <c r="B312" s="4">
        <v>444</v>
      </c>
      <c r="C312" s="4">
        <v>14</v>
      </c>
      <c r="D312" s="4">
        <v>4</v>
      </c>
    </row>
    <row r="313" spans="1:4" x14ac:dyDescent="0.3">
      <c r="A313" s="5" t="s">
        <v>76</v>
      </c>
      <c r="B313" s="4">
        <v>270</v>
      </c>
      <c r="C313" s="4">
        <v>5</v>
      </c>
      <c r="D313" s="4">
        <v>1</v>
      </c>
    </row>
    <row r="314" spans="1:4" x14ac:dyDescent="0.3">
      <c r="A314" s="6" t="s">
        <v>1429</v>
      </c>
      <c r="B314" s="4">
        <v>270</v>
      </c>
      <c r="C314" s="4">
        <v>5</v>
      </c>
      <c r="D314" s="4">
        <v>1</v>
      </c>
    </row>
    <row r="315" spans="1:4" x14ac:dyDescent="0.3">
      <c r="A315" s="5" t="s">
        <v>157</v>
      </c>
      <c r="B315" s="4">
        <v>144</v>
      </c>
      <c r="C315" s="4">
        <v>3</v>
      </c>
      <c r="D315" s="4">
        <v>1</v>
      </c>
    </row>
    <row r="316" spans="1:4" x14ac:dyDescent="0.3">
      <c r="A316" s="6" t="s">
        <v>1429</v>
      </c>
      <c r="B316" s="4">
        <v>144</v>
      </c>
      <c r="C316" s="4">
        <v>3</v>
      </c>
      <c r="D316" s="4">
        <v>1</v>
      </c>
    </row>
    <row r="317" spans="1:4" x14ac:dyDescent="0.3">
      <c r="A317" s="5" t="s">
        <v>169</v>
      </c>
      <c r="B317" s="4">
        <v>34</v>
      </c>
      <c r="C317" s="4">
        <v>2</v>
      </c>
      <c r="D317" s="4">
        <v>1</v>
      </c>
    </row>
    <row r="318" spans="1:4" x14ac:dyDescent="0.3">
      <c r="A318" s="6" t="s">
        <v>1429</v>
      </c>
      <c r="B318" s="4">
        <v>34</v>
      </c>
      <c r="C318" s="4">
        <v>2</v>
      </c>
      <c r="D318" s="4">
        <v>1</v>
      </c>
    </row>
    <row r="319" spans="1:4" x14ac:dyDescent="0.3">
      <c r="A319" s="5" t="s">
        <v>274</v>
      </c>
      <c r="B319" s="4">
        <v>-4</v>
      </c>
      <c r="C319" s="4">
        <v>4</v>
      </c>
      <c r="D319" s="4">
        <v>1</v>
      </c>
    </row>
    <row r="320" spans="1:4" x14ac:dyDescent="0.3">
      <c r="A320" s="6" t="s">
        <v>1429</v>
      </c>
      <c r="B320" s="4">
        <v>-4</v>
      </c>
      <c r="C320" s="4">
        <v>4</v>
      </c>
      <c r="D320" s="4">
        <v>1</v>
      </c>
    </row>
    <row r="321" spans="1:4" x14ac:dyDescent="0.3">
      <c r="A321" s="3" t="s">
        <v>419</v>
      </c>
      <c r="B321" s="4">
        <v>2360</v>
      </c>
      <c r="C321" s="4">
        <v>17</v>
      </c>
      <c r="D321" s="4">
        <v>4</v>
      </c>
    </row>
    <row r="322" spans="1:4" x14ac:dyDescent="0.3">
      <c r="A322" s="5" t="s">
        <v>54</v>
      </c>
      <c r="B322" s="4">
        <v>448</v>
      </c>
      <c r="C322" s="4">
        <v>4</v>
      </c>
      <c r="D322" s="4">
        <v>1</v>
      </c>
    </row>
    <row r="323" spans="1:4" x14ac:dyDescent="0.3">
      <c r="A323" s="6" t="s">
        <v>1428</v>
      </c>
      <c r="B323" s="4">
        <v>448</v>
      </c>
      <c r="C323" s="4">
        <v>4</v>
      </c>
      <c r="D323" s="4">
        <v>1</v>
      </c>
    </row>
    <row r="324" spans="1:4" x14ac:dyDescent="0.3">
      <c r="A324" s="5" t="s">
        <v>139</v>
      </c>
      <c r="B324" s="4">
        <v>860</v>
      </c>
      <c r="C324" s="4">
        <v>5</v>
      </c>
      <c r="D324" s="4">
        <v>1</v>
      </c>
    </row>
    <row r="325" spans="1:4" x14ac:dyDescent="0.3">
      <c r="A325" s="6" t="s">
        <v>1428</v>
      </c>
      <c r="B325" s="4">
        <v>860</v>
      </c>
      <c r="C325" s="4">
        <v>5</v>
      </c>
      <c r="D325" s="4">
        <v>1</v>
      </c>
    </row>
    <row r="326" spans="1:4" x14ac:dyDescent="0.3">
      <c r="A326" s="5" t="s">
        <v>223</v>
      </c>
      <c r="B326" s="4">
        <v>400</v>
      </c>
      <c r="C326" s="4">
        <v>4</v>
      </c>
      <c r="D326" s="4">
        <v>1</v>
      </c>
    </row>
    <row r="327" spans="1:4" x14ac:dyDescent="0.3">
      <c r="A327" s="6" t="s">
        <v>1428</v>
      </c>
      <c r="B327" s="4">
        <v>400</v>
      </c>
      <c r="C327" s="4">
        <v>4</v>
      </c>
      <c r="D327" s="4">
        <v>1</v>
      </c>
    </row>
    <row r="328" spans="1:4" x14ac:dyDescent="0.3">
      <c r="A328" s="5" t="s">
        <v>250</v>
      </c>
      <c r="B328" s="4">
        <v>652</v>
      </c>
      <c r="C328" s="4">
        <v>4</v>
      </c>
      <c r="D328" s="4">
        <v>1</v>
      </c>
    </row>
    <row r="329" spans="1:4" x14ac:dyDescent="0.3">
      <c r="A329" s="6" t="s">
        <v>1428</v>
      </c>
      <c r="B329" s="4">
        <v>652</v>
      </c>
      <c r="C329" s="4">
        <v>4</v>
      </c>
      <c r="D329" s="4">
        <v>1</v>
      </c>
    </row>
    <row r="330" spans="1:4" x14ac:dyDescent="0.3">
      <c r="A330" s="3" t="s">
        <v>421</v>
      </c>
      <c r="B330" s="4">
        <v>201</v>
      </c>
      <c r="C330" s="4">
        <v>12</v>
      </c>
      <c r="D330" s="4">
        <v>3</v>
      </c>
    </row>
    <row r="331" spans="1:4" x14ac:dyDescent="0.3">
      <c r="A331" s="5" t="s">
        <v>57</v>
      </c>
      <c r="B331" s="4">
        <v>66</v>
      </c>
      <c r="C331" s="4">
        <v>4</v>
      </c>
      <c r="D331" s="4">
        <v>1</v>
      </c>
    </row>
    <row r="332" spans="1:4" x14ac:dyDescent="0.3">
      <c r="A332" s="6" t="s">
        <v>1429</v>
      </c>
      <c r="B332" s="4">
        <v>66</v>
      </c>
      <c r="C332" s="4">
        <v>4</v>
      </c>
      <c r="D332" s="4">
        <v>1</v>
      </c>
    </row>
    <row r="333" spans="1:4" x14ac:dyDescent="0.3">
      <c r="A333" s="5" t="s">
        <v>262</v>
      </c>
      <c r="B333" s="4">
        <v>52.5</v>
      </c>
      <c r="C333" s="4">
        <v>3</v>
      </c>
      <c r="D333" s="4">
        <v>1</v>
      </c>
    </row>
    <row r="334" spans="1:4" x14ac:dyDescent="0.3">
      <c r="A334" s="6" t="s">
        <v>1429</v>
      </c>
      <c r="B334" s="4">
        <v>52.5</v>
      </c>
      <c r="C334" s="4">
        <v>3</v>
      </c>
      <c r="D334" s="4">
        <v>1</v>
      </c>
    </row>
    <row r="335" spans="1:4" x14ac:dyDescent="0.3">
      <c r="A335" s="5" t="s">
        <v>265</v>
      </c>
      <c r="B335" s="4">
        <v>82.5</v>
      </c>
      <c r="C335" s="4">
        <v>5</v>
      </c>
      <c r="D335" s="4">
        <v>1</v>
      </c>
    </row>
    <row r="336" spans="1:4" x14ac:dyDescent="0.3">
      <c r="A336" s="6" t="s">
        <v>1429</v>
      </c>
      <c r="B336" s="4">
        <v>82.5</v>
      </c>
      <c r="C336" s="4">
        <v>5</v>
      </c>
      <c r="D336" s="4">
        <v>1</v>
      </c>
    </row>
    <row r="337" spans="1:4" x14ac:dyDescent="0.3">
      <c r="A337" s="3" t="s">
        <v>423</v>
      </c>
      <c r="B337" s="4">
        <v>1317</v>
      </c>
      <c r="C337" s="4">
        <v>13</v>
      </c>
      <c r="D337" s="4">
        <v>4</v>
      </c>
    </row>
    <row r="338" spans="1:4" x14ac:dyDescent="0.3">
      <c r="A338" s="5" t="s">
        <v>79</v>
      </c>
      <c r="B338" s="4">
        <v>462</v>
      </c>
      <c r="C338" s="4">
        <v>3</v>
      </c>
      <c r="D338" s="4">
        <v>1</v>
      </c>
    </row>
    <row r="339" spans="1:4" x14ac:dyDescent="0.3">
      <c r="A339" s="6" t="s">
        <v>1428</v>
      </c>
      <c r="B339" s="4">
        <v>462</v>
      </c>
      <c r="C339" s="4">
        <v>3</v>
      </c>
      <c r="D339" s="4">
        <v>1</v>
      </c>
    </row>
    <row r="340" spans="1:4" x14ac:dyDescent="0.3">
      <c r="A340" s="5" t="s">
        <v>148</v>
      </c>
      <c r="B340" s="4">
        <v>123</v>
      </c>
      <c r="C340" s="4">
        <v>3</v>
      </c>
      <c r="D340" s="4">
        <v>1</v>
      </c>
    </row>
    <row r="341" spans="1:4" x14ac:dyDescent="0.3">
      <c r="A341" s="6" t="s">
        <v>1428</v>
      </c>
      <c r="B341" s="4">
        <v>123</v>
      </c>
      <c r="C341" s="4">
        <v>3</v>
      </c>
      <c r="D341" s="4">
        <v>1</v>
      </c>
    </row>
    <row r="342" spans="1:4" x14ac:dyDescent="0.3">
      <c r="A342" s="5" t="s">
        <v>235</v>
      </c>
      <c r="B342" s="4">
        <v>504</v>
      </c>
      <c r="C342" s="4">
        <v>4</v>
      </c>
      <c r="D342" s="4">
        <v>1</v>
      </c>
    </row>
    <row r="343" spans="1:4" x14ac:dyDescent="0.3">
      <c r="A343" s="6" t="s">
        <v>1428</v>
      </c>
      <c r="B343" s="4">
        <v>504</v>
      </c>
      <c r="C343" s="4">
        <v>4</v>
      </c>
      <c r="D343" s="4">
        <v>1</v>
      </c>
    </row>
    <row r="344" spans="1:4" x14ac:dyDescent="0.3">
      <c r="A344" s="5" t="s">
        <v>274</v>
      </c>
      <c r="B344" s="4">
        <v>228</v>
      </c>
      <c r="C344" s="4">
        <v>3</v>
      </c>
      <c r="D344" s="4">
        <v>1</v>
      </c>
    </row>
    <row r="345" spans="1:4" x14ac:dyDescent="0.3">
      <c r="A345" s="6" t="s">
        <v>1428</v>
      </c>
      <c r="B345" s="4">
        <v>228</v>
      </c>
      <c r="C345" s="4">
        <v>3</v>
      </c>
      <c r="D345" s="4">
        <v>1</v>
      </c>
    </row>
    <row r="346" spans="1:4" x14ac:dyDescent="0.3">
      <c r="A346" s="3" t="s">
        <v>425</v>
      </c>
      <c r="B346" s="4">
        <v>2720</v>
      </c>
      <c r="C346" s="4">
        <v>23</v>
      </c>
      <c r="D346" s="4">
        <v>6</v>
      </c>
    </row>
    <row r="347" spans="1:4" x14ac:dyDescent="0.3">
      <c r="A347" s="5" t="s">
        <v>63</v>
      </c>
      <c r="B347" s="4">
        <v>215</v>
      </c>
      <c r="C347" s="4">
        <v>5</v>
      </c>
      <c r="D347" s="4">
        <v>1</v>
      </c>
    </row>
    <row r="348" spans="1:4" x14ac:dyDescent="0.3">
      <c r="A348" s="6" t="s">
        <v>1428</v>
      </c>
      <c r="B348" s="4">
        <v>215</v>
      </c>
      <c r="C348" s="4">
        <v>5</v>
      </c>
      <c r="D348" s="4">
        <v>1</v>
      </c>
    </row>
    <row r="349" spans="1:4" x14ac:dyDescent="0.3">
      <c r="A349" s="5" t="s">
        <v>72</v>
      </c>
      <c r="B349" s="4">
        <v>660</v>
      </c>
      <c r="C349" s="4">
        <v>5</v>
      </c>
      <c r="D349" s="4">
        <v>1</v>
      </c>
    </row>
    <row r="350" spans="1:4" x14ac:dyDescent="0.3">
      <c r="A350" s="6" t="s">
        <v>1428</v>
      </c>
      <c r="B350" s="4">
        <v>660</v>
      </c>
      <c r="C350" s="4">
        <v>5</v>
      </c>
      <c r="D350" s="4">
        <v>1</v>
      </c>
    </row>
    <row r="351" spans="1:4" x14ac:dyDescent="0.3">
      <c r="A351" s="5" t="s">
        <v>97</v>
      </c>
      <c r="B351" s="4">
        <v>716</v>
      </c>
      <c r="C351" s="4">
        <v>4</v>
      </c>
      <c r="D351" s="4">
        <v>1</v>
      </c>
    </row>
    <row r="352" spans="1:4" x14ac:dyDescent="0.3">
      <c r="A352" s="6" t="s">
        <v>1428</v>
      </c>
      <c r="B352" s="4">
        <v>716</v>
      </c>
      <c r="C352" s="4">
        <v>4</v>
      </c>
      <c r="D352" s="4">
        <v>1</v>
      </c>
    </row>
    <row r="353" spans="1:4" x14ac:dyDescent="0.3">
      <c r="A353" s="5" t="s">
        <v>124</v>
      </c>
      <c r="B353" s="4">
        <v>462</v>
      </c>
      <c r="C353" s="4">
        <v>3</v>
      </c>
      <c r="D353" s="4">
        <v>1</v>
      </c>
    </row>
    <row r="354" spans="1:4" x14ac:dyDescent="0.3">
      <c r="A354" s="6" t="s">
        <v>1428</v>
      </c>
      <c r="B354" s="4">
        <v>462</v>
      </c>
      <c r="C354" s="4">
        <v>3</v>
      </c>
      <c r="D354" s="4">
        <v>1</v>
      </c>
    </row>
    <row r="355" spans="1:4" x14ac:dyDescent="0.3">
      <c r="A355" s="5" t="s">
        <v>166</v>
      </c>
      <c r="B355" s="4">
        <v>157</v>
      </c>
      <c r="C355" s="4">
        <v>1</v>
      </c>
      <c r="D355" s="4">
        <v>1</v>
      </c>
    </row>
    <row r="356" spans="1:4" x14ac:dyDescent="0.3">
      <c r="A356" s="6" t="s">
        <v>1428</v>
      </c>
      <c r="B356" s="4">
        <v>157</v>
      </c>
      <c r="C356" s="4">
        <v>1</v>
      </c>
      <c r="D356" s="4">
        <v>1</v>
      </c>
    </row>
    <row r="357" spans="1:4" x14ac:dyDescent="0.3">
      <c r="A357" s="5" t="s">
        <v>232</v>
      </c>
      <c r="B357" s="4">
        <v>510</v>
      </c>
      <c r="C357" s="4">
        <v>5</v>
      </c>
      <c r="D357" s="4">
        <v>1</v>
      </c>
    </row>
    <row r="358" spans="1:4" x14ac:dyDescent="0.3">
      <c r="A358" s="6" t="s">
        <v>1428</v>
      </c>
      <c r="B358" s="4">
        <v>510</v>
      </c>
      <c r="C358" s="4">
        <v>5</v>
      </c>
      <c r="D358" s="4">
        <v>1</v>
      </c>
    </row>
    <row r="359" spans="1:4" x14ac:dyDescent="0.3">
      <c r="A359" s="3" t="s">
        <v>427</v>
      </c>
      <c r="B359" s="4">
        <v>2001</v>
      </c>
      <c r="C359" s="4">
        <v>17</v>
      </c>
      <c r="D359" s="4">
        <v>6</v>
      </c>
    </row>
    <row r="360" spans="1:4" x14ac:dyDescent="0.3">
      <c r="A360" s="5" t="s">
        <v>142</v>
      </c>
      <c r="B360" s="4">
        <v>332</v>
      </c>
      <c r="C360" s="4">
        <v>2</v>
      </c>
      <c r="D360" s="4">
        <v>1</v>
      </c>
    </row>
    <row r="361" spans="1:4" x14ac:dyDescent="0.3">
      <c r="A361" s="6" t="s">
        <v>1428</v>
      </c>
      <c r="B361" s="4">
        <v>332</v>
      </c>
      <c r="C361" s="4">
        <v>2</v>
      </c>
      <c r="D361" s="4">
        <v>1</v>
      </c>
    </row>
    <row r="362" spans="1:4" x14ac:dyDescent="0.3">
      <c r="A362" s="5" t="s">
        <v>157</v>
      </c>
      <c r="B362" s="4">
        <v>195</v>
      </c>
      <c r="C362" s="4">
        <v>1</v>
      </c>
      <c r="D362" s="4">
        <v>1</v>
      </c>
    </row>
    <row r="363" spans="1:4" x14ac:dyDescent="0.3">
      <c r="A363" s="6" t="s">
        <v>1428</v>
      </c>
      <c r="B363" s="4">
        <v>195</v>
      </c>
      <c r="C363" s="4">
        <v>1</v>
      </c>
      <c r="D363" s="4">
        <v>1</v>
      </c>
    </row>
    <row r="364" spans="1:4" x14ac:dyDescent="0.3">
      <c r="A364" s="5" t="s">
        <v>169</v>
      </c>
      <c r="B364" s="4">
        <v>453</v>
      </c>
      <c r="C364" s="4">
        <v>3</v>
      </c>
      <c r="D364" s="4">
        <v>1</v>
      </c>
    </row>
    <row r="365" spans="1:4" x14ac:dyDescent="0.3">
      <c r="A365" s="6" t="s">
        <v>1428</v>
      </c>
      <c r="B365" s="4">
        <v>453</v>
      </c>
      <c r="C365" s="4">
        <v>3</v>
      </c>
      <c r="D365" s="4">
        <v>1</v>
      </c>
    </row>
    <row r="366" spans="1:4" x14ac:dyDescent="0.3">
      <c r="A366" s="5" t="s">
        <v>199</v>
      </c>
      <c r="B366" s="4">
        <v>715</v>
      </c>
      <c r="C366" s="4">
        <v>5</v>
      </c>
      <c r="D366" s="4">
        <v>1</v>
      </c>
    </row>
    <row r="367" spans="1:4" x14ac:dyDescent="0.3">
      <c r="A367" s="6" t="s">
        <v>1428</v>
      </c>
      <c r="B367" s="4">
        <v>715</v>
      </c>
      <c r="C367" s="4">
        <v>5</v>
      </c>
      <c r="D367" s="4">
        <v>1</v>
      </c>
    </row>
    <row r="368" spans="1:4" x14ac:dyDescent="0.3">
      <c r="A368" s="5" t="s">
        <v>286</v>
      </c>
      <c r="B368" s="4">
        <v>306</v>
      </c>
      <c r="C368" s="4">
        <v>6</v>
      </c>
      <c r="D368" s="4">
        <v>2</v>
      </c>
    </row>
    <row r="369" spans="1:4" x14ac:dyDescent="0.3">
      <c r="A369" s="6" t="s">
        <v>1428</v>
      </c>
      <c r="B369" s="4">
        <v>306</v>
      </c>
      <c r="C369" s="4">
        <v>6</v>
      </c>
      <c r="D369" s="4">
        <v>2</v>
      </c>
    </row>
    <row r="370" spans="1:4" x14ac:dyDescent="0.3">
      <c r="A370" s="3" t="s">
        <v>429</v>
      </c>
      <c r="B370" s="4">
        <v>566</v>
      </c>
      <c r="C370" s="4">
        <v>17</v>
      </c>
      <c r="D370" s="4">
        <v>5</v>
      </c>
    </row>
    <row r="371" spans="1:4" x14ac:dyDescent="0.3">
      <c r="A371" s="5" t="s">
        <v>69</v>
      </c>
      <c r="B371" s="4">
        <v>140</v>
      </c>
      <c r="C371" s="4">
        <v>4</v>
      </c>
      <c r="D371" s="4">
        <v>1</v>
      </c>
    </row>
    <row r="372" spans="1:4" x14ac:dyDescent="0.3">
      <c r="A372" s="6" t="s">
        <v>1429</v>
      </c>
      <c r="B372" s="4">
        <v>140</v>
      </c>
      <c r="C372" s="4">
        <v>4</v>
      </c>
      <c r="D372" s="4">
        <v>1</v>
      </c>
    </row>
    <row r="373" spans="1:4" x14ac:dyDescent="0.3">
      <c r="A373" s="5" t="s">
        <v>175</v>
      </c>
      <c r="B373" s="4">
        <v>20</v>
      </c>
      <c r="C373" s="4">
        <v>2</v>
      </c>
      <c r="D373" s="4">
        <v>1</v>
      </c>
    </row>
    <row r="374" spans="1:4" x14ac:dyDescent="0.3">
      <c r="A374" s="6" t="s">
        <v>1429</v>
      </c>
      <c r="B374" s="4">
        <v>20</v>
      </c>
      <c r="C374" s="4">
        <v>2</v>
      </c>
      <c r="D374" s="4">
        <v>1</v>
      </c>
    </row>
    <row r="375" spans="1:4" x14ac:dyDescent="0.3">
      <c r="A375" s="5" t="s">
        <v>205</v>
      </c>
      <c r="B375" s="4">
        <v>120</v>
      </c>
      <c r="C375" s="4">
        <v>4</v>
      </c>
      <c r="D375" s="4">
        <v>1</v>
      </c>
    </row>
    <row r="376" spans="1:4" x14ac:dyDescent="0.3">
      <c r="A376" s="6" t="s">
        <v>1429</v>
      </c>
      <c r="B376" s="4">
        <v>120</v>
      </c>
      <c r="C376" s="4">
        <v>4</v>
      </c>
      <c r="D376" s="4">
        <v>1</v>
      </c>
    </row>
    <row r="377" spans="1:4" x14ac:dyDescent="0.3">
      <c r="A377" s="5" t="s">
        <v>211</v>
      </c>
      <c r="B377" s="4">
        <v>170</v>
      </c>
      <c r="C377" s="4">
        <v>5</v>
      </c>
      <c r="D377" s="4">
        <v>1</v>
      </c>
    </row>
    <row r="378" spans="1:4" x14ac:dyDescent="0.3">
      <c r="A378" s="6" t="s">
        <v>1429</v>
      </c>
      <c r="B378" s="4">
        <v>170</v>
      </c>
      <c r="C378" s="4">
        <v>5</v>
      </c>
      <c r="D378" s="4">
        <v>1</v>
      </c>
    </row>
    <row r="379" spans="1:4" x14ac:dyDescent="0.3">
      <c r="A379" s="5" t="s">
        <v>244</v>
      </c>
      <c r="B379" s="4">
        <v>116</v>
      </c>
      <c r="C379" s="4">
        <v>2</v>
      </c>
      <c r="D379" s="4">
        <v>1</v>
      </c>
    </row>
    <row r="380" spans="1:4" x14ac:dyDescent="0.3">
      <c r="A380" s="6" t="s">
        <v>1429</v>
      </c>
      <c r="B380" s="4">
        <v>116</v>
      </c>
      <c r="C380" s="4">
        <v>2</v>
      </c>
      <c r="D380" s="4">
        <v>1</v>
      </c>
    </row>
    <row r="381" spans="1:4" x14ac:dyDescent="0.3">
      <c r="A381" s="3" t="s">
        <v>431</v>
      </c>
      <c r="B381" s="4">
        <v>136.5</v>
      </c>
      <c r="C381" s="4">
        <v>16</v>
      </c>
      <c r="D381" s="4">
        <v>5</v>
      </c>
    </row>
    <row r="382" spans="1:4" x14ac:dyDescent="0.3">
      <c r="A382" s="5" t="s">
        <v>63</v>
      </c>
      <c r="B382" s="4">
        <v>-10</v>
      </c>
      <c r="C382" s="4">
        <v>2</v>
      </c>
      <c r="D382" s="4">
        <v>1</v>
      </c>
    </row>
    <row r="383" spans="1:4" x14ac:dyDescent="0.3">
      <c r="A383" s="6" t="s">
        <v>1429</v>
      </c>
      <c r="B383" s="4">
        <v>-10</v>
      </c>
      <c r="C383" s="4">
        <v>2</v>
      </c>
      <c r="D383" s="4">
        <v>1</v>
      </c>
    </row>
    <row r="384" spans="1:4" x14ac:dyDescent="0.3">
      <c r="A384" s="5" t="s">
        <v>79</v>
      </c>
      <c r="B384" s="4">
        <v>156</v>
      </c>
      <c r="C384" s="4">
        <v>4</v>
      </c>
      <c r="D384" s="4">
        <v>1</v>
      </c>
    </row>
    <row r="385" spans="1:4" x14ac:dyDescent="0.3">
      <c r="A385" s="6" t="s">
        <v>1429</v>
      </c>
      <c r="B385" s="4">
        <v>156</v>
      </c>
      <c r="C385" s="4">
        <v>4</v>
      </c>
      <c r="D385" s="4">
        <v>1</v>
      </c>
    </row>
    <row r="386" spans="1:4" x14ac:dyDescent="0.3">
      <c r="A386" s="5" t="s">
        <v>211</v>
      </c>
      <c r="B386" s="4">
        <v>-27</v>
      </c>
      <c r="C386" s="4">
        <v>3</v>
      </c>
      <c r="D386" s="4">
        <v>1</v>
      </c>
    </row>
    <row r="387" spans="1:4" x14ac:dyDescent="0.3">
      <c r="A387" s="6" t="s">
        <v>1429</v>
      </c>
      <c r="B387" s="4">
        <v>-27</v>
      </c>
      <c r="C387" s="4">
        <v>3</v>
      </c>
      <c r="D387" s="4">
        <v>1</v>
      </c>
    </row>
    <row r="388" spans="1:4" x14ac:dyDescent="0.3">
      <c r="A388" s="5" t="s">
        <v>220</v>
      </c>
      <c r="B388" s="4">
        <v>35</v>
      </c>
      <c r="C388" s="4">
        <v>2</v>
      </c>
      <c r="D388" s="4">
        <v>1</v>
      </c>
    </row>
    <row r="389" spans="1:4" x14ac:dyDescent="0.3">
      <c r="A389" s="6" t="s">
        <v>1429</v>
      </c>
      <c r="B389" s="4">
        <v>35</v>
      </c>
      <c r="C389" s="4">
        <v>2</v>
      </c>
      <c r="D389" s="4">
        <v>1</v>
      </c>
    </row>
    <row r="390" spans="1:4" x14ac:dyDescent="0.3">
      <c r="A390" s="5" t="s">
        <v>292</v>
      </c>
      <c r="B390" s="4">
        <v>-17.5</v>
      </c>
      <c r="C390" s="4">
        <v>5</v>
      </c>
      <c r="D390" s="4">
        <v>1</v>
      </c>
    </row>
    <row r="391" spans="1:4" x14ac:dyDescent="0.3">
      <c r="A391" s="6" t="s">
        <v>1429</v>
      </c>
      <c r="B391" s="4">
        <v>-17.5</v>
      </c>
      <c r="C391" s="4">
        <v>5</v>
      </c>
      <c r="D391" s="4">
        <v>1</v>
      </c>
    </row>
    <row r="392" spans="1:4" x14ac:dyDescent="0.3">
      <c r="A392" s="3" t="s">
        <v>433</v>
      </c>
      <c r="B392" s="4">
        <v>521</v>
      </c>
      <c r="C392" s="4">
        <v>17</v>
      </c>
      <c r="D392" s="4">
        <v>8</v>
      </c>
    </row>
    <row r="393" spans="1:4" x14ac:dyDescent="0.3">
      <c r="A393" s="5" t="s">
        <v>130</v>
      </c>
      <c r="B393" s="4">
        <v>57.5</v>
      </c>
      <c r="C393" s="4">
        <v>1</v>
      </c>
      <c r="D393" s="4">
        <v>1</v>
      </c>
    </row>
    <row r="394" spans="1:4" x14ac:dyDescent="0.3">
      <c r="A394" s="6" t="s">
        <v>1429</v>
      </c>
      <c r="B394" s="4">
        <v>57.5</v>
      </c>
      <c r="C394" s="4">
        <v>1</v>
      </c>
      <c r="D394" s="4">
        <v>1</v>
      </c>
    </row>
    <row r="395" spans="1:4" x14ac:dyDescent="0.3">
      <c r="A395" s="5" t="s">
        <v>178</v>
      </c>
      <c r="B395" s="4">
        <v>63.5</v>
      </c>
      <c r="C395" s="4">
        <v>1</v>
      </c>
      <c r="D395" s="4">
        <v>1</v>
      </c>
    </row>
    <row r="396" spans="1:4" x14ac:dyDescent="0.3">
      <c r="A396" s="6" t="s">
        <v>1429</v>
      </c>
      <c r="B396" s="4">
        <v>63.5</v>
      </c>
      <c r="C396" s="4">
        <v>1</v>
      </c>
      <c r="D396" s="4">
        <v>1</v>
      </c>
    </row>
    <row r="397" spans="1:4" x14ac:dyDescent="0.3">
      <c r="A397" s="5" t="s">
        <v>214</v>
      </c>
      <c r="B397" s="4">
        <v>36</v>
      </c>
      <c r="C397" s="4">
        <v>4</v>
      </c>
      <c r="D397" s="4">
        <v>1</v>
      </c>
    </row>
    <row r="398" spans="1:4" x14ac:dyDescent="0.3">
      <c r="A398" s="6" t="s">
        <v>1429</v>
      </c>
      <c r="B398" s="4">
        <v>36</v>
      </c>
      <c r="C398" s="4">
        <v>4</v>
      </c>
      <c r="D398" s="4">
        <v>1</v>
      </c>
    </row>
    <row r="399" spans="1:4" x14ac:dyDescent="0.3">
      <c r="A399" s="5" t="s">
        <v>244</v>
      </c>
      <c r="B399" s="4">
        <v>88.5</v>
      </c>
      <c r="C399" s="4">
        <v>3</v>
      </c>
      <c r="D399" s="4">
        <v>1</v>
      </c>
    </row>
    <row r="400" spans="1:4" x14ac:dyDescent="0.3">
      <c r="A400" s="6" t="s">
        <v>1429</v>
      </c>
      <c r="B400" s="4">
        <v>88.5</v>
      </c>
      <c r="C400" s="4">
        <v>3</v>
      </c>
      <c r="D400" s="4">
        <v>1</v>
      </c>
    </row>
    <row r="401" spans="1:4" x14ac:dyDescent="0.3">
      <c r="A401" s="5" t="s">
        <v>253</v>
      </c>
      <c r="B401" s="4">
        <v>117</v>
      </c>
      <c r="C401" s="4">
        <v>3</v>
      </c>
      <c r="D401" s="4">
        <v>1</v>
      </c>
    </row>
    <row r="402" spans="1:4" x14ac:dyDescent="0.3">
      <c r="A402" s="6" t="s">
        <v>1429</v>
      </c>
      <c r="B402" s="4">
        <v>117</v>
      </c>
      <c r="C402" s="4">
        <v>3</v>
      </c>
      <c r="D402" s="4">
        <v>1</v>
      </c>
    </row>
    <row r="403" spans="1:4" x14ac:dyDescent="0.3">
      <c r="A403" s="5" t="s">
        <v>259</v>
      </c>
      <c r="B403" s="4">
        <v>129</v>
      </c>
      <c r="C403" s="4">
        <v>2</v>
      </c>
      <c r="D403" s="4">
        <v>1</v>
      </c>
    </row>
    <row r="404" spans="1:4" x14ac:dyDescent="0.3">
      <c r="A404" s="6" t="s">
        <v>1429</v>
      </c>
      <c r="B404" s="4">
        <v>129</v>
      </c>
      <c r="C404" s="4">
        <v>2</v>
      </c>
      <c r="D404" s="4">
        <v>1</v>
      </c>
    </row>
    <row r="405" spans="1:4" x14ac:dyDescent="0.3">
      <c r="A405" s="5" t="s">
        <v>265</v>
      </c>
      <c r="B405" s="4">
        <v>24.5</v>
      </c>
      <c r="C405" s="4">
        <v>1</v>
      </c>
      <c r="D405" s="4">
        <v>1</v>
      </c>
    </row>
    <row r="406" spans="1:4" x14ac:dyDescent="0.3">
      <c r="A406" s="6" t="s">
        <v>1429</v>
      </c>
      <c r="B406" s="4">
        <v>24.5</v>
      </c>
      <c r="C406" s="4">
        <v>1</v>
      </c>
      <c r="D406" s="4">
        <v>1</v>
      </c>
    </row>
    <row r="407" spans="1:4" x14ac:dyDescent="0.3">
      <c r="A407" s="5" t="s">
        <v>271</v>
      </c>
      <c r="B407" s="4">
        <v>5</v>
      </c>
      <c r="C407" s="4">
        <v>2</v>
      </c>
      <c r="D407" s="4">
        <v>1</v>
      </c>
    </row>
    <row r="408" spans="1:4" x14ac:dyDescent="0.3">
      <c r="A408" s="6" t="s">
        <v>1429</v>
      </c>
      <c r="B408" s="4">
        <v>5</v>
      </c>
      <c r="C408" s="4">
        <v>2</v>
      </c>
      <c r="D408" s="4">
        <v>1</v>
      </c>
    </row>
    <row r="409" spans="1:4" x14ac:dyDescent="0.3">
      <c r="A409" s="3" t="s">
        <v>435</v>
      </c>
      <c r="B409" s="4">
        <v>936</v>
      </c>
      <c r="C409" s="4">
        <v>10</v>
      </c>
      <c r="D409" s="4">
        <v>3</v>
      </c>
    </row>
    <row r="410" spans="1:4" x14ac:dyDescent="0.3">
      <c r="A410" s="5" t="s">
        <v>40</v>
      </c>
      <c r="B410" s="4">
        <v>310</v>
      </c>
      <c r="C410" s="4">
        <v>2</v>
      </c>
      <c r="D410" s="4">
        <v>1</v>
      </c>
    </row>
    <row r="411" spans="1:4" x14ac:dyDescent="0.3">
      <c r="A411" s="6" t="s">
        <v>1428</v>
      </c>
      <c r="B411" s="4">
        <v>310</v>
      </c>
      <c r="C411" s="4">
        <v>2</v>
      </c>
      <c r="D411" s="4">
        <v>1</v>
      </c>
    </row>
    <row r="412" spans="1:4" x14ac:dyDescent="0.3">
      <c r="A412" s="5" t="s">
        <v>51</v>
      </c>
      <c r="B412" s="4">
        <v>171</v>
      </c>
      <c r="C412" s="4">
        <v>3</v>
      </c>
      <c r="D412" s="4">
        <v>1</v>
      </c>
    </row>
    <row r="413" spans="1:4" x14ac:dyDescent="0.3">
      <c r="A413" s="6" t="s">
        <v>1428</v>
      </c>
      <c r="B413" s="4">
        <v>171</v>
      </c>
      <c r="C413" s="4">
        <v>3</v>
      </c>
      <c r="D413" s="4">
        <v>1</v>
      </c>
    </row>
    <row r="414" spans="1:4" x14ac:dyDescent="0.3">
      <c r="A414" s="5" t="s">
        <v>142</v>
      </c>
      <c r="B414" s="4">
        <v>455</v>
      </c>
      <c r="C414" s="4">
        <v>5</v>
      </c>
      <c r="D414" s="4">
        <v>1</v>
      </c>
    </row>
    <row r="415" spans="1:4" x14ac:dyDescent="0.3">
      <c r="A415" s="6" t="s">
        <v>1428</v>
      </c>
      <c r="B415" s="4">
        <v>455</v>
      </c>
      <c r="C415" s="4">
        <v>5</v>
      </c>
      <c r="D415" s="4">
        <v>1</v>
      </c>
    </row>
    <row r="416" spans="1:4" x14ac:dyDescent="0.3">
      <c r="A416" s="3" t="s">
        <v>437</v>
      </c>
      <c r="B416" s="4">
        <v>3157</v>
      </c>
      <c r="C416" s="4">
        <v>25</v>
      </c>
      <c r="D416" s="4">
        <v>10</v>
      </c>
    </row>
    <row r="417" spans="1:4" x14ac:dyDescent="0.3">
      <c r="A417" s="5" t="s">
        <v>30</v>
      </c>
      <c r="B417" s="4">
        <v>399</v>
      </c>
      <c r="C417" s="4">
        <v>3</v>
      </c>
      <c r="D417" s="4">
        <v>1</v>
      </c>
    </row>
    <row r="418" spans="1:4" x14ac:dyDescent="0.3">
      <c r="A418" s="6" t="s">
        <v>1428</v>
      </c>
      <c r="B418" s="4">
        <v>399</v>
      </c>
      <c r="C418" s="4">
        <v>3</v>
      </c>
      <c r="D418" s="4">
        <v>1</v>
      </c>
    </row>
    <row r="419" spans="1:4" x14ac:dyDescent="0.3">
      <c r="A419" s="5" t="s">
        <v>57</v>
      </c>
      <c r="B419" s="4">
        <v>525</v>
      </c>
      <c r="C419" s="4">
        <v>3</v>
      </c>
      <c r="D419" s="4">
        <v>1</v>
      </c>
    </row>
    <row r="420" spans="1:4" x14ac:dyDescent="0.3">
      <c r="A420" s="6" t="s">
        <v>1428</v>
      </c>
      <c r="B420" s="4">
        <v>525</v>
      </c>
      <c r="C420" s="4">
        <v>3</v>
      </c>
      <c r="D420" s="4">
        <v>1</v>
      </c>
    </row>
    <row r="421" spans="1:4" x14ac:dyDescent="0.3">
      <c r="A421" s="5" t="s">
        <v>60</v>
      </c>
      <c r="B421" s="4">
        <v>85</v>
      </c>
      <c r="C421" s="4">
        <v>1</v>
      </c>
      <c r="D421" s="4">
        <v>1</v>
      </c>
    </row>
    <row r="422" spans="1:4" x14ac:dyDescent="0.3">
      <c r="A422" s="6" t="s">
        <v>1428</v>
      </c>
      <c r="B422" s="4">
        <v>85</v>
      </c>
      <c r="C422" s="4">
        <v>1</v>
      </c>
      <c r="D422" s="4">
        <v>1</v>
      </c>
    </row>
    <row r="423" spans="1:4" x14ac:dyDescent="0.3">
      <c r="A423" s="5" t="s">
        <v>76</v>
      </c>
      <c r="B423" s="4">
        <v>860</v>
      </c>
      <c r="C423" s="4">
        <v>5</v>
      </c>
      <c r="D423" s="4">
        <v>1</v>
      </c>
    </row>
    <row r="424" spans="1:4" x14ac:dyDescent="0.3">
      <c r="A424" s="6" t="s">
        <v>1428</v>
      </c>
      <c r="B424" s="4">
        <v>860</v>
      </c>
      <c r="C424" s="4">
        <v>5</v>
      </c>
      <c r="D424" s="4">
        <v>1</v>
      </c>
    </row>
    <row r="425" spans="1:4" x14ac:dyDescent="0.3">
      <c r="A425" s="5" t="s">
        <v>97</v>
      </c>
      <c r="B425" s="4">
        <v>551</v>
      </c>
      <c r="C425" s="4">
        <v>4</v>
      </c>
      <c r="D425" s="4">
        <v>2</v>
      </c>
    </row>
    <row r="426" spans="1:4" x14ac:dyDescent="0.3">
      <c r="A426" s="6" t="s">
        <v>1428</v>
      </c>
      <c r="B426" s="4">
        <v>551</v>
      </c>
      <c r="C426" s="4">
        <v>4</v>
      </c>
      <c r="D426" s="4">
        <v>2</v>
      </c>
    </row>
    <row r="427" spans="1:4" x14ac:dyDescent="0.3">
      <c r="A427" s="5" t="s">
        <v>109</v>
      </c>
      <c r="B427" s="4">
        <v>43</v>
      </c>
      <c r="C427" s="4">
        <v>1</v>
      </c>
      <c r="D427" s="4">
        <v>1</v>
      </c>
    </row>
    <row r="428" spans="1:4" x14ac:dyDescent="0.3">
      <c r="A428" s="6" t="s">
        <v>1428</v>
      </c>
      <c r="B428" s="4">
        <v>43</v>
      </c>
      <c r="C428" s="4">
        <v>1</v>
      </c>
      <c r="D428" s="4">
        <v>1</v>
      </c>
    </row>
    <row r="429" spans="1:4" x14ac:dyDescent="0.3">
      <c r="A429" s="5" t="s">
        <v>139</v>
      </c>
      <c r="B429" s="4">
        <v>122</v>
      </c>
      <c r="C429" s="4">
        <v>1</v>
      </c>
      <c r="D429" s="4">
        <v>1</v>
      </c>
    </row>
    <row r="430" spans="1:4" x14ac:dyDescent="0.3">
      <c r="A430" s="6" t="s">
        <v>1428</v>
      </c>
      <c r="B430" s="4">
        <v>122</v>
      </c>
      <c r="C430" s="4">
        <v>1</v>
      </c>
      <c r="D430" s="4">
        <v>1</v>
      </c>
    </row>
    <row r="431" spans="1:4" x14ac:dyDescent="0.3">
      <c r="A431" s="5" t="s">
        <v>283</v>
      </c>
      <c r="B431" s="4">
        <v>440</v>
      </c>
      <c r="C431" s="4">
        <v>4</v>
      </c>
      <c r="D431" s="4">
        <v>1</v>
      </c>
    </row>
    <row r="432" spans="1:4" x14ac:dyDescent="0.3">
      <c r="A432" s="6" t="s">
        <v>1428</v>
      </c>
      <c r="B432" s="4">
        <v>440</v>
      </c>
      <c r="C432" s="4">
        <v>4</v>
      </c>
      <c r="D432" s="4">
        <v>1</v>
      </c>
    </row>
    <row r="433" spans="1:4" x14ac:dyDescent="0.3">
      <c r="A433" s="5" t="s">
        <v>292</v>
      </c>
      <c r="B433" s="4">
        <v>132</v>
      </c>
      <c r="C433" s="4">
        <v>3</v>
      </c>
      <c r="D433" s="4">
        <v>1</v>
      </c>
    </row>
    <row r="434" spans="1:4" x14ac:dyDescent="0.3">
      <c r="A434" s="6" t="s">
        <v>1428</v>
      </c>
      <c r="B434" s="4">
        <v>132</v>
      </c>
      <c r="C434" s="4">
        <v>3</v>
      </c>
      <c r="D434" s="4">
        <v>1</v>
      </c>
    </row>
    <row r="435" spans="1:4" x14ac:dyDescent="0.3">
      <c r="A435" s="3" t="s">
        <v>439</v>
      </c>
      <c r="B435" s="4">
        <v>103.5</v>
      </c>
      <c r="C435" s="4">
        <v>23</v>
      </c>
      <c r="D435" s="4">
        <v>7</v>
      </c>
    </row>
    <row r="436" spans="1:4" x14ac:dyDescent="0.3">
      <c r="A436" s="5" t="s">
        <v>69</v>
      </c>
      <c r="B436" s="4">
        <v>14</v>
      </c>
      <c r="C436" s="4">
        <v>2</v>
      </c>
      <c r="D436" s="4">
        <v>1</v>
      </c>
    </row>
    <row r="437" spans="1:4" x14ac:dyDescent="0.3">
      <c r="A437" s="6" t="s">
        <v>1429</v>
      </c>
      <c r="B437" s="4">
        <v>14</v>
      </c>
      <c r="C437" s="4">
        <v>2</v>
      </c>
      <c r="D437" s="4">
        <v>1</v>
      </c>
    </row>
    <row r="438" spans="1:4" x14ac:dyDescent="0.3">
      <c r="A438" s="5" t="s">
        <v>85</v>
      </c>
      <c r="B438" s="4">
        <v>177.5</v>
      </c>
      <c r="C438" s="4">
        <v>5</v>
      </c>
      <c r="D438" s="4">
        <v>1</v>
      </c>
    </row>
    <row r="439" spans="1:4" x14ac:dyDescent="0.3">
      <c r="A439" s="6" t="s">
        <v>1429</v>
      </c>
      <c r="B439" s="4">
        <v>177.5</v>
      </c>
      <c r="C439" s="4">
        <v>5</v>
      </c>
      <c r="D439" s="4">
        <v>1</v>
      </c>
    </row>
    <row r="440" spans="1:4" x14ac:dyDescent="0.3">
      <c r="A440" s="5" t="s">
        <v>94</v>
      </c>
      <c r="B440" s="4">
        <v>-137.5</v>
      </c>
      <c r="C440" s="4">
        <v>5</v>
      </c>
      <c r="D440" s="4">
        <v>1</v>
      </c>
    </row>
    <row r="441" spans="1:4" x14ac:dyDescent="0.3">
      <c r="A441" s="6" t="s">
        <v>1429</v>
      </c>
      <c r="B441" s="4">
        <v>-137.5</v>
      </c>
      <c r="C441" s="4">
        <v>5</v>
      </c>
      <c r="D441" s="4">
        <v>1</v>
      </c>
    </row>
    <row r="442" spans="1:4" x14ac:dyDescent="0.3">
      <c r="A442" s="5" t="s">
        <v>166</v>
      </c>
      <c r="B442" s="4">
        <v>-29.5</v>
      </c>
      <c r="C442" s="4">
        <v>1</v>
      </c>
      <c r="D442" s="4">
        <v>1</v>
      </c>
    </row>
    <row r="443" spans="1:4" x14ac:dyDescent="0.3">
      <c r="A443" s="6" t="s">
        <v>1429</v>
      </c>
      <c r="B443" s="4">
        <v>-29.5</v>
      </c>
      <c r="C443" s="4">
        <v>1</v>
      </c>
      <c r="D443" s="4">
        <v>1</v>
      </c>
    </row>
    <row r="444" spans="1:4" x14ac:dyDescent="0.3">
      <c r="A444" s="5" t="s">
        <v>184</v>
      </c>
      <c r="B444" s="4">
        <v>0</v>
      </c>
      <c r="C444" s="4">
        <v>3</v>
      </c>
      <c r="D444" s="4">
        <v>1</v>
      </c>
    </row>
    <row r="445" spans="1:4" x14ac:dyDescent="0.3">
      <c r="A445" s="6" t="s">
        <v>1429</v>
      </c>
      <c r="B445" s="4">
        <v>0</v>
      </c>
      <c r="C445" s="4">
        <v>3</v>
      </c>
      <c r="D445" s="4">
        <v>1</v>
      </c>
    </row>
    <row r="446" spans="1:4" x14ac:dyDescent="0.3">
      <c r="A446" s="5" t="s">
        <v>196</v>
      </c>
      <c r="B446" s="4">
        <v>24</v>
      </c>
      <c r="C446" s="4">
        <v>2</v>
      </c>
      <c r="D446" s="4">
        <v>1</v>
      </c>
    </row>
    <row r="447" spans="1:4" x14ac:dyDescent="0.3">
      <c r="A447" s="6" t="s">
        <v>1429</v>
      </c>
      <c r="B447" s="4">
        <v>24</v>
      </c>
      <c r="C447" s="4">
        <v>2</v>
      </c>
      <c r="D447" s="4">
        <v>1</v>
      </c>
    </row>
    <row r="448" spans="1:4" x14ac:dyDescent="0.3">
      <c r="A448" s="5" t="s">
        <v>202</v>
      </c>
      <c r="B448" s="4">
        <v>55</v>
      </c>
      <c r="C448" s="4">
        <v>5</v>
      </c>
      <c r="D448" s="4">
        <v>1</v>
      </c>
    </row>
    <row r="449" spans="1:4" x14ac:dyDescent="0.3">
      <c r="A449" s="6" t="s">
        <v>1429</v>
      </c>
      <c r="B449" s="4">
        <v>55</v>
      </c>
      <c r="C449" s="4">
        <v>5</v>
      </c>
      <c r="D449" s="4">
        <v>1</v>
      </c>
    </row>
    <row r="450" spans="1:4" x14ac:dyDescent="0.3">
      <c r="A450" s="3" t="s">
        <v>441</v>
      </c>
      <c r="B450" s="4">
        <v>1367</v>
      </c>
      <c r="C450" s="4">
        <v>16</v>
      </c>
      <c r="D450" s="4">
        <v>5</v>
      </c>
    </row>
    <row r="451" spans="1:4" x14ac:dyDescent="0.3">
      <c r="A451" s="5" t="s">
        <v>17</v>
      </c>
      <c r="B451" s="4">
        <v>395</v>
      </c>
      <c r="C451" s="4">
        <v>5</v>
      </c>
      <c r="D451" s="4">
        <v>1</v>
      </c>
    </row>
    <row r="452" spans="1:4" x14ac:dyDescent="0.3">
      <c r="A452" s="6" t="s">
        <v>1428</v>
      </c>
      <c r="B452" s="4">
        <v>395</v>
      </c>
      <c r="C452" s="4">
        <v>5</v>
      </c>
      <c r="D452" s="4">
        <v>1</v>
      </c>
    </row>
    <row r="453" spans="1:4" x14ac:dyDescent="0.3">
      <c r="A453" s="5" t="s">
        <v>69</v>
      </c>
      <c r="B453" s="4">
        <v>286</v>
      </c>
      <c r="C453" s="4">
        <v>2</v>
      </c>
      <c r="D453" s="4">
        <v>1</v>
      </c>
    </row>
    <row r="454" spans="1:4" x14ac:dyDescent="0.3">
      <c r="A454" s="6" t="s">
        <v>1428</v>
      </c>
      <c r="B454" s="4">
        <v>286</v>
      </c>
      <c r="C454" s="4">
        <v>2</v>
      </c>
      <c r="D454" s="4">
        <v>1</v>
      </c>
    </row>
    <row r="455" spans="1:4" x14ac:dyDescent="0.3">
      <c r="A455" s="5" t="s">
        <v>112</v>
      </c>
      <c r="B455" s="4">
        <v>186</v>
      </c>
      <c r="C455" s="4">
        <v>3</v>
      </c>
      <c r="D455" s="4">
        <v>1</v>
      </c>
    </row>
    <row r="456" spans="1:4" x14ac:dyDescent="0.3">
      <c r="A456" s="6" t="s">
        <v>1428</v>
      </c>
      <c r="B456" s="4">
        <v>186</v>
      </c>
      <c r="C456" s="4">
        <v>3</v>
      </c>
      <c r="D456" s="4">
        <v>1</v>
      </c>
    </row>
    <row r="457" spans="1:4" x14ac:dyDescent="0.3">
      <c r="A457" s="5" t="s">
        <v>262</v>
      </c>
      <c r="B457" s="4">
        <v>252</v>
      </c>
      <c r="C457" s="4">
        <v>4</v>
      </c>
      <c r="D457" s="4">
        <v>1</v>
      </c>
    </row>
    <row r="458" spans="1:4" x14ac:dyDescent="0.3">
      <c r="A458" s="6" t="s">
        <v>1428</v>
      </c>
      <c r="B458" s="4">
        <v>252</v>
      </c>
      <c r="C458" s="4">
        <v>4</v>
      </c>
      <c r="D458" s="4">
        <v>1</v>
      </c>
    </row>
    <row r="459" spans="1:4" x14ac:dyDescent="0.3">
      <c r="A459" s="5" t="s">
        <v>295</v>
      </c>
      <c r="B459" s="4">
        <v>248</v>
      </c>
      <c r="C459" s="4">
        <v>2</v>
      </c>
      <c r="D459" s="4">
        <v>1</v>
      </c>
    </row>
    <row r="460" spans="1:4" x14ac:dyDescent="0.3">
      <c r="A460" s="6" t="s">
        <v>1428</v>
      </c>
      <c r="B460" s="4">
        <v>248</v>
      </c>
      <c r="C460" s="4">
        <v>2</v>
      </c>
      <c r="D460" s="4">
        <v>1</v>
      </c>
    </row>
    <row r="461" spans="1:4" x14ac:dyDescent="0.3">
      <c r="A461" s="3" t="s">
        <v>443</v>
      </c>
      <c r="B461" s="4">
        <v>253</v>
      </c>
      <c r="C461" s="4">
        <v>15</v>
      </c>
      <c r="D461" s="4">
        <v>5</v>
      </c>
    </row>
    <row r="462" spans="1:4" x14ac:dyDescent="0.3">
      <c r="A462" s="5" t="s">
        <v>24</v>
      </c>
      <c r="B462" s="4">
        <v>106</v>
      </c>
      <c r="C462" s="4">
        <v>4</v>
      </c>
      <c r="D462" s="4">
        <v>1</v>
      </c>
    </row>
    <row r="463" spans="1:4" x14ac:dyDescent="0.3">
      <c r="A463" s="6" t="s">
        <v>1429</v>
      </c>
      <c r="B463" s="4">
        <v>106</v>
      </c>
      <c r="C463" s="4">
        <v>4</v>
      </c>
      <c r="D463" s="4">
        <v>1</v>
      </c>
    </row>
    <row r="464" spans="1:4" x14ac:dyDescent="0.3">
      <c r="A464" s="5" t="s">
        <v>69</v>
      </c>
      <c r="B464" s="4">
        <v>59</v>
      </c>
      <c r="C464" s="4">
        <v>2</v>
      </c>
      <c r="D464" s="4">
        <v>1</v>
      </c>
    </row>
    <row r="465" spans="1:4" x14ac:dyDescent="0.3">
      <c r="A465" s="6" t="s">
        <v>1429</v>
      </c>
      <c r="B465" s="4">
        <v>59</v>
      </c>
      <c r="C465" s="4">
        <v>2</v>
      </c>
      <c r="D465" s="4">
        <v>1</v>
      </c>
    </row>
    <row r="466" spans="1:4" x14ac:dyDescent="0.3">
      <c r="A466" s="5" t="s">
        <v>109</v>
      </c>
      <c r="B466" s="4">
        <v>21</v>
      </c>
      <c r="C466" s="4">
        <v>2</v>
      </c>
      <c r="D466" s="4">
        <v>1</v>
      </c>
    </row>
    <row r="467" spans="1:4" x14ac:dyDescent="0.3">
      <c r="A467" s="6" t="s">
        <v>1429</v>
      </c>
      <c r="B467" s="4">
        <v>21</v>
      </c>
      <c r="C467" s="4">
        <v>2</v>
      </c>
      <c r="D467" s="4">
        <v>1</v>
      </c>
    </row>
    <row r="468" spans="1:4" x14ac:dyDescent="0.3">
      <c r="A468" s="5" t="s">
        <v>202</v>
      </c>
      <c r="B468" s="4">
        <v>102</v>
      </c>
      <c r="C468" s="4">
        <v>2</v>
      </c>
      <c r="D468" s="4">
        <v>1</v>
      </c>
    </row>
    <row r="469" spans="1:4" x14ac:dyDescent="0.3">
      <c r="A469" s="6" t="s">
        <v>1429</v>
      </c>
      <c r="B469" s="4">
        <v>102</v>
      </c>
      <c r="C469" s="4">
        <v>2</v>
      </c>
      <c r="D469" s="4">
        <v>1</v>
      </c>
    </row>
    <row r="470" spans="1:4" x14ac:dyDescent="0.3">
      <c r="A470" s="5" t="s">
        <v>238</v>
      </c>
      <c r="B470" s="4">
        <v>-35</v>
      </c>
      <c r="C470" s="4">
        <v>5</v>
      </c>
      <c r="D470" s="4">
        <v>1</v>
      </c>
    </row>
    <row r="471" spans="1:4" x14ac:dyDescent="0.3">
      <c r="A471" s="6" t="s">
        <v>1429</v>
      </c>
      <c r="B471" s="4">
        <v>-35</v>
      </c>
      <c r="C471" s="4">
        <v>5</v>
      </c>
      <c r="D471" s="4">
        <v>1</v>
      </c>
    </row>
    <row r="472" spans="1:4" x14ac:dyDescent="0.3">
      <c r="A472" s="3" t="s">
        <v>445</v>
      </c>
      <c r="B472" s="4">
        <v>3565</v>
      </c>
      <c r="C472" s="4">
        <v>28</v>
      </c>
      <c r="D472" s="4">
        <v>7</v>
      </c>
    </row>
    <row r="473" spans="1:4" x14ac:dyDescent="0.3">
      <c r="A473" s="5" t="s">
        <v>79</v>
      </c>
      <c r="B473" s="4">
        <v>655</v>
      </c>
      <c r="C473" s="4">
        <v>5</v>
      </c>
      <c r="D473" s="4">
        <v>1</v>
      </c>
    </row>
    <row r="474" spans="1:4" x14ac:dyDescent="0.3">
      <c r="A474" s="6" t="s">
        <v>1428</v>
      </c>
      <c r="B474" s="4">
        <v>655</v>
      </c>
      <c r="C474" s="4">
        <v>5</v>
      </c>
      <c r="D474" s="4">
        <v>1</v>
      </c>
    </row>
    <row r="475" spans="1:4" x14ac:dyDescent="0.3">
      <c r="A475" s="5" t="s">
        <v>88</v>
      </c>
      <c r="B475" s="4">
        <v>576</v>
      </c>
      <c r="C475" s="4">
        <v>3</v>
      </c>
      <c r="D475" s="4">
        <v>1</v>
      </c>
    </row>
    <row r="476" spans="1:4" x14ac:dyDescent="0.3">
      <c r="A476" s="6" t="s">
        <v>1428</v>
      </c>
      <c r="B476" s="4">
        <v>576</v>
      </c>
      <c r="C476" s="4">
        <v>3</v>
      </c>
      <c r="D476" s="4">
        <v>1</v>
      </c>
    </row>
    <row r="477" spans="1:4" x14ac:dyDescent="0.3">
      <c r="A477" s="5" t="s">
        <v>103</v>
      </c>
      <c r="B477" s="4">
        <v>870</v>
      </c>
      <c r="C477" s="4">
        <v>5</v>
      </c>
      <c r="D477" s="4">
        <v>1</v>
      </c>
    </row>
    <row r="478" spans="1:4" x14ac:dyDescent="0.3">
      <c r="A478" s="6" t="s">
        <v>1428</v>
      </c>
      <c r="B478" s="4">
        <v>870</v>
      </c>
      <c r="C478" s="4">
        <v>5</v>
      </c>
      <c r="D478" s="4">
        <v>1</v>
      </c>
    </row>
    <row r="479" spans="1:4" x14ac:dyDescent="0.3">
      <c r="A479" s="5" t="s">
        <v>118</v>
      </c>
      <c r="B479" s="4">
        <v>548</v>
      </c>
      <c r="C479" s="4">
        <v>4</v>
      </c>
      <c r="D479" s="4">
        <v>1</v>
      </c>
    </row>
    <row r="480" spans="1:4" x14ac:dyDescent="0.3">
      <c r="A480" s="6" t="s">
        <v>1428</v>
      </c>
      <c r="B480" s="4">
        <v>548</v>
      </c>
      <c r="C480" s="4">
        <v>4</v>
      </c>
      <c r="D480" s="4">
        <v>1</v>
      </c>
    </row>
    <row r="481" spans="1:4" x14ac:dyDescent="0.3">
      <c r="A481" s="5" t="s">
        <v>145</v>
      </c>
      <c r="B481" s="4">
        <v>280</v>
      </c>
      <c r="C481" s="4">
        <v>5</v>
      </c>
      <c r="D481" s="4">
        <v>1</v>
      </c>
    </row>
    <row r="482" spans="1:4" x14ac:dyDescent="0.3">
      <c r="A482" s="6" t="s">
        <v>1428</v>
      </c>
      <c r="B482" s="4">
        <v>280</v>
      </c>
      <c r="C482" s="4">
        <v>5</v>
      </c>
      <c r="D482" s="4">
        <v>1</v>
      </c>
    </row>
    <row r="483" spans="1:4" x14ac:dyDescent="0.3">
      <c r="A483" s="5" t="s">
        <v>301</v>
      </c>
      <c r="B483" s="4">
        <v>380</v>
      </c>
      <c r="C483" s="4">
        <v>2</v>
      </c>
      <c r="D483" s="4">
        <v>1</v>
      </c>
    </row>
    <row r="484" spans="1:4" x14ac:dyDescent="0.3">
      <c r="A484" s="6" t="s">
        <v>1428</v>
      </c>
      <c r="B484" s="4">
        <v>380</v>
      </c>
      <c r="C484" s="4">
        <v>2</v>
      </c>
      <c r="D484" s="4">
        <v>1</v>
      </c>
    </row>
    <row r="485" spans="1:4" x14ac:dyDescent="0.3">
      <c r="A485" s="5" t="s">
        <v>310</v>
      </c>
      <c r="B485" s="4">
        <v>256</v>
      </c>
      <c r="C485" s="4">
        <v>4</v>
      </c>
      <c r="D485" s="4">
        <v>1</v>
      </c>
    </row>
    <row r="486" spans="1:4" x14ac:dyDescent="0.3">
      <c r="A486" s="6" t="s">
        <v>1428</v>
      </c>
      <c r="B486" s="4">
        <v>256</v>
      </c>
      <c r="C486" s="4">
        <v>4</v>
      </c>
      <c r="D486" s="4">
        <v>1</v>
      </c>
    </row>
    <row r="487" spans="1:4" x14ac:dyDescent="0.3">
      <c r="A487" s="3" t="s">
        <v>447</v>
      </c>
      <c r="B487" s="4">
        <v>170</v>
      </c>
      <c r="C487" s="4">
        <v>9</v>
      </c>
      <c r="D487" s="4">
        <v>4</v>
      </c>
    </row>
    <row r="488" spans="1:4" x14ac:dyDescent="0.3">
      <c r="A488" s="5" t="s">
        <v>30</v>
      </c>
      <c r="B488" s="4">
        <v>42</v>
      </c>
      <c r="C488" s="4">
        <v>1</v>
      </c>
      <c r="D488" s="4">
        <v>1</v>
      </c>
    </row>
    <row r="489" spans="1:4" x14ac:dyDescent="0.3">
      <c r="A489" s="6" t="s">
        <v>1429</v>
      </c>
      <c r="B489" s="4">
        <v>42</v>
      </c>
      <c r="C489" s="4">
        <v>1</v>
      </c>
      <c r="D489" s="4">
        <v>1</v>
      </c>
    </row>
    <row r="490" spans="1:4" x14ac:dyDescent="0.3">
      <c r="A490" s="5" t="s">
        <v>136</v>
      </c>
      <c r="B490" s="4">
        <v>108.5</v>
      </c>
      <c r="C490" s="4">
        <v>5</v>
      </c>
      <c r="D490" s="4">
        <v>2</v>
      </c>
    </row>
    <row r="491" spans="1:4" x14ac:dyDescent="0.3">
      <c r="A491" s="6" t="s">
        <v>1429</v>
      </c>
      <c r="B491" s="4">
        <v>108.5</v>
      </c>
      <c r="C491" s="4">
        <v>5</v>
      </c>
      <c r="D491" s="4">
        <v>2</v>
      </c>
    </row>
    <row r="492" spans="1:4" x14ac:dyDescent="0.3">
      <c r="A492" s="5" t="s">
        <v>205</v>
      </c>
      <c r="B492" s="4">
        <v>19.5</v>
      </c>
      <c r="C492" s="4">
        <v>3</v>
      </c>
      <c r="D492" s="4">
        <v>1</v>
      </c>
    </row>
    <row r="493" spans="1:4" x14ac:dyDescent="0.3">
      <c r="A493" s="6" t="s">
        <v>1429</v>
      </c>
      <c r="B493" s="4">
        <v>19.5</v>
      </c>
      <c r="C493" s="4">
        <v>3</v>
      </c>
      <c r="D493" s="4">
        <v>1</v>
      </c>
    </row>
    <row r="494" spans="1:4" x14ac:dyDescent="0.3">
      <c r="A494" s="3" t="s">
        <v>449</v>
      </c>
      <c r="B494" s="4">
        <v>34</v>
      </c>
      <c r="C494" s="4">
        <v>2</v>
      </c>
      <c r="D494" s="4">
        <v>1</v>
      </c>
    </row>
    <row r="495" spans="1:4" x14ac:dyDescent="0.3">
      <c r="A495" s="5" t="s">
        <v>250</v>
      </c>
      <c r="B495" s="4">
        <v>34</v>
      </c>
      <c r="C495" s="4">
        <v>2</v>
      </c>
      <c r="D495" s="4">
        <v>1</v>
      </c>
    </row>
    <row r="496" spans="1:4" x14ac:dyDescent="0.3">
      <c r="A496" s="6" t="s">
        <v>1429</v>
      </c>
      <c r="B496" s="4">
        <v>34</v>
      </c>
      <c r="C496" s="4">
        <v>2</v>
      </c>
      <c r="D496" s="4">
        <v>1</v>
      </c>
    </row>
    <row r="497" spans="1:4" x14ac:dyDescent="0.3">
      <c r="A497" s="3" t="s">
        <v>451</v>
      </c>
      <c r="B497" s="4">
        <v>1240</v>
      </c>
      <c r="C497" s="4">
        <v>14</v>
      </c>
      <c r="D497" s="4">
        <v>5</v>
      </c>
    </row>
    <row r="498" spans="1:4" x14ac:dyDescent="0.3">
      <c r="A498" s="5" t="s">
        <v>5</v>
      </c>
      <c r="B498" s="4">
        <v>203</v>
      </c>
      <c r="C498" s="4">
        <v>1</v>
      </c>
      <c r="D498" s="4">
        <v>1</v>
      </c>
    </row>
    <row r="499" spans="1:4" x14ac:dyDescent="0.3">
      <c r="A499" s="6" t="s">
        <v>1428</v>
      </c>
      <c r="B499" s="4">
        <v>203</v>
      </c>
      <c r="C499" s="4">
        <v>1</v>
      </c>
      <c r="D499" s="4">
        <v>1</v>
      </c>
    </row>
    <row r="500" spans="1:4" x14ac:dyDescent="0.3">
      <c r="A500" s="5" t="s">
        <v>166</v>
      </c>
      <c r="B500" s="4">
        <v>138</v>
      </c>
      <c r="C500" s="4">
        <v>2</v>
      </c>
      <c r="D500" s="4">
        <v>1</v>
      </c>
    </row>
    <row r="501" spans="1:4" x14ac:dyDescent="0.3">
      <c r="A501" s="6" t="s">
        <v>1428</v>
      </c>
      <c r="B501" s="4">
        <v>138</v>
      </c>
      <c r="C501" s="4">
        <v>2</v>
      </c>
      <c r="D501" s="4">
        <v>1</v>
      </c>
    </row>
    <row r="502" spans="1:4" x14ac:dyDescent="0.3">
      <c r="A502" s="5" t="s">
        <v>181</v>
      </c>
      <c r="B502" s="4">
        <v>88</v>
      </c>
      <c r="C502" s="4">
        <v>2</v>
      </c>
      <c r="D502" s="4">
        <v>1</v>
      </c>
    </row>
    <row r="503" spans="1:4" x14ac:dyDescent="0.3">
      <c r="A503" s="6" t="s">
        <v>1428</v>
      </c>
      <c r="B503" s="4">
        <v>88</v>
      </c>
      <c r="C503" s="4">
        <v>2</v>
      </c>
      <c r="D503" s="4">
        <v>1</v>
      </c>
    </row>
    <row r="504" spans="1:4" x14ac:dyDescent="0.3">
      <c r="A504" s="5" t="s">
        <v>187</v>
      </c>
      <c r="B504" s="4">
        <v>556</v>
      </c>
      <c r="C504" s="4">
        <v>4</v>
      </c>
      <c r="D504" s="4">
        <v>1</v>
      </c>
    </row>
    <row r="505" spans="1:4" x14ac:dyDescent="0.3">
      <c r="A505" s="6" t="s">
        <v>1428</v>
      </c>
      <c r="B505" s="4">
        <v>556</v>
      </c>
      <c r="C505" s="4">
        <v>4</v>
      </c>
      <c r="D505" s="4">
        <v>1</v>
      </c>
    </row>
    <row r="506" spans="1:4" x14ac:dyDescent="0.3">
      <c r="A506" s="5" t="s">
        <v>226</v>
      </c>
      <c r="B506" s="4">
        <v>255</v>
      </c>
      <c r="C506" s="4">
        <v>5</v>
      </c>
      <c r="D506" s="4">
        <v>1</v>
      </c>
    </row>
    <row r="507" spans="1:4" x14ac:dyDescent="0.3">
      <c r="A507" s="6" t="s">
        <v>1428</v>
      </c>
      <c r="B507" s="4">
        <v>255</v>
      </c>
      <c r="C507" s="4">
        <v>5</v>
      </c>
      <c r="D507" s="4">
        <v>1</v>
      </c>
    </row>
    <row r="508" spans="1:4" x14ac:dyDescent="0.3">
      <c r="A508" s="3" t="s">
        <v>453</v>
      </c>
      <c r="B508" s="4">
        <v>342.5</v>
      </c>
      <c r="C508" s="4">
        <v>10</v>
      </c>
      <c r="D508" s="4">
        <v>3</v>
      </c>
    </row>
    <row r="509" spans="1:4" x14ac:dyDescent="0.3">
      <c r="A509" s="5" t="s">
        <v>277</v>
      </c>
      <c r="B509" s="4">
        <v>340</v>
      </c>
      <c r="C509" s="4">
        <v>5</v>
      </c>
      <c r="D509" s="4">
        <v>1</v>
      </c>
    </row>
    <row r="510" spans="1:4" x14ac:dyDescent="0.3">
      <c r="A510" s="6" t="s">
        <v>1429</v>
      </c>
      <c r="B510" s="4">
        <v>340</v>
      </c>
      <c r="C510" s="4">
        <v>5</v>
      </c>
      <c r="D510" s="4">
        <v>1</v>
      </c>
    </row>
    <row r="511" spans="1:4" x14ac:dyDescent="0.3">
      <c r="A511" s="5" t="s">
        <v>301</v>
      </c>
      <c r="B511" s="4">
        <v>14</v>
      </c>
      <c r="C511" s="4">
        <v>4</v>
      </c>
      <c r="D511" s="4">
        <v>1</v>
      </c>
    </row>
    <row r="512" spans="1:4" x14ac:dyDescent="0.3">
      <c r="A512" s="6" t="s">
        <v>1429</v>
      </c>
      <c r="B512" s="4">
        <v>14</v>
      </c>
      <c r="C512" s="4">
        <v>4</v>
      </c>
      <c r="D512" s="4">
        <v>1</v>
      </c>
    </row>
    <row r="513" spans="1:4" x14ac:dyDescent="0.3">
      <c r="A513" s="5" t="s">
        <v>304</v>
      </c>
      <c r="B513" s="4">
        <v>-11.5</v>
      </c>
      <c r="C513" s="4">
        <v>1</v>
      </c>
      <c r="D513" s="4">
        <v>1</v>
      </c>
    </row>
    <row r="514" spans="1:4" x14ac:dyDescent="0.3">
      <c r="A514" s="6" t="s">
        <v>1429</v>
      </c>
      <c r="B514" s="4">
        <v>-11.5</v>
      </c>
      <c r="C514" s="4">
        <v>1</v>
      </c>
      <c r="D514" s="4">
        <v>1</v>
      </c>
    </row>
    <row r="515" spans="1:4" x14ac:dyDescent="0.3">
      <c r="A515" s="3" t="s">
        <v>455</v>
      </c>
      <c r="B515" s="4">
        <v>316.5</v>
      </c>
      <c r="C515" s="4">
        <v>17</v>
      </c>
      <c r="D515" s="4">
        <v>5</v>
      </c>
    </row>
    <row r="516" spans="1:4" x14ac:dyDescent="0.3">
      <c r="A516" s="5" t="s">
        <v>57</v>
      </c>
      <c r="B516" s="4">
        <v>205</v>
      </c>
      <c r="C516" s="4">
        <v>5</v>
      </c>
      <c r="D516" s="4">
        <v>1</v>
      </c>
    </row>
    <row r="517" spans="1:4" x14ac:dyDescent="0.3">
      <c r="A517" s="6" t="s">
        <v>1429</v>
      </c>
      <c r="B517" s="4">
        <v>205</v>
      </c>
      <c r="C517" s="4">
        <v>5</v>
      </c>
      <c r="D517" s="4">
        <v>1</v>
      </c>
    </row>
    <row r="518" spans="1:4" x14ac:dyDescent="0.3">
      <c r="A518" s="5" t="s">
        <v>63</v>
      </c>
      <c r="B518" s="4">
        <v>104</v>
      </c>
      <c r="C518" s="4">
        <v>2</v>
      </c>
      <c r="D518" s="4">
        <v>1</v>
      </c>
    </row>
    <row r="519" spans="1:4" x14ac:dyDescent="0.3">
      <c r="A519" s="6" t="s">
        <v>1429</v>
      </c>
      <c r="B519" s="4">
        <v>104</v>
      </c>
      <c r="C519" s="4">
        <v>2</v>
      </c>
      <c r="D519" s="4">
        <v>1</v>
      </c>
    </row>
    <row r="520" spans="1:4" x14ac:dyDescent="0.3">
      <c r="A520" s="5" t="s">
        <v>211</v>
      </c>
      <c r="B520" s="4">
        <v>-70.5</v>
      </c>
      <c r="C520" s="4">
        <v>3</v>
      </c>
      <c r="D520" s="4">
        <v>1</v>
      </c>
    </row>
    <row r="521" spans="1:4" x14ac:dyDescent="0.3">
      <c r="A521" s="6" t="s">
        <v>1429</v>
      </c>
      <c r="B521" s="4">
        <v>-70.5</v>
      </c>
      <c r="C521" s="4">
        <v>3</v>
      </c>
      <c r="D521" s="4">
        <v>1</v>
      </c>
    </row>
    <row r="522" spans="1:4" x14ac:dyDescent="0.3">
      <c r="A522" s="5" t="s">
        <v>247</v>
      </c>
      <c r="B522" s="4">
        <v>88</v>
      </c>
      <c r="C522" s="4">
        <v>2</v>
      </c>
      <c r="D522" s="4">
        <v>1</v>
      </c>
    </row>
    <row r="523" spans="1:4" x14ac:dyDescent="0.3">
      <c r="A523" s="6" t="s">
        <v>1429</v>
      </c>
      <c r="B523" s="4">
        <v>88</v>
      </c>
      <c r="C523" s="4">
        <v>2</v>
      </c>
      <c r="D523" s="4">
        <v>1</v>
      </c>
    </row>
    <row r="524" spans="1:4" x14ac:dyDescent="0.3">
      <c r="A524" s="5" t="s">
        <v>298</v>
      </c>
      <c r="B524" s="4">
        <v>-10</v>
      </c>
      <c r="C524" s="4">
        <v>5</v>
      </c>
      <c r="D524" s="4">
        <v>1</v>
      </c>
    </row>
    <row r="525" spans="1:4" x14ac:dyDescent="0.3">
      <c r="A525" s="6" t="s">
        <v>1429</v>
      </c>
      <c r="B525" s="4">
        <v>-10</v>
      </c>
      <c r="C525" s="4">
        <v>5</v>
      </c>
      <c r="D525" s="4">
        <v>1</v>
      </c>
    </row>
    <row r="526" spans="1:4" x14ac:dyDescent="0.3">
      <c r="A526" s="3" t="s">
        <v>457</v>
      </c>
      <c r="B526" s="4">
        <v>353</v>
      </c>
      <c r="C526" s="4">
        <v>21</v>
      </c>
      <c r="D526" s="4">
        <v>7</v>
      </c>
    </row>
    <row r="527" spans="1:4" x14ac:dyDescent="0.3">
      <c r="A527" s="5" t="s">
        <v>37</v>
      </c>
      <c r="B527" s="4">
        <v>53</v>
      </c>
      <c r="C527" s="4">
        <v>2</v>
      </c>
      <c r="D527" s="4">
        <v>1</v>
      </c>
    </row>
    <row r="528" spans="1:4" x14ac:dyDescent="0.3">
      <c r="A528" s="6" t="s">
        <v>1429</v>
      </c>
      <c r="B528" s="4">
        <v>53</v>
      </c>
      <c r="C528" s="4">
        <v>2</v>
      </c>
      <c r="D528" s="4">
        <v>1</v>
      </c>
    </row>
    <row r="529" spans="1:4" x14ac:dyDescent="0.3">
      <c r="A529" s="5" t="s">
        <v>79</v>
      </c>
      <c r="B529" s="4">
        <v>102.5</v>
      </c>
      <c r="C529" s="4">
        <v>5</v>
      </c>
      <c r="D529" s="4">
        <v>1</v>
      </c>
    </row>
    <row r="530" spans="1:4" x14ac:dyDescent="0.3">
      <c r="A530" s="6" t="s">
        <v>1429</v>
      </c>
      <c r="B530" s="4">
        <v>102.5</v>
      </c>
      <c r="C530" s="4">
        <v>5</v>
      </c>
      <c r="D530" s="4">
        <v>1</v>
      </c>
    </row>
    <row r="531" spans="1:4" x14ac:dyDescent="0.3">
      <c r="A531" s="5" t="s">
        <v>187</v>
      </c>
      <c r="B531" s="4">
        <v>-4.5</v>
      </c>
      <c r="C531" s="4">
        <v>3</v>
      </c>
      <c r="D531" s="4">
        <v>1</v>
      </c>
    </row>
    <row r="532" spans="1:4" x14ac:dyDescent="0.3">
      <c r="A532" s="6" t="s">
        <v>1429</v>
      </c>
      <c r="B532" s="4">
        <v>-4.5</v>
      </c>
      <c r="C532" s="4">
        <v>3</v>
      </c>
      <c r="D532" s="4">
        <v>1</v>
      </c>
    </row>
    <row r="533" spans="1:4" x14ac:dyDescent="0.3">
      <c r="A533" s="5" t="s">
        <v>232</v>
      </c>
      <c r="B533" s="4">
        <v>39</v>
      </c>
      <c r="C533" s="4">
        <v>2</v>
      </c>
      <c r="D533" s="4">
        <v>1</v>
      </c>
    </row>
    <row r="534" spans="1:4" x14ac:dyDescent="0.3">
      <c r="A534" s="6" t="s">
        <v>1429</v>
      </c>
      <c r="B534" s="4">
        <v>39</v>
      </c>
      <c r="C534" s="4">
        <v>2</v>
      </c>
      <c r="D534" s="4">
        <v>1</v>
      </c>
    </row>
    <row r="535" spans="1:4" x14ac:dyDescent="0.3">
      <c r="A535" s="5" t="s">
        <v>235</v>
      </c>
      <c r="B535" s="4">
        <v>-3</v>
      </c>
      <c r="C535" s="4">
        <v>1</v>
      </c>
      <c r="D535" s="4">
        <v>1</v>
      </c>
    </row>
    <row r="536" spans="1:4" x14ac:dyDescent="0.3">
      <c r="A536" s="6" t="s">
        <v>1429</v>
      </c>
      <c r="B536" s="4">
        <v>-3</v>
      </c>
      <c r="C536" s="4">
        <v>1</v>
      </c>
      <c r="D536" s="4">
        <v>1</v>
      </c>
    </row>
    <row r="537" spans="1:4" x14ac:dyDescent="0.3">
      <c r="A537" s="5" t="s">
        <v>250</v>
      </c>
      <c r="B537" s="4">
        <v>120</v>
      </c>
      <c r="C537" s="4">
        <v>4</v>
      </c>
      <c r="D537" s="4">
        <v>1</v>
      </c>
    </row>
    <row r="538" spans="1:4" x14ac:dyDescent="0.3">
      <c r="A538" s="6" t="s">
        <v>1429</v>
      </c>
      <c r="B538" s="4">
        <v>120</v>
      </c>
      <c r="C538" s="4">
        <v>4</v>
      </c>
      <c r="D538" s="4">
        <v>1</v>
      </c>
    </row>
    <row r="539" spans="1:4" x14ac:dyDescent="0.3">
      <c r="A539" s="5" t="s">
        <v>295</v>
      </c>
      <c r="B539" s="4">
        <v>46</v>
      </c>
      <c r="C539" s="4">
        <v>4</v>
      </c>
      <c r="D539" s="4">
        <v>1</v>
      </c>
    </row>
    <row r="540" spans="1:4" x14ac:dyDescent="0.3">
      <c r="A540" s="6" t="s">
        <v>1429</v>
      </c>
      <c r="B540" s="4">
        <v>46</v>
      </c>
      <c r="C540" s="4">
        <v>4</v>
      </c>
      <c r="D540" s="4">
        <v>1</v>
      </c>
    </row>
    <row r="541" spans="1:4" x14ac:dyDescent="0.3">
      <c r="A541" s="3" t="s">
        <v>459</v>
      </c>
      <c r="B541" s="4">
        <v>1293</v>
      </c>
      <c r="C541" s="4">
        <v>11</v>
      </c>
      <c r="D541" s="4">
        <v>3</v>
      </c>
    </row>
    <row r="542" spans="1:4" x14ac:dyDescent="0.3">
      <c r="A542" s="5" t="s">
        <v>214</v>
      </c>
      <c r="B542" s="4">
        <v>477</v>
      </c>
      <c r="C542" s="4">
        <v>3</v>
      </c>
      <c r="D542" s="4">
        <v>1</v>
      </c>
    </row>
    <row r="543" spans="1:4" x14ac:dyDescent="0.3">
      <c r="A543" s="6" t="s">
        <v>1428</v>
      </c>
      <c r="B543" s="4">
        <v>477</v>
      </c>
      <c r="C543" s="4">
        <v>3</v>
      </c>
      <c r="D543" s="4">
        <v>1</v>
      </c>
    </row>
    <row r="544" spans="1:4" x14ac:dyDescent="0.3">
      <c r="A544" s="5" t="s">
        <v>217</v>
      </c>
      <c r="B544" s="4">
        <v>495</v>
      </c>
      <c r="C544" s="4">
        <v>5</v>
      </c>
      <c r="D544" s="4">
        <v>1</v>
      </c>
    </row>
    <row r="545" spans="1:4" x14ac:dyDescent="0.3">
      <c r="A545" s="6" t="s">
        <v>1428</v>
      </c>
      <c r="B545" s="4">
        <v>495</v>
      </c>
      <c r="C545" s="4">
        <v>5</v>
      </c>
      <c r="D545" s="4">
        <v>1</v>
      </c>
    </row>
    <row r="546" spans="1:4" x14ac:dyDescent="0.3">
      <c r="A546" s="5" t="s">
        <v>307</v>
      </c>
      <c r="B546" s="4">
        <v>321</v>
      </c>
      <c r="C546" s="4">
        <v>3</v>
      </c>
      <c r="D546" s="4">
        <v>1</v>
      </c>
    </row>
    <row r="547" spans="1:4" x14ac:dyDescent="0.3">
      <c r="A547" s="6" t="s">
        <v>1428</v>
      </c>
      <c r="B547" s="4">
        <v>321</v>
      </c>
      <c r="C547" s="4">
        <v>3</v>
      </c>
      <c r="D547" s="4">
        <v>1</v>
      </c>
    </row>
    <row r="548" spans="1:4" x14ac:dyDescent="0.3">
      <c r="A548" s="3" t="s">
        <v>461</v>
      </c>
      <c r="B548" s="4">
        <v>-96</v>
      </c>
      <c r="C548" s="4">
        <v>12</v>
      </c>
      <c r="D548" s="4">
        <v>3</v>
      </c>
    </row>
    <row r="549" spans="1:4" x14ac:dyDescent="0.3">
      <c r="A549" s="5" t="s">
        <v>106</v>
      </c>
      <c r="B549" s="4">
        <v>-102</v>
      </c>
      <c r="C549" s="4">
        <v>3</v>
      </c>
      <c r="D549" s="4">
        <v>1</v>
      </c>
    </row>
    <row r="550" spans="1:4" x14ac:dyDescent="0.3">
      <c r="A550" s="6" t="s">
        <v>1429</v>
      </c>
      <c r="B550" s="4">
        <v>-102</v>
      </c>
      <c r="C550" s="4">
        <v>3</v>
      </c>
      <c r="D550" s="4">
        <v>1</v>
      </c>
    </row>
    <row r="551" spans="1:4" x14ac:dyDescent="0.3">
      <c r="A551" s="5" t="s">
        <v>190</v>
      </c>
      <c r="B551" s="4">
        <v>-30</v>
      </c>
      <c r="C551" s="4">
        <v>5</v>
      </c>
      <c r="D551" s="4">
        <v>1</v>
      </c>
    </row>
    <row r="552" spans="1:4" x14ac:dyDescent="0.3">
      <c r="A552" s="6" t="s">
        <v>1429</v>
      </c>
      <c r="B552" s="4">
        <v>-30</v>
      </c>
      <c r="C552" s="4">
        <v>5</v>
      </c>
      <c r="D552" s="4">
        <v>1</v>
      </c>
    </row>
    <row r="553" spans="1:4" x14ac:dyDescent="0.3">
      <c r="A553" s="5" t="s">
        <v>262</v>
      </c>
      <c r="B553" s="4">
        <v>36</v>
      </c>
      <c r="C553" s="4">
        <v>4</v>
      </c>
      <c r="D553" s="4">
        <v>1</v>
      </c>
    </row>
    <row r="554" spans="1:4" x14ac:dyDescent="0.3">
      <c r="A554" s="6" t="s">
        <v>1429</v>
      </c>
      <c r="B554" s="4">
        <v>36</v>
      </c>
      <c r="C554" s="4">
        <v>4</v>
      </c>
      <c r="D554" s="4">
        <v>1</v>
      </c>
    </row>
    <row r="555" spans="1:4" x14ac:dyDescent="0.3">
      <c r="A555" s="3" t="s">
        <v>463</v>
      </c>
      <c r="B555" s="4">
        <v>933</v>
      </c>
      <c r="C555" s="4">
        <v>12</v>
      </c>
      <c r="D555" s="4">
        <v>3</v>
      </c>
    </row>
    <row r="556" spans="1:4" x14ac:dyDescent="0.3">
      <c r="A556" s="5" t="s">
        <v>226</v>
      </c>
      <c r="B556" s="4">
        <v>380</v>
      </c>
      <c r="C556" s="4">
        <v>5</v>
      </c>
      <c r="D556" s="4">
        <v>1</v>
      </c>
    </row>
    <row r="557" spans="1:4" x14ac:dyDescent="0.3">
      <c r="A557" s="6" t="s">
        <v>1428</v>
      </c>
      <c r="B557" s="4">
        <v>380</v>
      </c>
      <c r="C557" s="4">
        <v>5</v>
      </c>
      <c r="D557" s="4">
        <v>1</v>
      </c>
    </row>
    <row r="558" spans="1:4" x14ac:dyDescent="0.3">
      <c r="A558" s="5" t="s">
        <v>289</v>
      </c>
      <c r="B558" s="4">
        <v>189</v>
      </c>
      <c r="C558" s="4">
        <v>3</v>
      </c>
      <c r="D558" s="4">
        <v>1</v>
      </c>
    </row>
    <row r="559" spans="1:4" x14ac:dyDescent="0.3">
      <c r="A559" s="6" t="s">
        <v>1428</v>
      </c>
      <c r="B559" s="4">
        <v>189</v>
      </c>
      <c r="C559" s="4">
        <v>3</v>
      </c>
      <c r="D559" s="4">
        <v>1</v>
      </c>
    </row>
    <row r="560" spans="1:4" x14ac:dyDescent="0.3">
      <c r="A560" s="5" t="s">
        <v>298</v>
      </c>
      <c r="B560" s="4">
        <v>364</v>
      </c>
      <c r="C560" s="4">
        <v>4</v>
      </c>
      <c r="D560" s="4">
        <v>1</v>
      </c>
    </row>
    <row r="561" spans="1:4" x14ac:dyDescent="0.3">
      <c r="A561" s="6" t="s">
        <v>1428</v>
      </c>
      <c r="B561" s="4">
        <v>364</v>
      </c>
      <c r="C561" s="4">
        <v>4</v>
      </c>
      <c r="D561" s="4">
        <v>1</v>
      </c>
    </row>
    <row r="562" spans="1:4" x14ac:dyDescent="0.3">
      <c r="A562" s="3" t="s">
        <v>465</v>
      </c>
      <c r="B562" s="4">
        <v>3</v>
      </c>
      <c r="C562" s="4">
        <v>2</v>
      </c>
      <c r="D562" s="4">
        <v>1</v>
      </c>
    </row>
    <row r="563" spans="1:4" x14ac:dyDescent="0.3">
      <c r="A563" s="5" t="s">
        <v>202</v>
      </c>
      <c r="B563" s="4">
        <v>3</v>
      </c>
      <c r="C563" s="4">
        <v>2</v>
      </c>
      <c r="D563" s="4">
        <v>1</v>
      </c>
    </row>
    <row r="564" spans="1:4" x14ac:dyDescent="0.3">
      <c r="A564" s="6" t="s">
        <v>1429</v>
      </c>
      <c r="B564" s="4">
        <v>3</v>
      </c>
      <c r="C564" s="4">
        <v>2</v>
      </c>
      <c r="D564" s="4">
        <v>1</v>
      </c>
    </row>
    <row r="565" spans="1:4" x14ac:dyDescent="0.3">
      <c r="A565" s="3" t="s">
        <v>467</v>
      </c>
      <c r="B565" s="4">
        <v>377</v>
      </c>
      <c r="C565" s="4">
        <v>15</v>
      </c>
      <c r="D565" s="4">
        <v>6</v>
      </c>
    </row>
    <row r="566" spans="1:4" x14ac:dyDescent="0.3">
      <c r="A566" s="5" t="s">
        <v>13</v>
      </c>
      <c r="B566" s="4">
        <v>106.5</v>
      </c>
      <c r="C566" s="4">
        <v>3</v>
      </c>
      <c r="D566" s="4">
        <v>1</v>
      </c>
    </row>
    <row r="567" spans="1:4" x14ac:dyDescent="0.3">
      <c r="A567" s="6" t="s">
        <v>1429</v>
      </c>
      <c r="B567" s="4">
        <v>106.5</v>
      </c>
      <c r="C567" s="4">
        <v>3</v>
      </c>
      <c r="D567" s="4">
        <v>1</v>
      </c>
    </row>
    <row r="568" spans="1:4" x14ac:dyDescent="0.3">
      <c r="A568" s="5" t="s">
        <v>20</v>
      </c>
      <c r="B568" s="4">
        <v>4</v>
      </c>
      <c r="C568" s="4">
        <v>2</v>
      </c>
      <c r="D568" s="4">
        <v>1</v>
      </c>
    </row>
    <row r="569" spans="1:4" x14ac:dyDescent="0.3">
      <c r="A569" s="6" t="s">
        <v>1429</v>
      </c>
      <c r="B569" s="4">
        <v>4</v>
      </c>
      <c r="C569" s="4">
        <v>2</v>
      </c>
      <c r="D569" s="4">
        <v>1</v>
      </c>
    </row>
    <row r="570" spans="1:4" x14ac:dyDescent="0.3">
      <c r="A570" s="5" t="s">
        <v>40</v>
      </c>
      <c r="B570" s="4">
        <v>96</v>
      </c>
      <c r="C570" s="4">
        <v>4</v>
      </c>
      <c r="D570" s="4">
        <v>1</v>
      </c>
    </row>
    <row r="571" spans="1:4" x14ac:dyDescent="0.3">
      <c r="A571" s="6" t="s">
        <v>1429</v>
      </c>
      <c r="B571" s="4">
        <v>96</v>
      </c>
      <c r="C571" s="4">
        <v>4</v>
      </c>
      <c r="D571" s="4">
        <v>1</v>
      </c>
    </row>
    <row r="572" spans="1:4" x14ac:dyDescent="0.3">
      <c r="A572" s="5" t="s">
        <v>106</v>
      </c>
      <c r="B572" s="4">
        <v>46</v>
      </c>
      <c r="C572" s="4">
        <v>2</v>
      </c>
      <c r="D572" s="4">
        <v>1</v>
      </c>
    </row>
    <row r="573" spans="1:4" x14ac:dyDescent="0.3">
      <c r="A573" s="6" t="s">
        <v>1429</v>
      </c>
      <c r="B573" s="4">
        <v>46</v>
      </c>
      <c r="C573" s="4">
        <v>2</v>
      </c>
      <c r="D573" s="4">
        <v>1</v>
      </c>
    </row>
    <row r="574" spans="1:4" x14ac:dyDescent="0.3">
      <c r="A574" s="5" t="s">
        <v>220</v>
      </c>
      <c r="B574" s="4">
        <v>153</v>
      </c>
      <c r="C574" s="4">
        <v>3</v>
      </c>
      <c r="D574" s="4">
        <v>1</v>
      </c>
    </row>
    <row r="575" spans="1:4" x14ac:dyDescent="0.3">
      <c r="A575" s="6" t="s">
        <v>1429</v>
      </c>
      <c r="B575" s="4">
        <v>153</v>
      </c>
      <c r="C575" s="4">
        <v>3</v>
      </c>
      <c r="D575" s="4">
        <v>1</v>
      </c>
    </row>
    <row r="576" spans="1:4" x14ac:dyDescent="0.3">
      <c r="A576" s="5" t="s">
        <v>253</v>
      </c>
      <c r="B576" s="4">
        <v>-28.5</v>
      </c>
      <c r="C576" s="4">
        <v>1</v>
      </c>
      <c r="D576" s="4">
        <v>1</v>
      </c>
    </row>
    <row r="577" spans="1:4" x14ac:dyDescent="0.3">
      <c r="A577" s="6" t="s">
        <v>1429</v>
      </c>
      <c r="B577" s="4">
        <v>-28.5</v>
      </c>
      <c r="C577" s="4">
        <v>1</v>
      </c>
      <c r="D577" s="4">
        <v>1</v>
      </c>
    </row>
    <row r="578" spans="1:4" x14ac:dyDescent="0.3">
      <c r="A578" s="3" t="s">
        <v>469</v>
      </c>
      <c r="B578" s="4">
        <v>2520</v>
      </c>
      <c r="C578" s="4">
        <v>18</v>
      </c>
      <c r="D578" s="4">
        <v>4</v>
      </c>
    </row>
    <row r="579" spans="1:4" x14ac:dyDescent="0.3">
      <c r="A579" s="5" t="s">
        <v>27</v>
      </c>
      <c r="B579" s="4">
        <v>684</v>
      </c>
      <c r="C579" s="4">
        <v>4</v>
      </c>
      <c r="D579" s="4">
        <v>1</v>
      </c>
    </row>
    <row r="580" spans="1:4" x14ac:dyDescent="0.3">
      <c r="A580" s="6" t="s">
        <v>1428</v>
      </c>
      <c r="B580" s="4">
        <v>684</v>
      </c>
      <c r="C580" s="4">
        <v>4</v>
      </c>
      <c r="D580" s="4">
        <v>1</v>
      </c>
    </row>
    <row r="581" spans="1:4" x14ac:dyDescent="0.3">
      <c r="A581" s="5" t="s">
        <v>51</v>
      </c>
      <c r="B581" s="4">
        <v>755</v>
      </c>
      <c r="C581" s="4">
        <v>5</v>
      </c>
      <c r="D581" s="4">
        <v>1</v>
      </c>
    </row>
    <row r="582" spans="1:4" x14ac:dyDescent="0.3">
      <c r="A582" s="6" t="s">
        <v>1428</v>
      </c>
      <c r="B582" s="4">
        <v>755</v>
      </c>
      <c r="C582" s="4">
        <v>5</v>
      </c>
      <c r="D582" s="4">
        <v>1</v>
      </c>
    </row>
    <row r="583" spans="1:4" x14ac:dyDescent="0.3">
      <c r="A583" s="5" t="s">
        <v>106</v>
      </c>
      <c r="B583" s="4">
        <v>425</v>
      </c>
      <c r="C583" s="4">
        <v>5</v>
      </c>
      <c r="D583" s="4">
        <v>1</v>
      </c>
    </row>
    <row r="584" spans="1:4" x14ac:dyDescent="0.3">
      <c r="A584" s="6" t="s">
        <v>1428</v>
      </c>
      <c r="B584" s="4">
        <v>425</v>
      </c>
      <c r="C584" s="4">
        <v>5</v>
      </c>
      <c r="D584" s="4">
        <v>1</v>
      </c>
    </row>
    <row r="585" spans="1:4" x14ac:dyDescent="0.3">
      <c r="A585" s="5" t="s">
        <v>175</v>
      </c>
      <c r="B585" s="4">
        <v>656</v>
      </c>
      <c r="C585" s="4">
        <v>4</v>
      </c>
      <c r="D585" s="4">
        <v>1</v>
      </c>
    </row>
    <row r="586" spans="1:4" x14ac:dyDescent="0.3">
      <c r="A586" s="6" t="s">
        <v>1428</v>
      </c>
      <c r="B586" s="4">
        <v>656</v>
      </c>
      <c r="C586" s="4">
        <v>4</v>
      </c>
      <c r="D586" s="4">
        <v>1</v>
      </c>
    </row>
    <row r="587" spans="1:4" x14ac:dyDescent="0.3">
      <c r="A587" s="3" t="s">
        <v>471</v>
      </c>
      <c r="B587" s="4">
        <v>1227</v>
      </c>
      <c r="C587" s="4">
        <v>13</v>
      </c>
      <c r="D587" s="4">
        <v>3</v>
      </c>
    </row>
    <row r="588" spans="1:4" x14ac:dyDescent="0.3">
      <c r="A588" s="5" t="s">
        <v>205</v>
      </c>
      <c r="B588" s="4">
        <v>870</v>
      </c>
      <c r="C588" s="4">
        <v>5</v>
      </c>
      <c r="D588" s="4">
        <v>1</v>
      </c>
    </row>
    <row r="589" spans="1:4" x14ac:dyDescent="0.3">
      <c r="A589" s="6" t="s">
        <v>1428</v>
      </c>
      <c r="B589" s="4">
        <v>870</v>
      </c>
      <c r="C589" s="4">
        <v>5</v>
      </c>
      <c r="D589" s="4">
        <v>1</v>
      </c>
    </row>
    <row r="590" spans="1:4" x14ac:dyDescent="0.3">
      <c r="A590" s="5" t="s">
        <v>223</v>
      </c>
      <c r="B590" s="4">
        <v>102</v>
      </c>
      <c r="C590" s="4">
        <v>3</v>
      </c>
      <c r="D590" s="4">
        <v>1</v>
      </c>
    </row>
    <row r="591" spans="1:4" x14ac:dyDescent="0.3">
      <c r="A591" s="6" t="s">
        <v>1428</v>
      </c>
      <c r="B591" s="4">
        <v>102</v>
      </c>
      <c r="C591" s="4">
        <v>3</v>
      </c>
      <c r="D591" s="4">
        <v>1</v>
      </c>
    </row>
    <row r="592" spans="1:4" x14ac:dyDescent="0.3">
      <c r="A592" s="5" t="s">
        <v>307</v>
      </c>
      <c r="B592" s="4">
        <v>255</v>
      </c>
      <c r="C592" s="4">
        <v>5</v>
      </c>
      <c r="D592" s="4">
        <v>1</v>
      </c>
    </row>
    <row r="593" spans="1:4" x14ac:dyDescent="0.3">
      <c r="A593" s="6" t="s">
        <v>1428</v>
      </c>
      <c r="B593" s="4">
        <v>255</v>
      </c>
      <c r="C593" s="4">
        <v>5</v>
      </c>
      <c r="D593" s="4">
        <v>1</v>
      </c>
    </row>
    <row r="594" spans="1:4" x14ac:dyDescent="0.3">
      <c r="A594" s="3" t="s">
        <v>473</v>
      </c>
      <c r="B594" s="4">
        <v>1164</v>
      </c>
      <c r="C594" s="4">
        <v>10</v>
      </c>
      <c r="D594" s="4">
        <v>4</v>
      </c>
    </row>
    <row r="595" spans="1:4" x14ac:dyDescent="0.3">
      <c r="A595" s="5" t="s">
        <v>100</v>
      </c>
      <c r="B595" s="4">
        <v>685</v>
      </c>
      <c r="C595" s="4">
        <v>5</v>
      </c>
      <c r="D595" s="4">
        <v>1</v>
      </c>
    </row>
    <row r="596" spans="1:4" x14ac:dyDescent="0.3">
      <c r="A596" s="5" t="s">
        <v>109</v>
      </c>
      <c r="B596" s="4">
        <v>255</v>
      </c>
      <c r="C596" s="4">
        <v>3</v>
      </c>
      <c r="D596" s="4">
        <v>1</v>
      </c>
    </row>
    <row r="597" spans="1:4" x14ac:dyDescent="0.3">
      <c r="A597" s="6" t="s">
        <v>1428</v>
      </c>
      <c r="B597" s="4">
        <v>255</v>
      </c>
      <c r="C597" s="4">
        <v>3</v>
      </c>
      <c r="D597" s="4">
        <v>1</v>
      </c>
    </row>
    <row r="598" spans="1:4" x14ac:dyDescent="0.3">
      <c r="A598" s="5" t="s">
        <v>127</v>
      </c>
      <c r="B598" s="4">
        <v>161</v>
      </c>
      <c r="C598" s="4">
        <v>1</v>
      </c>
      <c r="D598" s="4">
        <v>1</v>
      </c>
    </row>
    <row r="599" spans="1:4" x14ac:dyDescent="0.3">
      <c r="A599" s="6" t="s">
        <v>1428</v>
      </c>
      <c r="B599" s="4">
        <v>161</v>
      </c>
      <c r="C599" s="4">
        <v>1</v>
      </c>
      <c r="D599" s="4">
        <v>1</v>
      </c>
    </row>
    <row r="600" spans="1:4" x14ac:dyDescent="0.3">
      <c r="A600" s="5" t="s">
        <v>190</v>
      </c>
      <c r="B600" s="4">
        <v>63</v>
      </c>
      <c r="C600" s="4">
        <v>1</v>
      </c>
      <c r="D600" s="4">
        <v>1</v>
      </c>
    </row>
    <row r="601" spans="1:4" x14ac:dyDescent="0.3">
      <c r="A601" s="6" t="s">
        <v>1428</v>
      </c>
      <c r="B601" s="4">
        <v>63</v>
      </c>
      <c r="C601" s="4">
        <v>1</v>
      </c>
      <c r="D601" s="4">
        <v>1</v>
      </c>
    </row>
    <row r="602" spans="1:4" x14ac:dyDescent="0.3">
      <c r="A602" s="3" t="s">
        <v>475</v>
      </c>
      <c r="B602" s="4">
        <v>1024</v>
      </c>
      <c r="C602" s="4">
        <v>10</v>
      </c>
      <c r="D602" s="4">
        <v>3</v>
      </c>
    </row>
    <row r="603" spans="1:4" x14ac:dyDescent="0.3">
      <c r="A603" s="5" t="s">
        <v>30</v>
      </c>
      <c r="B603" s="4">
        <v>325</v>
      </c>
      <c r="C603" s="4">
        <v>5</v>
      </c>
      <c r="D603" s="4">
        <v>1</v>
      </c>
    </row>
    <row r="604" spans="1:4" x14ac:dyDescent="0.3">
      <c r="A604" s="6" t="s">
        <v>1428</v>
      </c>
      <c r="B604" s="4">
        <v>325</v>
      </c>
      <c r="C604" s="4">
        <v>5</v>
      </c>
      <c r="D604" s="4">
        <v>1</v>
      </c>
    </row>
    <row r="605" spans="1:4" x14ac:dyDescent="0.3">
      <c r="A605" s="5" t="s">
        <v>214</v>
      </c>
      <c r="B605" s="4">
        <v>264</v>
      </c>
      <c r="C605" s="4">
        <v>2</v>
      </c>
      <c r="D605" s="4">
        <v>1</v>
      </c>
    </row>
    <row r="606" spans="1:4" x14ac:dyDescent="0.3">
      <c r="A606" s="6" t="s">
        <v>1428</v>
      </c>
      <c r="B606" s="4">
        <v>264</v>
      </c>
      <c r="C606" s="4">
        <v>2</v>
      </c>
      <c r="D606" s="4">
        <v>1</v>
      </c>
    </row>
    <row r="607" spans="1:4" x14ac:dyDescent="0.3">
      <c r="A607" s="5" t="s">
        <v>283</v>
      </c>
      <c r="B607" s="4">
        <v>435</v>
      </c>
      <c r="C607" s="4">
        <v>3</v>
      </c>
      <c r="D607" s="4">
        <v>1</v>
      </c>
    </row>
    <row r="608" spans="1:4" x14ac:dyDescent="0.3">
      <c r="A608" s="6" t="s">
        <v>1428</v>
      </c>
      <c r="B608" s="4">
        <v>435</v>
      </c>
      <c r="C608" s="4">
        <v>3</v>
      </c>
      <c r="D608" s="4">
        <v>1</v>
      </c>
    </row>
    <row r="609" spans="1:4" x14ac:dyDescent="0.3">
      <c r="A609" s="3" t="s">
        <v>477</v>
      </c>
      <c r="B609" s="4">
        <v>386</v>
      </c>
      <c r="C609" s="4">
        <v>16</v>
      </c>
      <c r="D609" s="4">
        <v>4</v>
      </c>
    </row>
    <row r="610" spans="1:4" x14ac:dyDescent="0.3">
      <c r="A610" s="5" t="s">
        <v>118</v>
      </c>
      <c r="B610" s="4">
        <v>-62</v>
      </c>
      <c r="C610" s="4">
        <v>4</v>
      </c>
      <c r="D610" s="4">
        <v>1</v>
      </c>
    </row>
    <row r="611" spans="1:4" x14ac:dyDescent="0.3">
      <c r="A611" s="6" t="s">
        <v>1429</v>
      </c>
      <c r="B611" s="4">
        <v>-62</v>
      </c>
      <c r="C611" s="4">
        <v>4</v>
      </c>
      <c r="D611" s="4">
        <v>1</v>
      </c>
    </row>
    <row r="612" spans="1:4" x14ac:dyDescent="0.3">
      <c r="A612" s="5" t="s">
        <v>166</v>
      </c>
      <c r="B612" s="4">
        <v>277.5</v>
      </c>
      <c r="C612" s="4">
        <v>5</v>
      </c>
      <c r="D612" s="4">
        <v>1</v>
      </c>
    </row>
    <row r="613" spans="1:4" x14ac:dyDescent="0.3">
      <c r="A613" s="6" t="s">
        <v>1429</v>
      </c>
      <c r="B613" s="4">
        <v>277.5</v>
      </c>
      <c r="C613" s="4">
        <v>5</v>
      </c>
      <c r="D613" s="4">
        <v>1</v>
      </c>
    </row>
    <row r="614" spans="1:4" x14ac:dyDescent="0.3">
      <c r="A614" s="5" t="s">
        <v>247</v>
      </c>
      <c r="B614" s="4">
        <v>124</v>
      </c>
      <c r="C614" s="4">
        <v>4</v>
      </c>
      <c r="D614" s="4">
        <v>1</v>
      </c>
    </row>
    <row r="615" spans="1:4" x14ac:dyDescent="0.3">
      <c r="A615" s="6" t="s">
        <v>1429</v>
      </c>
      <c r="B615" s="4">
        <v>124</v>
      </c>
      <c r="C615" s="4">
        <v>4</v>
      </c>
      <c r="D615" s="4">
        <v>1</v>
      </c>
    </row>
    <row r="616" spans="1:4" x14ac:dyDescent="0.3">
      <c r="A616" s="5" t="s">
        <v>304</v>
      </c>
      <c r="B616" s="4">
        <v>46.5</v>
      </c>
      <c r="C616" s="4">
        <v>3</v>
      </c>
      <c r="D616" s="4">
        <v>1</v>
      </c>
    </row>
    <row r="617" spans="1:4" x14ac:dyDescent="0.3">
      <c r="A617" s="6" t="s">
        <v>1429</v>
      </c>
      <c r="B617" s="4">
        <v>46.5</v>
      </c>
      <c r="C617" s="4">
        <v>3</v>
      </c>
      <c r="D617" s="4">
        <v>1</v>
      </c>
    </row>
    <row r="618" spans="1:4" x14ac:dyDescent="0.3">
      <c r="A618" s="3" t="s">
        <v>479</v>
      </c>
      <c r="B618" s="4">
        <v>-38</v>
      </c>
      <c r="C618" s="4">
        <v>4</v>
      </c>
      <c r="D618" s="4">
        <v>1</v>
      </c>
    </row>
    <row r="619" spans="1:4" x14ac:dyDescent="0.3">
      <c r="A619" s="5" t="s">
        <v>5</v>
      </c>
      <c r="B619" s="4">
        <v>-38</v>
      </c>
      <c r="C619" s="4">
        <v>4</v>
      </c>
      <c r="D619" s="4">
        <v>1</v>
      </c>
    </row>
    <row r="620" spans="1:4" x14ac:dyDescent="0.3">
      <c r="A620" s="6" t="s">
        <v>1429</v>
      </c>
      <c r="B620" s="4">
        <v>-38</v>
      </c>
      <c r="C620" s="4">
        <v>4</v>
      </c>
      <c r="D620" s="4">
        <v>1</v>
      </c>
    </row>
    <row r="621" spans="1:4" x14ac:dyDescent="0.3">
      <c r="A621" s="3" t="s">
        <v>481</v>
      </c>
      <c r="B621" s="4">
        <v>261.5</v>
      </c>
      <c r="C621" s="4">
        <v>17</v>
      </c>
      <c r="D621" s="4">
        <v>6</v>
      </c>
    </row>
    <row r="622" spans="1:4" x14ac:dyDescent="0.3">
      <c r="A622" s="5" t="s">
        <v>142</v>
      </c>
      <c r="B622" s="4">
        <v>-7.5</v>
      </c>
      <c r="C622" s="4">
        <v>3</v>
      </c>
      <c r="D622" s="4">
        <v>1</v>
      </c>
    </row>
    <row r="623" spans="1:4" x14ac:dyDescent="0.3">
      <c r="A623" s="6" t="s">
        <v>1429</v>
      </c>
      <c r="B623" s="4">
        <v>-7.5</v>
      </c>
      <c r="C623" s="4">
        <v>3</v>
      </c>
      <c r="D623" s="4">
        <v>1</v>
      </c>
    </row>
    <row r="624" spans="1:4" x14ac:dyDescent="0.3">
      <c r="A624" s="5" t="s">
        <v>151</v>
      </c>
      <c r="B624" s="4">
        <v>50</v>
      </c>
      <c r="C624" s="4">
        <v>1</v>
      </c>
      <c r="D624" s="4">
        <v>1</v>
      </c>
    </row>
    <row r="625" spans="1:4" x14ac:dyDescent="0.3">
      <c r="A625" s="6" t="s">
        <v>1429</v>
      </c>
      <c r="B625" s="4">
        <v>50</v>
      </c>
      <c r="C625" s="4">
        <v>1</v>
      </c>
      <c r="D625" s="4">
        <v>1</v>
      </c>
    </row>
    <row r="626" spans="1:4" x14ac:dyDescent="0.3">
      <c r="A626" s="5" t="s">
        <v>175</v>
      </c>
      <c r="B626" s="4">
        <v>88</v>
      </c>
      <c r="C626" s="4">
        <v>4</v>
      </c>
      <c r="D626" s="4">
        <v>1</v>
      </c>
    </row>
    <row r="627" spans="1:4" x14ac:dyDescent="0.3">
      <c r="A627" s="6" t="s">
        <v>1429</v>
      </c>
      <c r="B627" s="4">
        <v>88</v>
      </c>
      <c r="C627" s="4">
        <v>4</v>
      </c>
      <c r="D627" s="4">
        <v>1</v>
      </c>
    </row>
    <row r="628" spans="1:4" x14ac:dyDescent="0.3">
      <c r="A628" s="5" t="s">
        <v>265</v>
      </c>
      <c r="B628" s="4">
        <v>45</v>
      </c>
      <c r="C628" s="4">
        <v>1</v>
      </c>
      <c r="D628" s="4">
        <v>1</v>
      </c>
    </row>
    <row r="629" spans="1:4" x14ac:dyDescent="0.3">
      <c r="A629" s="6" t="s">
        <v>1429</v>
      </c>
      <c r="B629" s="4">
        <v>45</v>
      </c>
      <c r="C629" s="4">
        <v>1</v>
      </c>
      <c r="D629" s="4">
        <v>1</v>
      </c>
    </row>
    <row r="630" spans="1:4" x14ac:dyDescent="0.3">
      <c r="A630" s="5" t="s">
        <v>292</v>
      </c>
      <c r="B630" s="4">
        <v>-9</v>
      </c>
      <c r="C630" s="4">
        <v>3</v>
      </c>
      <c r="D630" s="4">
        <v>1</v>
      </c>
    </row>
    <row r="631" spans="1:4" x14ac:dyDescent="0.3">
      <c r="A631" s="6" t="s">
        <v>1429</v>
      </c>
      <c r="B631" s="4">
        <v>-9</v>
      </c>
      <c r="C631" s="4">
        <v>3</v>
      </c>
      <c r="D631" s="4">
        <v>1</v>
      </c>
    </row>
    <row r="632" spans="1:4" x14ac:dyDescent="0.3">
      <c r="A632" s="5" t="s">
        <v>304</v>
      </c>
      <c r="B632" s="4">
        <v>95</v>
      </c>
      <c r="C632" s="4">
        <v>5</v>
      </c>
      <c r="D632" s="4">
        <v>1</v>
      </c>
    </row>
    <row r="633" spans="1:4" x14ac:dyDescent="0.3">
      <c r="A633" s="6" t="s">
        <v>1429</v>
      </c>
      <c r="B633" s="4">
        <v>95</v>
      </c>
      <c r="C633" s="4">
        <v>5</v>
      </c>
      <c r="D633" s="4">
        <v>1</v>
      </c>
    </row>
    <row r="634" spans="1:4" x14ac:dyDescent="0.3">
      <c r="A634" s="3" t="s">
        <v>483</v>
      </c>
      <c r="B634" s="4">
        <v>538.5</v>
      </c>
      <c r="C634" s="4">
        <v>11</v>
      </c>
      <c r="D634" s="4">
        <v>3</v>
      </c>
    </row>
    <row r="635" spans="1:4" x14ac:dyDescent="0.3">
      <c r="A635" s="5" t="s">
        <v>51</v>
      </c>
      <c r="B635" s="4">
        <v>200</v>
      </c>
      <c r="C635" s="4">
        <v>4</v>
      </c>
      <c r="D635" s="4">
        <v>1</v>
      </c>
    </row>
    <row r="636" spans="1:4" x14ac:dyDescent="0.3">
      <c r="A636" s="6" t="s">
        <v>1429</v>
      </c>
      <c r="B636" s="4">
        <v>200</v>
      </c>
      <c r="C636" s="4">
        <v>4</v>
      </c>
      <c r="D636" s="4">
        <v>1</v>
      </c>
    </row>
    <row r="637" spans="1:4" x14ac:dyDescent="0.3">
      <c r="A637" s="5" t="s">
        <v>109</v>
      </c>
      <c r="B637" s="4">
        <v>61</v>
      </c>
      <c r="C637" s="4">
        <v>2</v>
      </c>
      <c r="D637" s="4">
        <v>1</v>
      </c>
    </row>
    <row r="638" spans="1:4" x14ac:dyDescent="0.3">
      <c r="A638" s="6" t="s">
        <v>1429</v>
      </c>
      <c r="B638" s="4">
        <v>61</v>
      </c>
      <c r="C638" s="4">
        <v>2</v>
      </c>
      <c r="D638" s="4">
        <v>1</v>
      </c>
    </row>
    <row r="639" spans="1:4" x14ac:dyDescent="0.3">
      <c r="A639" s="5" t="s">
        <v>247</v>
      </c>
      <c r="B639" s="4">
        <v>277.5</v>
      </c>
      <c r="C639" s="4">
        <v>5</v>
      </c>
      <c r="D639" s="4">
        <v>1</v>
      </c>
    </row>
    <row r="640" spans="1:4" x14ac:dyDescent="0.3">
      <c r="A640" s="6" t="s">
        <v>1429</v>
      </c>
      <c r="B640" s="4">
        <v>277.5</v>
      </c>
      <c r="C640" s="4">
        <v>5</v>
      </c>
      <c r="D640" s="4">
        <v>1</v>
      </c>
    </row>
    <row r="641" spans="1:4" x14ac:dyDescent="0.3">
      <c r="A641" s="3" t="s">
        <v>485</v>
      </c>
      <c r="B641" s="4">
        <v>266.5</v>
      </c>
      <c r="C641" s="4">
        <v>9</v>
      </c>
      <c r="D641" s="4">
        <v>3</v>
      </c>
    </row>
    <row r="642" spans="1:4" x14ac:dyDescent="0.3">
      <c r="A642" s="5" t="s">
        <v>51</v>
      </c>
      <c r="B642" s="4">
        <v>224</v>
      </c>
      <c r="C642" s="4">
        <v>4</v>
      </c>
      <c r="D642" s="4">
        <v>1</v>
      </c>
    </row>
    <row r="643" spans="1:4" x14ac:dyDescent="0.3">
      <c r="A643" s="6" t="s">
        <v>1429</v>
      </c>
      <c r="B643" s="4">
        <v>224</v>
      </c>
      <c r="C643" s="4">
        <v>4</v>
      </c>
      <c r="D643" s="4">
        <v>1</v>
      </c>
    </row>
    <row r="644" spans="1:4" x14ac:dyDescent="0.3">
      <c r="A644" s="5" t="s">
        <v>268</v>
      </c>
      <c r="B644" s="4">
        <v>12.5</v>
      </c>
      <c r="C644" s="4">
        <v>1</v>
      </c>
      <c r="D644" s="4">
        <v>1</v>
      </c>
    </row>
    <row r="645" spans="1:4" x14ac:dyDescent="0.3">
      <c r="A645" s="6" t="s">
        <v>1429</v>
      </c>
      <c r="B645" s="4">
        <v>12.5</v>
      </c>
      <c r="C645" s="4">
        <v>1</v>
      </c>
      <c r="D645" s="4">
        <v>1</v>
      </c>
    </row>
    <row r="646" spans="1:4" x14ac:dyDescent="0.3">
      <c r="A646" s="5" t="s">
        <v>274</v>
      </c>
      <c r="B646" s="4">
        <v>30</v>
      </c>
      <c r="C646" s="4">
        <v>4</v>
      </c>
      <c r="D646" s="4">
        <v>1</v>
      </c>
    </row>
    <row r="647" spans="1:4" x14ac:dyDescent="0.3">
      <c r="A647" s="6" t="s">
        <v>1429</v>
      </c>
      <c r="B647" s="4">
        <v>30</v>
      </c>
      <c r="C647" s="4">
        <v>4</v>
      </c>
      <c r="D647" s="4">
        <v>1</v>
      </c>
    </row>
    <row r="648" spans="1:4" x14ac:dyDescent="0.3">
      <c r="A648" s="3" t="s">
        <v>487</v>
      </c>
      <c r="B648" s="4">
        <v>800</v>
      </c>
      <c r="C648" s="4">
        <v>10</v>
      </c>
      <c r="D648" s="4">
        <v>4</v>
      </c>
    </row>
    <row r="649" spans="1:4" x14ac:dyDescent="0.3">
      <c r="A649" s="5" t="s">
        <v>47</v>
      </c>
      <c r="B649" s="4">
        <v>296</v>
      </c>
      <c r="C649" s="4">
        <v>2</v>
      </c>
      <c r="D649" s="4">
        <v>1</v>
      </c>
    </row>
    <row r="650" spans="1:4" x14ac:dyDescent="0.3">
      <c r="A650" s="6" t="s">
        <v>1428</v>
      </c>
      <c r="B650" s="4">
        <v>296</v>
      </c>
      <c r="C650" s="4">
        <v>2</v>
      </c>
      <c r="D650" s="4">
        <v>1</v>
      </c>
    </row>
    <row r="651" spans="1:4" x14ac:dyDescent="0.3">
      <c r="A651" s="5" t="s">
        <v>124</v>
      </c>
      <c r="B651" s="4">
        <v>172</v>
      </c>
      <c r="C651" s="4">
        <v>4</v>
      </c>
      <c r="D651" s="4">
        <v>1</v>
      </c>
    </row>
    <row r="652" spans="1:4" x14ac:dyDescent="0.3">
      <c r="A652" s="6" t="s">
        <v>1428</v>
      </c>
      <c r="B652" s="4">
        <v>172</v>
      </c>
      <c r="C652" s="4">
        <v>4</v>
      </c>
      <c r="D652" s="4">
        <v>1</v>
      </c>
    </row>
    <row r="653" spans="1:4" x14ac:dyDescent="0.3">
      <c r="A653" s="5" t="s">
        <v>142</v>
      </c>
      <c r="B653" s="4">
        <v>152</v>
      </c>
      <c r="C653" s="4">
        <v>1</v>
      </c>
      <c r="D653" s="4">
        <v>1</v>
      </c>
    </row>
    <row r="654" spans="1:4" x14ac:dyDescent="0.3">
      <c r="A654" s="6" t="s">
        <v>1428</v>
      </c>
      <c r="B654" s="4">
        <v>152</v>
      </c>
      <c r="C654" s="4">
        <v>1</v>
      </c>
      <c r="D654" s="4">
        <v>1</v>
      </c>
    </row>
    <row r="655" spans="1:4" x14ac:dyDescent="0.3">
      <c r="A655" s="5" t="s">
        <v>205</v>
      </c>
      <c r="B655" s="4">
        <v>180</v>
      </c>
      <c r="C655" s="4">
        <v>3</v>
      </c>
      <c r="D655" s="4">
        <v>1</v>
      </c>
    </row>
    <row r="656" spans="1:4" x14ac:dyDescent="0.3">
      <c r="A656" s="6" t="s">
        <v>1428</v>
      </c>
      <c r="B656" s="4">
        <v>180</v>
      </c>
      <c r="C656" s="4">
        <v>3</v>
      </c>
      <c r="D656" s="4">
        <v>1</v>
      </c>
    </row>
    <row r="657" spans="1:4" x14ac:dyDescent="0.3">
      <c r="A657" s="3" t="s">
        <v>489</v>
      </c>
      <c r="B657" s="4">
        <v>881</v>
      </c>
      <c r="C657" s="4">
        <v>6</v>
      </c>
      <c r="D657" s="4">
        <v>3</v>
      </c>
    </row>
    <row r="658" spans="1:4" x14ac:dyDescent="0.3">
      <c r="A658" s="5" t="s">
        <v>40</v>
      </c>
      <c r="B658" s="4">
        <v>82</v>
      </c>
      <c r="C658" s="4">
        <v>1</v>
      </c>
      <c r="D658" s="4">
        <v>1</v>
      </c>
    </row>
    <row r="659" spans="1:4" x14ac:dyDescent="0.3">
      <c r="A659" s="6" t="s">
        <v>1428</v>
      </c>
      <c r="B659" s="4">
        <v>82</v>
      </c>
      <c r="C659" s="4">
        <v>1</v>
      </c>
      <c r="D659" s="4">
        <v>1</v>
      </c>
    </row>
    <row r="660" spans="1:4" x14ac:dyDescent="0.3">
      <c r="A660" s="5" t="s">
        <v>51</v>
      </c>
      <c r="B660" s="4">
        <v>115</v>
      </c>
      <c r="C660" s="4">
        <v>1</v>
      </c>
      <c r="D660" s="4">
        <v>1</v>
      </c>
    </row>
    <row r="661" spans="1:4" x14ac:dyDescent="0.3">
      <c r="A661" s="6" t="s">
        <v>1428</v>
      </c>
      <c r="B661" s="4">
        <v>115</v>
      </c>
      <c r="C661" s="4">
        <v>1</v>
      </c>
      <c r="D661" s="4">
        <v>1</v>
      </c>
    </row>
    <row r="662" spans="1:4" x14ac:dyDescent="0.3">
      <c r="A662" s="5" t="s">
        <v>178</v>
      </c>
      <c r="B662" s="4">
        <v>684</v>
      </c>
      <c r="C662" s="4">
        <v>4</v>
      </c>
      <c r="D662" s="4">
        <v>1</v>
      </c>
    </row>
    <row r="663" spans="1:4" x14ac:dyDescent="0.3">
      <c r="A663" s="6" t="s">
        <v>1428</v>
      </c>
      <c r="B663" s="4">
        <v>684</v>
      </c>
      <c r="C663" s="4">
        <v>4</v>
      </c>
      <c r="D663" s="4">
        <v>1</v>
      </c>
    </row>
    <row r="664" spans="1:4" x14ac:dyDescent="0.3">
      <c r="A664" s="3" t="s">
        <v>491</v>
      </c>
      <c r="B664" s="4">
        <v>1547</v>
      </c>
      <c r="C664" s="4">
        <v>14</v>
      </c>
      <c r="D664" s="4">
        <v>7</v>
      </c>
    </row>
    <row r="665" spans="1:4" x14ac:dyDescent="0.3">
      <c r="A665" s="5" t="s">
        <v>20</v>
      </c>
      <c r="B665" s="4">
        <v>252</v>
      </c>
      <c r="C665" s="4">
        <v>2</v>
      </c>
      <c r="D665" s="4">
        <v>1</v>
      </c>
    </row>
    <row r="666" spans="1:4" x14ac:dyDescent="0.3">
      <c r="A666" s="6" t="s">
        <v>1428</v>
      </c>
      <c r="B666" s="4">
        <v>252</v>
      </c>
      <c r="C666" s="4">
        <v>2</v>
      </c>
      <c r="D666" s="4">
        <v>1</v>
      </c>
    </row>
    <row r="667" spans="1:4" x14ac:dyDescent="0.3">
      <c r="A667" s="5" t="s">
        <v>121</v>
      </c>
      <c r="B667" s="4">
        <v>255</v>
      </c>
      <c r="C667" s="4">
        <v>3</v>
      </c>
      <c r="D667" s="4">
        <v>1</v>
      </c>
    </row>
    <row r="668" spans="1:4" x14ac:dyDescent="0.3">
      <c r="A668" s="6" t="s">
        <v>1428</v>
      </c>
      <c r="B668" s="4">
        <v>255</v>
      </c>
      <c r="C668" s="4">
        <v>3</v>
      </c>
      <c r="D668" s="4">
        <v>1</v>
      </c>
    </row>
    <row r="669" spans="1:4" x14ac:dyDescent="0.3">
      <c r="A669" s="5" t="s">
        <v>139</v>
      </c>
      <c r="B669" s="4">
        <v>141</v>
      </c>
      <c r="C669" s="4">
        <v>1</v>
      </c>
      <c r="D669" s="4">
        <v>1</v>
      </c>
    </row>
    <row r="670" spans="1:4" x14ac:dyDescent="0.3">
      <c r="A670" s="6" t="s">
        <v>1428</v>
      </c>
      <c r="B670" s="4">
        <v>141</v>
      </c>
      <c r="C670" s="4">
        <v>1</v>
      </c>
      <c r="D670" s="4">
        <v>1</v>
      </c>
    </row>
    <row r="671" spans="1:4" x14ac:dyDescent="0.3">
      <c r="A671" s="5" t="s">
        <v>151</v>
      </c>
      <c r="B671" s="4">
        <v>312</v>
      </c>
      <c r="C671" s="4">
        <v>2</v>
      </c>
      <c r="D671" s="4">
        <v>1</v>
      </c>
    </row>
    <row r="672" spans="1:4" x14ac:dyDescent="0.3">
      <c r="A672" s="6" t="s">
        <v>1428</v>
      </c>
      <c r="B672" s="4">
        <v>312</v>
      </c>
      <c r="C672" s="4">
        <v>2</v>
      </c>
      <c r="D672" s="4">
        <v>1</v>
      </c>
    </row>
    <row r="673" spans="1:4" x14ac:dyDescent="0.3">
      <c r="A673" s="5" t="s">
        <v>157</v>
      </c>
      <c r="B673" s="4">
        <v>95</v>
      </c>
      <c r="C673" s="4">
        <v>1</v>
      </c>
      <c r="D673" s="4">
        <v>1</v>
      </c>
    </row>
    <row r="674" spans="1:4" x14ac:dyDescent="0.3">
      <c r="A674" s="6" t="s">
        <v>1428</v>
      </c>
      <c r="B674" s="4">
        <v>95</v>
      </c>
      <c r="C674" s="4">
        <v>1</v>
      </c>
      <c r="D674" s="4">
        <v>1</v>
      </c>
    </row>
    <row r="675" spans="1:4" x14ac:dyDescent="0.3">
      <c r="A675" s="5" t="s">
        <v>184</v>
      </c>
      <c r="B675" s="4">
        <v>390</v>
      </c>
      <c r="C675" s="4">
        <v>2</v>
      </c>
      <c r="D675" s="4">
        <v>1</v>
      </c>
    </row>
    <row r="676" spans="1:4" x14ac:dyDescent="0.3">
      <c r="A676" s="6" t="s">
        <v>1428</v>
      </c>
      <c r="B676" s="4">
        <v>390</v>
      </c>
      <c r="C676" s="4">
        <v>2</v>
      </c>
      <c r="D676" s="4">
        <v>1</v>
      </c>
    </row>
    <row r="677" spans="1:4" x14ac:dyDescent="0.3">
      <c r="A677" s="5" t="s">
        <v>301</v>
      </c>
      <c r="B677" s="4">
        <v>102</v>
      </c>
      <c r="C677" s="4">
        <v>3</v>
      </c>
      <c r="D677" s="4">
        <v>1</v>
      </c>
    </row>
    <row r="678" spans="1:4" x14ac:dyDescent="0.3">
      <c r="A678" s="6" t="s">
        <v>1428</v>
      </c>
      <c r="B678" s="4">
        <v>102</v>
      </c>
      <c r="C678" s="4">
        <v>3</v>
      </c>
      <c r="D678" s="4">
        <v>1</v>
      </c>
    </row>
    <row r="679" spans="1:4" x14ac:dyDescent="0.3">
      <c r="A679" s="3" t="s">
        <v>493</v>
      </c>
      <c r="B679" s="4">
        <v>1062</v>
      </c>
      <c r="C679" s="4">
        <v>10</v>
      </c>
      <c r="D679" s="4">
        <v>3</v>
      </c>
    </row>
    <row r="680" spans="1:4" x14ac:dyDescent="0.3">
      <c r="A680" s="5" t="s">
        <v>91</v>
      </c>
      <c r="B680" s="4">
        <v>129</v>
      </c>
      <c r="C680" s="4">
        <v>1</v>
      </c>
      <c r="D680" s="4">
        <v>1</v>
      </c>
    </row>
    <row r="681" spans="1:4" x14ac:dyDescent="0.3">
      <c r="A681" s="6" t="s">
        <v>1428</v>
      </c>
      <c r="B681" s="4">
        <v>129</v>
      </c>
      <c r="C681" s="4">
        <v>1</v>
      </c>
      <c r="D681" s="4">
        <v>1</v>
      </c>
    </row>
    <row r="682" spans="1:4" x14ac:dyDescent="0.3">
      <c r="A682" s="5" t="s">
        <v>199</v>
      </c>
      <c r="B682" s="4">
        <v>568</v>
      </c>
      <c r="C682" s="4">
        <v>4</v>
      </c>
      <c r="D682" s="4">
        <v>1</v>
      </c>
    </row>
    <row r="683" spans="1:4" x14ac:dyDescent="0.3">
      <c r="A683" s="6" t="s">
        <v>1428</v>
      </c>
      <c r="B683" s="4">
        <v>568</v>
      </c>
      <c r="C683" s="4">
        <v>4</v>
      </c>
      <c r="D683" s="4">
        <v>1</v>
      </c>
    </row>
    <row r="684" spans="1:4" x14ac:dyDescent="0.3">
      <c r="A684" s="5" t="s">
        <v>235</v>
      </c>
      <c r="B684" s="4">
        <v>365</v>
      </c>
      <c r="C684" s="4">
        <v>5</v>
      </c>
      <c r="D684" s="4">
        <v>1</v>
      </c>
    </row>
    <row r="685" spans="1:4" x14ac:dyDescent="0.3">
      <c r="A685" s="6" t="s">
        <v>1428</v>
      </c>
      <c r="B685" s="4">
        <v>365</v>
      </c>
      <c r="C685" s="4">
        <v>5</v>
      </c>
      <c r="D685" s="4">
        <v>1</v>
      </c>
    </row>
    <row r="686" spans="1:4" x14ac:dyDescent="0.3">
      <c r="A686" s="3" t="s">
        <v>495</v>
      </c>
      <c r="B686" s="4">
        <v>1551</v>
      </c>
      <c r="C686" s="4">
        <v>14</v>
      </c>
      <c r="D686" s="4">
        <v>5</v>
      </c>
    </row>
    <row r="687" spans="1:4" x14ac:dyDescent="0.3">
      <c r="A687" s="5" t="s">
        <v>60</v>
      </c>
      <c r="B687" s="4">
        <v>129</v>
      </c>
      <c r="C687" s="4">
        <v>3</v>
      </c>
      <c r="D687" s="4">
        <v>1</v>
      </c>
    </row>
    <row r="688" spans="1:4" x14ac:dyDescent="0.3">
      <c r="A688" s="6" t="s">
        <v>1428</v>
      </c>
      <c r="B688" s="4">
        <v>129</v>
      </c>
      <c r="C688" s="4">
        <v>3</v>
      </c>
      <c r="D688" s="4">
        <v>1</v>
      </c>
    </row>
    <row r="689" spans="1:4" x14ac:dyDescent="0.3">
      <c r="A689" s="5" t="s">
        <v>181</v>
      </c>
      <c r="B689" s="4">
        <v>432</v>
      </c>
      <c r="C689" s="4">
        <v>3</v>
      </c>
      <c r="D689" s="4">
        <v>1</v>
      </c>
    </row>
    <row r="690" spans="1:4" x14ac:dyDescent="0.3">
      <c r="A690" s="6" t="s">
        <v>1428</v>
      </c>
      <c r="B690" s="4">
        <v>432</v>
      </c>
      <c r="C690" s="4">
        <v>3</v>
      </c>
      <c r="D690" s="4">
        <v>1</v>
      </c>
    </row>
    <row r="691" spans="1:4" x14ac:dyDescent="0.3">
      <c r="A691" s="5" t="s">
        <v>208</v>
      </c>
      <c r="B691" s="4">
        <v>990</v>
      </c>
      <c r="C691" s="4">
        <v>8</v>
      </c>
      <c r="D691" s="4">
        <v>3</v>
      </c>
    </row>
    <row r="692" spans="1:4" x14ac:dyDescent="0.3">
      <c r="A692" s="6" t="s">
        <v>1428</v>
      </c>
      <c r="B692" s="4">
        <v>990</v>
      </c>
      <c r="C692" s="4">
        <v>8</v>
      </c>
      <c r="D692" s="4">
        <v>3</v>
      </c>
    </row>
    <row r="693" spans="1:4" x14ac:dyDescent="0.3">
      <c r="A693" s="3" t="s">
        <v>497</v>
      </c>
      <c r="B693" s="4">
        <v>1788</v>
      </c>
      <c r="C693" s="4">
        <v>14</v>
      </c>
      <c r="D693" s="4">
        <v>6</v>
      </c>
    </row>
    <row r="694" spans="1:4" x14ac:dyDescent="0.3">
      <c r="A694" s="5" t="s">
        <v>27</v>
      </c>
      <c r="B694" s="4">
        <v>222</v>
      </c>
      <c r="C694" s="4">
        <v>2</v>
      </c>
      <c r="D694" s="4">
        <v>1</v>
      </c>
    </row>
    <row r="695" spans="1:4" x14ac:dyDescent="0.3">
      <c r="A695" s="6" t="s">
        <v>1428</v>
      </c>
      <c r="B695" s="4">
        <v>222</v>
      </c>
      <c r="C695" s="4">
        <v>2</v>
      </c>
      <c r="D695" s="4">
        <v>1</v>
      </c>
    </row>
    <row r="696" spans="1:4" x14ac:dyDescent="0.3">
      <c r="A696" s="5" t="s">
        <v>33</v>
      </c>
      <c r="B696" s="4">
        <v>17</v>
      </c>
      <c r="C696" s="4">
        <v>1</v>
      </c>
      <c r="D696" s="4">
        <v>1</v>
      </c>
    </row>
    <row r="697" spans="1:4" x14ac:dyDescent="0.3">
      <c r="A697" s="6" t="s">
        <v>1428</v>
      </c>
      <c r="B697" s="4">
        <v>17</v>
      </c>
      <c r="C697" s="4">
        <v>1</v>
      </c>
      <c r="D697" s="4">
        <v>1</v>
      </c>
    </row>
    <row r="698" spans="1:4" x14ac:dyDescent="0.3">
      <c r="A698" s="5" t="s">
        <v>118</v>
      </c>
      <c r="B698" s="4">
        <v>612</v>
      </c>
      <c r="C698" s="4">
        <v>4</v>
      </c>
      <c r="D698" s="4">
        <v>1</v>
      </c>
    </row>
    <row r="699" spans="1:4" x14ac:dyDescent="0.3">
      <c r="A699" s="6" t="s">
        <v>1428</v>
      </c>
      <c r="B699" s="4">
        <v>612</v>
      </c>
      <c r="C699" s="4">
        <v>4</v>
      </c>
      <c r="D699" s="4">
        <v>1</v>
      </c>
    </row>
    <row r="700" spans="1:4" x14ac:dyDescent="0.3">
      <c r="A700" s="5" t="s">
        <v>136</v>
      </c>
      <c r="B700" s="4">
        <v>114</v>
      </c>
      <c r="C700" s="4">
        <v>1</v>
      </c>
      <c r="D700" s="4">
        <v>1</v>
      </c>
    </row>
    <row r="701" spans="1:4" x14ac:dyDescent="0.3">
      <c r="A701" s="6" t="s">
        <v>1428</v>
      </c>
      <c r="B701" s="4">
        <v>114</v>
      </c>
      <c r="C701" s="4">
        <v>1</v>
      </c>
      <c r="D701" s="4">
        <v>1</v>
      </c>
    </row>
    <row r="702" spans="1:4" x14ac:dyDescent="0.3">
      <c r="A702" s="5" t="s">
        <v>142</v>
      </c>
      <c r="B702" s="4">
        <v>58</v>
      </c>
      <c r="C702" s="4">
        <v>1</v>
      </c>
      <c r="D702" s="4">
        <v>1</v>
      </c>
    </row>
    <row r="703" spans="1:4" x14ac:dyDescent="0.3">
      <c r="A703" s="6" t="s">
        <v>1428</v>
      </c>
      <c r="B703" s="4">
        <v>58</v>
      </c>
      <c r="C703" s="4">
        <v>1</v>
      </c>
      <c r="D703" s="4">
        <v>1</v>
      </c>
    </row>
    <row r="704" spans="1:4" x14ac:dyDescent="0.3">
      <c r="A704" s="5" t="s">
        <v>181</v>
      </c>
      <c r="B704" s="4">
        <v>765</v>
      </c>
      <c r="C704" s="4">
        <v>5</v>
      </c>
      <c r="D704" s="4">
        <v>1</v>
      </c>
    </row>
    <row r="705" spans="1:4" x14ac:dyDescent="0.3">
      <c r="A705" s="6" t="s">
        <v>1428</v>
      </c>
      <c r="B705" s="4">
        <v>765</v>
      </c>
      <c r="C705" s="4">
        <v>5</v>
      </c>
      <c r="D705" s="4">
        <v>1</v>
      </c>
    </row>
    <row r="706" spans="1:4" x14ac:dyDescent="0.3">
      <c r="A706" s="3" t="s">
        <v>499</v>
      </c>
      <c r="B706" s="4">
        <v>1109</v>
      </c>
      <c r="C706" s="4">
        <v>12</v>
      </c>
      <c r="D706" s="4">
        <v>6</v>
      </c>
    </row>
    <row r="707" spans="1:4" x14ac:dyDescent="0.3">
      <c r="A707" s="5" t="s">
        <v>30</v>
      </c>
      <c r="B707" s="4">
        <v>36</v>
      </c>
      <c r="C707" s="4">
        <v>1</v>
      </c>
      <c r="D707" s="4">
        <v>1</v>
      </c>
    </row>
    <row r="708" spans="1:4" x14ac:dyDescent="0.3">
      <c r="A708" s="6" t="s">
        <v>1428</v>
      </c>
      <c r="B708" s="4">
        <v>36</v>
      </c>
      <c r="C708" s="4">
        <v>1</v>
      </c>
      <c r="D708" s="4">
        <v>1</v>
      </c>
    </row>
    <row r="709" spans="1:4" x14ac:dyDescent="0.3">
      <c r="A709" s="5" t="s">
        <v>66</v>
      </c>
      <c r="B709" s="4">
        <v>168</v>
      </c>
      <c r="C709" s="4">
        <v>2</v>
      </c>
      <c r="D709" s="4">
        <v>1</v>
      </c>
    </row>
    <row r="710" spans="1:4" x14ac:dyDescent="0.3">
      <c r="A710" s="6" t="s">
        <v>1428</v>
      </c>
      <c r="B710" s="4">
        <v>168</v>
      </c>
      <c r="C710" s="4">
        <v>2</v>
      </c>
      <c r="D710" s="4">
        <v>1</v>
      </c>
    </row>
    <row r="711" spans="1:4" x14ac:dyDescent="0.3">
      <c r="A711" s="5" t="s">
        <v>151</v>
      </c>
      <c r="B711" s="4">
        <v>495</v>
      </c>
      <c r="C711" s="4">
        <v>5</v>
      </c>
      <c r="D711" s="4">
        <v>1</v>
      </c>
    </row>
    <row r="712" spans="1:4" x14ac:dyDescent="0.3">
      <c r="A712" s="6" t="s">
        <v>1428</v>
      </c>
      <c r="B712" s="4">
        <v>495</v>
      </c>
      <c r="C712" s="4">
        <v>5</v>
      </c>
      <c r="D712" s="4">
        <v>1</v>
      </c>
    </row>
    <row r="713" spans="1:4" x14ac:dyDescent="0.3">
      <c r="A713" s="5" t="s">
        <v>166</v>
      </c>
      <c r="B713" s="4">
        <v>137</v>
      </c>
      <c r="C713" s="4">
        <v>1</v>
      </c>
      <c r="D713" s="4">
        <v>1</v>
      </c>
    </row>
    <row r="714" spans="1:4" x14ac:dyDescent="0.3">
      <c r="A714" s="6" t="s">
        <v>1428</v>
      </c>
      <c r="B714" s="4">
        <v>137</v>
      </c>
      <c r="C714" s="4">
        <v>1</v>
      </c>
      <c r="D714" s="4">
        <v>1</v>
      </c>
    </row>
    <row r="715" spans="1:4" x14ac:dyDescent="0.3">
      <c r="A715" s="5" t="s">
        <v>259</v>
      </c>
      <c r="B715" s="4">
        <v>132</v>
      </c>
      <c r="C715" s="4">
        <v>2</v>
      </c>
      <c r="D715" s="4">
        <v>1</v>
      </c>
    </row>
    <row r="716" spans="1:4" x14ac:dyDescent="0.3">
      <c r="A716" s="6" t="s">
        <v>1428</v>
      </c>
      <c r="B716" s="4">
        <v>132</v>
      </c>
      <c r="C716" s="4">
        <v>2</v>
      </c>
      <c r="D716" s="4">
        <v>1</v>
      </c>
    </row>
    <row r="717" spans="1:4" x14ac:dyDescent="0.3">
      <c r="A717" s="5" t="s">
        <v>310</v>
      </c>
      <c r="B717" s="4">
        <v>141</v>
      </c>
      <c r="C717" s="4">
        <v>1</v>
      </c>
      <c r="D717" s="4">
        <v>1</v>
      </c>
    </row>
    <row r="718" spans="1:4" x14ac:dyDescent="0.3">
      <c r="A718" s="6" t="s">
        <v>1428</v>
      </c>
      <c r="B718" s="4">
        <v>141</v>
      </c>
      <c r="C718" s="4">
        <v>1</v>
      </c>
      <c r="D718" s="4">
        <v>1</v>
      </c>
    </row>
    <row r="719" spans="1:4" x14ac:dyDescent="0.3">
      <c r="A719" s="3" t="s">
        <v>501</v>
      </c>
      <c r="B719" s="4">
        <v>792</v>
      </c>
      <c r="C719" s="4">
        <v>29</v>
      </c>
      <c r="D719" s="4">
        <v>9</v>
      </c>
    </row>
    <row r="720" spans="1:4" x14ac:dyDescent="0.3">
      <c r="A720" s="5" t="s">
        <v>54</v>
      </c>
      <c r="B720" s="4">
        <v>-16</v>
      </c>
      <c r="C720" s="4">
        <v>4</v>
      </c>
      <c r="D720" s="4">
        <v>1</v>
      </c>
    </row>
    <row r="721" spans="1:4" x14ac:dyDescent="0.3">
      <c r="A721" s="6" t="s">
        <v>1429</v>
      </c>
      <c r="B721" s="4">
        <v>-16</v>
      </c>
      <c r="C721" s="4">
        <v>4</v>
      </c>
      <c r="D721" s="4">
        <v>1</v>
      </c>
    </row>
    <row r="722" spans="1:4" x14ac:dyDescent="0.3">
      <c r="A722" s="5" t="s">
        <v>115</v>
      </c>
      <c r="B722" s="4">
        <v>137</v>
      </c>
      <c r="C722" s="4">
        <v>2</v>
      </c>
      <c r="D722" s="4">
        <v>1</v>
      </c>
    </row>
    <row r="723" spans="1:4" x14ac:dyDescent="0.3">
      <c r="A723" s="6" t="s">
        <v>1429</v>
      </c>
      <c r="B723" s="4">
        <v>137</v>
      </c>
      <c r="C723" s="4">
        <v>2</v>
      </c>
      <c r="D723" s="4">
        <v>1</v>
      </c>
    </row>
    <row r="724" spans="1:4" x14ac:dyDescent="0.3">
      <c r="A724" s="5" t="s">
        <v>196</v>
      </c>
      <c r="B724" s="4">
        <v>-0.5</v>
      </c>
      <c r="C724" s="4">
        <v>1</v>
      </c>
      <c r="D724" s="4">
        <v>1</v>
      </c>
    </row>
    <row r="725" spans="1:4" x14ac:dyDescent="0.3">
      <c r="A725" s="6" t="s">
        <v>1429</v>
      </c>
      <c r="B725" s="4">
        <v>-0.5</v>
      </c>
      <c r="C725" s="4">
        <v>1</v>
      </c>
      <c r="D725" s="4">
        <v>1</v>
      </c>
    </row>
    <row r="726" spans="1:4" x14ac:dyDescent="0.3">
      <c r="A726" s="5" t="s">
        <v>211</v>
      </c>
      <c r="B726" s="4">
        <v>240</v>
      </c>
      <c r="C726" s="4">
        <v>3</v>
      </c>
      <c r="D726" s="4">
        <v>1</v>
      </c>
    </row>
    <row r="727" spans="1:4" x14ac:dyDescent="0.3">
      <c r="A727" s="6" t="s">
        <v>1429</v>
      </c>
      <c r="B727" s="4">
        <v>240</v>
      </c>
      <c r="C727" s="4">
        <v>3</v>
      </c>
      <c r="D727" s="4">
        <v>1</v>
      </c>
    </row>
    <row r="728" spans="1:4" x14ac:dyDescent="0.3">
      <c r="A728" s="5" t="s">
        <v>250</v>
      </c>
      <c r="B728" s="4">
        <v>39</v>
      </c>
      <c r="C728" s="4">
        <v>2</v>
      </c>
      <c r="D728" s="4">
        <v>1</v>
      </c>
    </row>
    <row r="729" spans="1:4" x14ac:dyDescent="0.3">
      <c r="A729" s="6" t="s">
        <v>1429</v>
      </c>
      <c r="B729" s="4">
        <v>39</v>
      </c>
      <c r="C729" s="4">
        <v>2</v>
      </c>
      <c r="D729" s="4">
        <v>1</v>
      </c>
    </row>
    <row r="730" spans="1:4" x14ac:dyDescent="0.3">
      <c r="A730" s="5" t="s">
        <v>289</v>
      </c>
      <c r="B730" s="4">
        <v>60</v>
      </c>
      <c r="C730" s="4">
        <v>5</v>
      </c>
      <c r="D730" s="4">
        <v>1</v>
      </c>
    </row>
    <row r="731" spans="1:4" x14ac:dyDescent="0.3">
      <c r="A731" s="6" t="s">
        <v>1429</v>
      </c>
      <c r="B731" s="4">
        <v>60</v>
      </c>
      <c r="C731" s="4">
        <v>5</v>
      </c>
      <c r="D731" s="4">
        <v>1</v>
      </c>
    </row>
    <row r="732" spans="1:4" x14ac:dyDescent="0.3">
      <c r="A732" s="5" t="s">
        <v>301</v>
      </c>
      <c r="B732" s="4">
        <v>82</v>
      </c>
      <c r="C732" s="4">
        <v>4</v>
      </c>
      <c r="D732" s="4">
        <v>1</v>
      </c>
    </row>
    <row r="733" spans="1:4" x14ac:dyDescent="0.3">
      <c r="A733" s="6" t="s">
        <v>1429</v>
      </c>
      <c r="B733" s="4">
        <v>82</v>
      </c>
      <c r="C733" s="4">
        <v>4</v>
      </c>
      <c r="D733" s="4">
        <v>1</v>
      </c>
    </row>
    <row r="734" spans="1:4" x14ac:dyDescent="0.3">
      <c r="A734" s="5" t="s">
        <v>304</v>
      </c>
      <c r="B734" s="4">
        <v>225</v>
      </c>
      <c r="C734" s="4">
        <v>5</v>
      </c>
      <c r="D734" s="4">
        <v>1</v>
      </c>
    </row>
    <row r="735" spans="1:4" x14ac:dyDescent="0.3">
      <c r="A735" s="6" t="s">
        <v>1429</v>
      </c>
      <c r="B735" s="4">
        <v>225</v>
      </c>
      <c r="C735" s="4">
        <v>5</v>
      </c>
      <c r="D735" s="4">
        <v>1</v>
      </c>
    </row>
    <row r="736" spans="1:4" x14ac:dyDescent="0.3">
      <c r="A736" s="5" t="s">
        <v>310</v>
      </c>
      <c r="B736" s="4">
        <v>25.5</v>
      </c>
      <c r="C736" s="4">
        <v>3</v>
      </c>
      <c r="D736" s="4">
        <v>1</v>
      </c>
    </row>
    <row r="737" spans="1:4" x14ac:dyDescent="0.3">
      <c r="A737" s="6" t="s">
        <v>1429</v>
      </c>
      <c r="B737" s="4">
        <v>25.5</v>
      </c>
      <c r="C737" s="4">
        <v>3</v>
      </c>
      <c r="D737" s="4">
        <v>1</v>
      </c>
    </row>
    <row r="738" spans="1:4" x14ac:dyDescent="0.3">
      <c r="A738" s="3" t="s">
        <v>503</v>
      </c>
      <c r="B738" s="4">
        <v>1659</v>
      </c>
      <c r="C738" s="4">
        <v>20</v>
      </c>
      <c r="D738" s="4">
        <v>7</v>
      </c>
    </row>
    <row r="739" spans="1:4" x14ac:dyDescent="0.3">
      <c r="A739" s="5" t="s">
        <v>27</v>
      </c>
      <c r="B739" s="4">
        <v>163</v>
      </c>
      <c r="C739" s="4">
        <v>1</v>
      </c>
      <c r="D739" s="4">
        <v>1</v>
      </c>
    </row>
    <row r="740" spans="1:4" x14ac:dyDescent="0.3">
      <c r="A740" s="6" t="s">
        <v>1428</v>
      </c>
      <c r="B740" s="4">
        <v>163</v>
      </c>
      <c r="C740" s="4">
        <v>1</v>
      </c>
      <c r="D740" s="4">
        <v>1</v>
      </c>
    </row>
    <row r="741" spans="1:4" x14ac:dyDescent="0.3">
      <c r="A741" s="5" t="s">
        <v>57</v>
      </c>
      <c r="B741" s="4">
        <v>668</v>
      </c>
      <c r="C741" s="4">
        <v>4</v>
      </c>
      <c r="D741" s="4">
        <v>1</v>
      </c>
    </row>
    <row r="742" spans="1:4" x14ac:dyDescent="0.3">
      <c r="A742" s="6" t="s">
        <v>1428</v>
      </c>
      <c r="B742" s="4">
        <v>668</v>
      </c>
      <c r="C742" s="4">
        <v>4</v>
      </c>
      <c r="D742" s="4">
        <v>1</v>
      </c>
    </row>
    <row r="743" spans="1:4" x14ac:dyDescent="0.3">
      <c r="A743" s="5" t="s">
        <v>63</v>
      </c>
      <c r="B743" s="4">
        <v>25</v>
      </c>
      <c r="C743" s="4">
        <v>1</v>
      </c>
      <c r="D743" s="4">
        <v>1</v>
      </c>
    </row>
    <row r="744" spans="1:4" x14ac:dyDescent="0.3">
      <c r="A744" s="6" t="s">
        <v>1428</v>
      </c>
      <c r="B744" s="4">
        <v>25</v>
      </c>
      <c r="C744" s="4">
        <v>1</v>
      </c>
      <c r="D744" s="4">
        <v>1</v>
      </c>
    </row>
    <row r="745" spans="1:4" x14ac:dyDescent="0.3">
      <c r="A745" s="5" t="s">
        <v>69</v>
      </c>
      <c r="B745" s="4">
        <v>228</v>
      </c>
      <c r="C745" s="4">
        <v>4</v>
      </c>
      <c r="D745" s="4">
        <v>1</v>
      </c>
    </row>
    <row r="746" spans="1:4" x14ac:dyDescent="0.3">
      <c r="A746" s="6" t="s">
        <v>1428</v>
      </c>
      <c r="B746" s="4">
        <v>228</v>
      </c>
      <c r="C746" s="4">
        <v>4</v>
      </c>
      <c r="D746" s="4">
        <v>1</v>
      </c>
    </row>
    <row r="747" spans="1:4" x14ac:dyDescent="0.3">
      <c r="A747" s="5" t="s">
        <v>91</v>
      </c>
      <c r="B747" s="4">
        <v>123</v>
      </c>
      <c r="C747" s="4">
        <v>1</v>
      </c>
      <c r="D747" s="4">
        <v>1</v>
      </c>
    </row>
    <row r="748" spans="1:4" x14ac:dyDescent="0.3">
      <c r="A748" s="6" t="s">
        <v>1428</v>
      </c>
      <c r="B748" s="4">
        <v>123</v>
      </c>
      <c r="C748" s="4">
        <v>1</v>
      </c>
      <c r="D748" s="4">
        <v>1</v>
      </c>
    </row>
    <row r="749" spans="1:4" x14ac:dyDescent="0.3">
      <c r="A749" s="5" t="s">
        <v>187</v>
      </c>
      <c r="B749" s="4">
        <v>112</v>
      </c>
      <c r="C749" s="4">
        <v>4</v>
      </c>
      <c r="D749" s="4">
        <v>1</v>
      </c>
    </row>
    <row r="750" spans="1:4" x14ac:dyDescent="0.3">
      <c r="A750" s="6" t="s">
        <v>1428</v>
      </c>
      <c r="B750" s="4">
        <v>112</v>
      </c>
      <c r="C750" s="4">
        <v>4</v>
      </c>
      <c r="D750" s="4">
        <v>1</v>
      </c>
    </row>
    <row r="751" spans="1:4" x14ac:dyDescent="0.3">
      <c r="A751" s="5" t="s">
        <v>193</v>
      </c>
      <c r="B751" s="4">
        <v>340</v>
      </c>
      <c r="C751" s="4">
        <v>5</v>
      </c>
      <c r="D751" s="4">
        <v>1</v>
      </c>
    </row>
    <row r="752" spans="1:4" x14ac:dyDescent="0.3">
      <c r="A752" s="6" t="s">
        <v>1428</v>
      </c>
      <c r="B752" s="4">
        <v>340</v>
      </c>
      <c r="C752" s="4">
        <v>5</v>
      </c>
      <c r="D752" s="4">
        <v>1</v>
      </c>
    </row>
    <row r="753" spans="1:4" x14ac:dyDescent="0.3">
      <c r="A753" s="3" t="s">
        <v>505</v>
      </c>
      <c r="B753" s="4">
        <v>664.5</v>
      </c>
      <c r="C753" s="4">
        <v>25</v>
      </c>
      <c r="D753" s="4">
        <v>8</v>
      </c>
    </row>
    <row r="754" spans="1:4" x14ac:dyDescent="0.3">
      <c r="A754" s="5" t="s">
        <v>63</v>
      </c>
      <c r="B754" s="4">
        <v>46.5</v>
      </c>
      <c r="C754" s="4">
        <v>3</v>
      </c>
      <c r="D754" s="4">
        <v>1</v>
      </c>
    </row>
    <row r="755" spans="1:4" x14ac:dyDescent="0.3">
      <c r="A755" s="6" t="s">
        <v>1429</v>
      </c>
      <c r="B755" s="4">
        <v>46.5</v>
      </c>
      <c r="C755" s="4">
        <v>3</v>
      </c>
      <c r="D755" s="4">
        <v>1</v>
      </c>
    </row>
    <row r="756" spans="1:4" x14ac:dyDescent="0.3">
      <c r="A756" s="5" t="s">
        <v>115</v>
      </c>
      <c r="B756" s="4">
        <v>165</v>
      </c>
      <c r="C756" s="4">
        <v>2</v>
      </c>
      <c r="D756" s="4">
        <v>1</v>
      </c>
    </row>
    <row r="757" spans="1:4" x14ac:dyDescent="0.3">
      <c r="A757" s="6" t="s">
        <v>1429</v>
      </c>
      <c r="B757" s="4">
        <v>165</v>
      </c>
      <c r="C757" s="4">
        <v>2</v>
      </c>
      <c r="D757" s="4">
        <v>1</v>
      </c>
    </row>
    <row r="758" spans="1:4" x14ac:dyDescent="0.3">
      <c r="A758" s="5" t="s">
        <v>136</v>
      </c>
      <c r="B758" s="4">
        <v>73</v>
      </c>
      <c r="C758" s="4">
        <v>1</v>
      </c>
      <c r="D758" s="4">
        <v>1</v>
      </c>
    </row>
    <row r="759" spans="1:4" x14ac:dyDescent="0.3">
      <c r="A759" s="6" t="s">
        <v>1429</v>
      </c>
      <c r="B759" s="4">
        <v>73</v>
      </c>
      <c r="C759" s="4">
        <v>1</v>
      </c>
      <c r="D759" s="4">
        <v>1</v>
      </c>
    </row>
    <row r="760" spans="1:4" x14ac:dyDescent="0.3">
      <c r="A760" s="5" t="s">
        <v>142</v>
      </c>
      <c r="B760" s="4">
        <v>190</v>
      </c>
      <c r="C760" s="4">
        <v>5</v>
      </c>
      <c r="D760" s="4">
        <v>1</v>
      </c>
    </row>
    <row r="761" spans="1:4" x14ac:dyDescent="0.3">
      <c r="A761" s="6" t="s">
        <v>1429</v>
      </c>
      <c r="B761" s="4">
        <v>190</v>
      </c>
      <c r="C761" s="4">
        <v>5</v>
      </c>
      <c r="D761" s="4">
        <v>1</v>
      </c>
    </row>
    <row r="762" spans="1:4" x14ac:dyDescent="0.3">
      <c r="A762" s="5" t="s">
        <v>148</v>
      </c>
      <c r="B762" s="4">
        <v>-8</v>
      </c>
      <c r="C762" s="4">
        <v>2</v>
      </c>
      <c r="D762" s="4">
        <v>1</v>
      </c>
    </row>
    <row r="763" spans="1:4" x14ac:dyDescent="0.3">
      <c r="A763" s="6" t="s">
        <v>1429</v>
      </c>
      <c r="B763" s="4">
        <v>-8</v>
      </c>
      <c r="C763" s="4">
        <v>2</v>
      </c>
      <c r="D763" s="4">
        <v>1</v>
      </c>
    </row>
    <row r="764" spans="1:4" x14ac:dyDescent="0.3">
      <c r="A764" s="5" t="s">
        <v>172</v>
      </c>
      <c r="B764" s="4">
        <v>-112</v>
      </c>
      <c r="C764" s="4">
        <v>4</v>
      </c>
      <c r="D764" s="4">
        <v>1</v>
      </c>
    </row>
    <row r="765" spans="1:4" x14ac:dyDescent="0.3">
      <c r="A765" s="6" t="s">
        <v>1429</v>
      </c>
      <c r="B765" s="4">
        <v>-112</v>
      </c>
      <c r="C765" s="4">
        <v>4</v>
      </c>
      <c r="D765" s="4">
        <v>1</v>
      </c>
    </row>
    <row r="766" spans="1:4" x14ac:dyDescent="0.3">
      <c r="A766" s="5" t="s">
        <v>208</v>
      </c>
      <c r="B766" s="4">
        <v>130</v>
      </c>
      <c r="C766" s="4">
        <v>5</v>
      </c>
      <c r="D766" s="4">
        <v>1</v>
      </c>
    </row>
    <row r="767" spans="1:4" x14ac:dyDescent="0.3">
      <c r="A767" s="6" t="s">
        <v>1429</v>
      </c>
      <c r="B767" s="4">
        <v>130</v>
      </c>
      <c r="C767" s="4">
        <v>5</v>
      </c>
      <c r="D767" s="4">
        <v>1</v>
      </c>
    </row>
    <row r="768" spans="1:4" x14ac:dyDescent="0.3">
      <c r="A768" s="5" t="s">
        <v>229</v>
      </c>
      <c r="B768" s="4">
        <v>180</v>
      </c>
      <c r="C768" s="4">
        <v>3</v>
      </c>
      <c r="D768" s="4">
        <v>1</v>
      </c>
    </row>
    <row r="769" spans="1:4" x14ac:dyDescent="0.3">
      <c r="A769" s="6" t="s">
        <v>1429</v>
      </c>
      <c r="B769" s="4">
        <v>180</v>
      </c>
      <c r="C769" s="4">
        <v>3</v>
      </c>
      <c r="D769" s="4">
        <v>1</v>
      </c>
    </row>
    <row r="770" spans="1:4" x14ac:dyDescent="0.3">
      <c r="A770" s="3" t="s">
        <v>507</v>
      </c>
      <c r="B770" s="4">
        <v>2108</v>
      </c>
      <c r="C770" s="4">
        <v>20</v>
      </c>
      <c r="D770" s="4">
        <v>8</v>
      </c>
    </row>
    <row r="771" spans="1:4" x14ac:dyDescent="0.3">
      <c r="A771" s="5" t="s">
        <v>54</v>
      </c>
      <c r="B771" s="4">
        <v>135</v>
      </c>
      <c r="C771" s="4">
        <v>3</v>
      </c>
      <c r="D771" s="4">
        <v>1</v>
      </c>
    </row>
    <row r="772" spans="1:4" x14ac:dyDescent="0.3">
      <c r="A772" s="6" t="s">
        <v>1428</v>
      </c>
      <c r="B772" s="4">
        <v>135</v>
      </c>
      <c r="C772" s="4">
        <v>3</v>
      </c>
      <c r="D772" s="4">
        <v>1</v>
      </c>
    </row>
    <row r="773" spans="1:4" x14ac:dyDescent="0.3">
      <c r="A773" s="5" t="s">
        <v>85</v>
      </c>
      <c r="B773" s="4">
        <v>122</v>
      </c>
      <c r="C773" s="4">
        <v>1</v>
      </c>
      <c r="D773" s="4">
        <v>1</v>
      </c>
    </row>
    <row r="774" spans="1:4" x14ac:dyDescent="0.3">
      <c r="A774" s="6" t="s">
        <v>1428</v>
      </c>
      <c r="B774" s="4">
        <v>122</v>
      </c>
      <c r="C774" s="4">
        <v>1</v>
      </c>
      <c r="D774" s="4">
        <v>1</v>
      </c>
    </row>
    <row r="775" spans="1:4" x14ac:dyDescent="0.3">
      <c r="A775" s="5" t="s">
        <v>91</v>
      </c>
      <c r="B775" s="4">
        <v>468</v>
      </c>
      <c r="C775" s="4">
        <v>3</v>
      </c>
      <c r="D775" s="4">
        <v>1</v>
      </c>
    </row>
    <row r="776" spans="1:4" x14ac:dyDescent="0.3">
      <c r="A776" s="6" t="s">
        <v>1428</v>
      </c>
      <c r="B776" s="4">
        <v>468</v>
      </c>
      <c r="C776" s="4">
        <v>3</v>
      </c>
      <c r="D776" s="4">
        <v>1</v>
      </c>
    </row>
    <row r="777" spans="1:4" x14ac:dyDescent="0.3">
      <c r="A777" s="5" t="s">
        <v>100</v>
      </c>
      <c r="B777" s="4">
        <v>465</v>
      </c>
      <c r="C777" s="4">
        <v>5</v>
      </c>
      <c r="D777" s="4">
        <v>1</v>
      </c>
    </row>
    <row r="778" spans="1:4" x14ac:dyDescent="0.3">
      <c r="A778" s="5" t="s">
        <v>115</v>
      </c>
      <c r="B778" s="4">
        <v>171</v>
      </c>
      <c r="C778" s="4">
        <v>3</v>
      </c>
      <c r="D778" s="4">
        <v>1</v>
      </c>
    </row>
    <row r="779" spans="1:4" x14ac:dyDescent="0.3">
      <c r="A779" s="6" t="s">
        <v>1428</v>
      </c>
      <c r="B779" s="4">
        <v>171</v>
      </c>
      <c r="C779" s="4">
        <v>3</v>
      </c>
      <c r="D779" s="4">
        <v>1</v>
      </c>
    </row>
    <row r="780" spans="1:4" x14ac:dyDescent="0.3">
      <c r="A780" s="5" t="s">
        <v>214</v>
      </c>
      <c r="B780" s="4">
        <v>286</v>
      </c>
      <c r="C780" s="4">
        <v>2</v>
      </c>
      <c r="D780" s="4">
        <v>1</v>
      </c>
    </row>
    <row r="781" spans="1:4" x14ac:dyDescent="0.3">
      <c r="A781" s="6" t="s">
        <v>1428</v>
      </c>
      <c r="B781" s="4">
        <v>286</v>
      </c>
      <c r="C781" s="4">
        <v>2</v>
      </c>
      <c r="D781" s="4">
        <v>1</v>
      </c>
    </row>
    <row r="782" spans="1:4" x14ac:dyDescent="0.3">
      <c r="A782" s="5" t="s">
        <v>217</v>
      </c>
      <c r="B782" s="4">
        <v>91</v>
      </c>
      <c r="C782" s="4">
        <v>1</v>
      </c>
      <c r="D782" s="4">
        <v>1</v>
      </c>
    </row>
    <row r="783" spans="1:4" x14ac:dyDescent="0.3">
      <c r="A783" s="6" t="s">
        <v>1428</v>
      </c>
      <c r="B783" s="4">
        <v>91</v>
      </c>
      <c r="C783" s="4">
        <v>1</v>
      </c>
      <c r="D783" s="4">
        <v>1</v>
      </c>
    </row>
    <row r="784" spans="1:4" x14ac:dyDescent="0.3">
      <c r="A784" s="5" t="s">
        <v>289</v>
      </c>
      <c r="B784" s="4">
        <v>370</v>
      </c>
      <c r="C784" s="4">
        <v>2</v>
      </c>
      <c r="D784" s="4">
        <v>1</v>
      </c>
    </row>
    <row r="785" spans="1:4" x14ac:dyDescent="0.3">
      <c r="A785" s="6" t="s">
        <v>1428</v>
      </c>
      <c r="B785" s="4">
        <v>370</v>
      </c>
      <c r="C785" s="4">
        <v>2</v>
      </c>
      <c r="D785" s="4">
        <v>1</v>
      </c>
    </row>
    <row r="786" spans="1:4" x14ac:dyDescent="0.3">
      <c r="A786" s="3" t="s">
        <v>509</v>
      </c>
      <c r="B786" s="4">
        <v>3120</v>
      </c>
      <c r="C786" s="4">
        <v>23</v>
      </c>
      <c r="D786" s="4">
        <v>9</v>
      </c>
    </row>
    <row r="787" spans="1:4" x14ac:dyDescent="0.3">
      <c r="A787" s="5" t="s">
        <v>27</v>
      </c>
      <c r="B787" s="4">
        <v>867</v>
      </c>
      <c r="C787" s="4">
        <v>7</v>
      </c>
      <c r="D787" s="4">
        <v>2</v>
      </c>
    </row>
    <row r="788" spans="1:4" x14ac:dyDescent="0.3">
      <c r="A788" s="6" t="s">
        <v>1428</v>
      </c>
      <c r="B788" s="4">
        <v>867</v>
      </c>
      <c r="C788" s="4">
        <v>7</v>
      </c>
      <c r="D788" s="4">
        <v>2</v>
      </c>
    </row>
    <row r="789" spans="1:4" x14ac:dyDescent="0.3">
      <c r="A789" s="5" t="s">
        <v>66</v>
      </c>
      <c r="B789" s="4">
        <v>525</v>
      </c>
      <c r="C789" s="4">
        <v>3</v>
      </c>
      <c r="D789" s="4">
        <v>1</v>
      </c>
    </row>
    <row r="790" spans="1:4" x14ac:dyDescent="0.3">
      <c r="A790" s="6" t="s">
        <v>1428</v>
      </c>
      <c r="B790" s="4">
        <v>525</v>
      </c>
      <c r="C790" s="4">
        <v>3</v>
      </c>
      <c r="D790" s="4">
        <v>1</v>
      </c>
    </row>
    <row r="791" spans="1:4" x14ac:dyDescent="0.3">
      <c r="A791" s="5" t="s">
        <v>76</v>
      </c>
      <c r="B791" s="4">
        <v>62</v>
      </c>
      <c r="C791" s="4">
        <v>1</v>
      </c>
      <c r="D791" s="4">
        <v>1</v>
      </c>
    </row>
    <row r="792" spans="1:4" x14ac:dyDescent="0.3">
      <c r="A792" s="6" t="s">
        <v>1428</v>
      </c>
      <c r="B792" s="4">
        <v>62</v>
      </c>
      <c r="C792" s="4">
        <v>1</v>
      </c>
      <c r="D792" s="4">
        <v>1</v>
      </c>
    </row>
    <row r="793" spans="1:4" x14ac:dyDescent="0.3">
      <c r="A793" s="5" t="s">
        <v>127</v>
      </c>
      <c r="B793" s="4">
        <v>40</v>
      </c>
      <c r="C793" s="4">
        <v>1</v>
      </c>
      <c r="D793" s="4">
        <v>1</v>
      </c>
    </row>
    <row r="794" spans="1:4" x14ac:dyDescent="0.3">
      <c r="A794" s="6" t="s">
        <v>1428</v>
      </c>
      <c r="B794" s="4">
        <v>40</v>
      </c>
      <c r="C794" s="4">
        <v>1</v>
      </c>
      <c r="D794" s="4">
        <v>1</v>
      </c>
    </row>
    <row r="795" spans="1:4" x14ac:dyDescent="0.3">
      <c r="A795" s="5" t="s">
        <v>151</v>
      </c>
      <c r="B795" s="4">
        <v>412</v>
      </c>
      <c r="C795" s="4">
        <v>2</v>
      </c>
      <c r="D795" s="4">
        <v>1</v>
      </c>
    </row>
    <row r="796" spans="1:4" x14ac:dyDescent="0.3">
      <c r="A796" s="6" t="s">
        <v>1428</v>
      </c>
      <c r="B796" s="4">
        <v>412</v>
      </c>
      <c r="C796" s="4">
        <v>2</v>
      </c>
      <c r="D796" s="4">
        <v>1</v>
      </c>
    </row>
    <row r="797" spans="1:4" x14ac:dyDescent="0.3">
      <c r="A797" s="5" t="s">
        <v>208</v>
      </c>
      <c r="B797" s="4">
        <v>142</v>
      </c>
      <c r="C797" s="4">
        <v>1</v>
      </c>
      <c r="D797" s="4">
        <v>1</v>
      </c>
    </row>
    <row r="798" spans="1:4" x14ac:dyDescent="0.3">
      <c r="A798" s="6" t="s">
        <v>1428</v>
      </c>
      <c r="B798" s="4">
        <v>142</v>
      </c>
      <c r="C798" s="4">
        <v>1</v>
      </c>
      <c r="D798" s="4">
        <v>1</v>
      </c>
    </row>
    <row r="799" spans="1:4" x14ac:dyDescent="0.3">
      <c r="A799" s="5" t="s">
        <v>232</v>
      </c>
      <c r="B799" s="4">
        <v>396</v>
      </c>
      <c r="C799" s="4">
        <v>4</v>
      </c>
      <c r="D799" s="4">
        <v>1</v>
      </c>
    </row>
    <row r="800" spans="1:4" x14ac:dyDescent="0.3">
      <c r="A800" s="6" t="s">
        <v>1428</v>
      </c>
      <c r="B800" s="4">
        <v>396</v>
      </c>
      <c r="C800" s="4">
        <v>4</v>
      </c>
      <c r="D800" s="4">
        <v>1</v>
      </c>
    </row>
    <row r="801" spans="1:4" x14ac:dyDescent="0.3">
      <c r="A801" s="5" t="s">
        <v>286</v>
      </c>
      <c r="B801" s="4">
        <v>676</v>
      </c>
      <c r="C801" s="4">
        <v>4</v>
      </c>
      <c r="D801" s="4">
        <v>1</v>
      </c>
    </row>
    <row r="802" spans="1:4" x14ac:dyDescent="0.3">
      <c r="A802" s="6" t="s">
        <v>1428</v>
      </c>
      <c r="B802" s="4">
        <v>676</v>
      </c>
      <c r="C802" s="4">
        <v>4</v>
      </c>
      <c r="D802" s="4">
        <v>1</v>
      </c>
    </row>
    <row r="803" spans="1:4" x14ac:dyDescent="0.3">
      <c r="A803" s="3" t="s">
        <v>511</v>
      </c>
      <c r="B803" s="4">
        <v>363</v>
      </c>
      <c r="C803" s="4">
        <v>13</v>
      </c>
      <c r="D803" s="4">
        <v>5</v>
      </c>
    </row>
    <row r="804" spans="1:4" x14ac:dyDescent="0.3">
      <c r="A804" s="5" t="s">
        <v>54</v>
      </c>
      <c r="B804" s="4">
        <v>-26</v>
      </c>
      <c r="C804" s="4">
        <v>2</v>
      </c>
      <c r="D804" s="4">
        <v>1</v>
      </c>
    </row>
    <row r="805" spans="1:4" x14ac:dyDescent="0.3">
      <c r="A805" s="6" t="s">
        <v>1429</v>
      </c>
      <c r="B805" s="4">
        <v>-26</v>
      </c>
      <c r="C805" s="4">
        <v>2</v>
      </c>
      <c r="D805" s="4">
        <v>1</v>
      </c>
    </row>
    <row r="806" spans="1:4" x14ac:dyDescent="0.3">
      <c r="A806" s="5" t="s">
        <v>57</v>
      </c>
      <c r="B806" s="4">
        <v>85</v>
      </c>
      <c r="C806" s="4">
        <v>2</v>
      </c>
      <c r="D806" s="4">
        <v>1</v>
      </c>
    </row>
    <row r="807" spans="1:4" x14ac:dyDescent="0.3">
      <c r="A807" s="6" t="s">
        <v>1429</v>
      </c>
      <c r="B807" s="4">
        <v>85</v>
      </c>
      <c r="C807" s="4">
        <v>2</v>
      </c>
      <c r="D807" s="4">
        <v>1</v>
      </c>
    </row>
    <row r="808" spans="1:4" x14ac:dyDescent="0.3">
      <c r="A808" s="5" t="s">
        <v>97</v>
      </c>
      <c r="B808" s="4">
        <v>98</v>
      </c>
      <c r="C808" s="4">
        <v>2</v>
      </c>
      <c r="D808" s="4">
        <v>1</v>
      </c>
    </row>
    <row r="809" spans="1:4" x14ac:dyDescent="0.3">
      <c r="A809" s="6" t="s">
        <v>1429</v>
      </c>
      <c r="B809" s="4">
        <v>98</v>
      </c>
      <c r="C809" s="4">
        <v>2</v>
      </c>
      <c r="D809" s="4">
        <v>1</v>
      </c>
    </row>
    <row r="810" spans="1:4" x14ac:dyDescent="0.3">
      <c r="A810" s="5" t="s">
        <v>151</v>
      </c>
      <c r="B810" s="4">
        <v>68</v>
      </c>
      <c r="C810" s="4">
        <v>4</v>
      </c>
      <c r="D810" s="4">
        <v>1</v>
      </c>
    </row>
    <row r="811" spans="1:4" x14ac:dyDescent="0.3">
      <c r="A811" s="6" t="s">
        <v>1429</v>
      </c>
      <c r="B811" s="4">
        <v>68</v>
      </c>
      <c r="C811" s="4">
        <v>4</v>
      </c>
      <c r="D811" s="4">
        <v>1</v>
      </c>
    </row>
    <row r="812" spans="1:4" x14ac:dyDescent="0.3">
      <c r="A812" s="5" t="s">
        <v>301</v>
      </c>
      <c r="B812" s="4">
        <v>138</v>
      </c>
      <c r="C812" s="4">
        <v>3</v>
      </c>
      <c r="D812" s="4">
        <v>1</v>
      </c>
    </row>
    <row r="813" spans="1:4" x14ac:dyDescent="0.3">
      <c r="A813" s="6" t="s">
        <v>1429</v>
      </c>
      <c r="B813" s="4">
        <v>138</v>
      </c>
      <c r="C813" s="4">
        <v>3</v>
      </c>
      <c r="D813" s="4">
        <v>1</v>
      </c>
    </row>
    <row r="814" spans="1:4" x14ac:dyDescent="0.3">
      <c r="A814" s="3" t="s">
        <v>513</v>
      </c>
      <c r="B814" s="4">
        <v>126</v>
      </c>
      <c r="C814" s="4">
        <v>19</v>
      </c>
      <c r="D814" s="4">
        <v>6</v>
      </c>
    </row>
    <row r="815" spans="1:4" x14ac:dyDescent="0.3">
      <c r="A815" s="5" t="s">
        <v>54</v>
      </c>
      <c r="B815" s="4">
        <v>145</v>
      </c>
      <c r="C815" s="4">
        <v>5</v>
      </c>
      <c r="D815" s="4">
        <v>1</v>
      </c>
    </row>
    <row r="816" spans="1:4" x14ac:dyDescent="0.3">
      <c r="A816" s="6" t="s">
        <v>1429</v>
      </c>
      <c r="B816" s="4">
        <v>145</v>
      </c>
      <c r="C816" s="4">
        <v>5</v>
      </c>
      <c r="D816" s="4">
        <v>1</v>
      </c>
    </row>
    <row r="817" spans="1:4" x14ac:dyDescent="0.3">
      <c r="A817" s="5" t="s">
        <v>106</v>
      </c>
      <c r="B817" s="4">
        <v>30</v>
      </c>
      <c r="C817" s="4">
        <v>2</v>
      </c>
      <c r="D817" s="4">
        <v>1</v>
      </c>
    </row>
    <row r="818" spans="1:4" x14ac:dyDescent="0.3">
      <c r="A818" s="6" t="s">
        <v>1429</v>
      </c>
      <c r="B818" s="4">
        <v>30</v>
      </c>
      <c r="C818" s="4">
        <v>2</v>
      </c>
      <c r="D818" s="4">
        <v>1</v>
      </c>
    </row>
    <row r="819" spans="1:4" x14ac:dyDescent="0.3">
      <c r="A819" s="5" t="s">
        <v>145</v>
      </c>
      <c r="B819" s="4">
        <v>-33</v>
      </c>
      <c r="C819" s="4">
        <v>2</v>
      </c>
      <c r="D819" s="4">
        <v>1</v>
      </c>
    </row>
    <row r="820" spans="1:4" x14ac:dyDescent="0.3">
      <c r="A820" s="6" t="s">
        <v>1429</v>
      </c>
      <c r="B820" s="4">
        <v>-33</v>
      </c>
      <c r="C820" s="4">
        <v>2</v>
      </c>
      <c r="D820" s="4">
        <v>1</v>
      </c>
    </row>
    <row r="821" spans="1:4" x14ac:dyDescent="0.3">
      <c r="A821" s="5" t="s">
        <v>178</v>
      </c>
      <c r="B821" s="4">
        <v>14</v>
      </c>
      <c r="C821" s="4">
        <v>2</v>
      </c>
      <c r="D821" s="4">
        <v>1</v>
      </c>
    </row>
    <row r="822" spans="1:4" x14ac:dyDescent="0.3">
      <c r="A822" s="6" t="s">
        <v>1429</v>
      </c>
      <c r="B822" s="4">
        <v>14</v>
      </c>
      <c r="C822" s="4">
        <v>2</v>
      </c>
      <c r="D822" s="4">
        <v>1</v>
      </c>
    </row>
    <row r="823" spans="1:4" x14ac:dyDescent="0.3">
      <c r="A823" s="5" t="s">
        <v>241</v>
      </c>
      <c r="B823" s="4">
        <v>82.5</v>
      </c>
      <c r="C823" s="4">
        <v>3</v>
      </c>
      <c r="D823" s="4">
        <v>1</v>
      </c>
    </row>
    <row r="824" spans="1:4" x14ac:dyDescent="0.3">
      <c r="A824" s="6" t="s">
        <v>1429</v>
      </c>
      <c r="B824" s="4">
        <v>82.5</v>
      </c>
      <c r="C824" s="4">
        <v>3</v>
      </c>
      <c r="D824" s="4">
        <v>1</v>
      </c>
    </row>
    <row r="825" spans="1:4" x14ac:dyDescent="0.3">
      <c r="A825" s="5" t="s">
        <v>307</v>
      </c>
      <c r="B825" s="4">
        <v>-112.5</v>
      </c>
      <c r="C825" s="4">
        <v>5</v>
      </c>
      <c r="D825" s="4">
        <v>1</v>
      </c>
    </row>
    <row r="826" spans="1:4" x14ac:dyDescent="0.3">
      <c r="A826" s="6" t="s">
        <v>1429</v>
      </c>
      <c r="B826" s="4">
        <v>-112.5</v>
      </c>
      <c r="C826" s="4">
        <v>5</v>
      </c>
      <c r="D826" s="4">
        <v>1</v>
      </c>
    </row>
    <row r="827" spans="1:4" x14ac:dyDescent="0.3">
      <c r="A827" s="3" t="s">
        <v>515</v>
      </c>
      <c r="B827" s="4">
        <v>639.5</v>
      </c>
      <c r="C827" s="4">
        <v>26</v>
      </c>
      <c r="D827" s="4">
        <v>8</v>
      </c>
    </row>
    <row r="828" spans="1:4" x14ac:dyDescent="0.3">
      <c r="A828" s="5" t="s">
        <v>43</v>
      </c>
      <c r="B828" s="4">
        <v>53.5</v>
      </c>
      <c r="C828" s="4">
        <v>1</v>
      </c>
      <c r="D828" s="4">
        <v>1</v>
      </c>
    </row>
    <row r="829" spans="1:4" x14ac:dyDescent="0.3">
      <c r="A829" s="6" t="s">
        <v>1429</v>
      </c>
      <c r="B829" s="4">
        <v>53.5</v>
      </c>
      <c r="C829" s="4">
        <v>1</v>
      </c>
      <c r="D829" s="4">
        <v>1</v>
      </c>
    </row>
    <row r="830" spans="1:4" x14ac:dyDescent="0.3">
      <c r="A830" s="5" t="s">
        <v>118</v>
      </c>
      <c r="B830" s="4">
        <v>82.5</v>
      </c>
      <c r="C830" s="4">
        <v>5</v>
      </c>
      <c r="D830" s="4">
        <v>1</v>
      </c>
    </row>
    <row r="831" spans="1:4" x14ac:dyDescent="0.3">
      <c r="A831" s="6" t="s">
        <v>1429</v>
      </c>
      <c r="B831" s="4">
        <v>82.5</v>
      </c>
      <c r="C831" s="4">
        <v>5</v>
      </c>
      <c r="D831" s="4">
        <v>1</v>
      </c>
    </row>
    <row r="832" spans="1:4" x14ac:dyDescent="0.3">
      <c r="A832" s="5" t="s">
        <v>154</v>
      </c>
      <c r="B832" s="4">
        <v>32</v>
      </c>
      <c r="C832" s="4">
        <v>2</v>
      </c>
      <c r="D832" s="4">
        <v>1</v>
      </c>
    </row>
    <row r="833" spans="1:4" x14ac:dyDescent="0.3">
      <c r="A833" s="6" t="s">
        <v>1429</v>
      </c>
      <c r="B833" s="4">
        <v>32</v>
      </c>
      <c r="C833" s="4">
        <v>2</v>
      </c>
      <c r="D833" s="4">
        <v>1</v>
      </c>
    </row>
    <row r="834" spans="1:4" x14ac:dyDescent="0.3">
      <c r="A834" s="5" t="s">
        <v>169</v>
      </c>
      <c r="B834" s="4">
        <v>-2.5</v>
      </c>
      <c r="C834" s="4">
        <v>5</v>
      </c>
      <c r="D834" s="4">
        <v>1</v>
      </c>
    </row>
    <row r="835" spans="1:4" x14ac:dyDescent="0.3">
      <c r="A835" s="6" t="s">
        <v>1429</v>
      </c>
      <c r="B835" s="4">
        <v>-2.5</v>
      </c>
      <c r="C835" s="4">
        <v>5</v>
      </c>
      <c r="D835" s="4">
        <v>1</v>
      </c>
    </row>
    <row r="836" spans="1:4" x14ac:dyDescent="0.3">
      <c r="A836" s="5" t="s">
        <v>172</v>
      </c>
      <c r="B836" s="4">
        <v>30</v>
      </c>
      <c r="C836" s="4">
        <v>4</v>
      </c>
      <c r="D836" s="4">
        <v>1</v>
      </c>
    </row>
    <row r="837" spans="1:4" x14ac:dyDescent="0.3">
      <c r="A837" s="6" t="s">
        <v>1429</v>
      </c>
      <c r="B837" s="4">
        <v>30</v>
      </c>
      <c r="C837" s="4">
        <v>4</v>
      </c>
      <c r="D837" s="4">
        <v>1</v>
      </c>
    </row>
    <row r="838" spans="1:4" x14ac:dyDescent="0.3">
      <c r="A838" s="5" t="s">
        <v>175</v>
      </c>
      <c r="B838" s="4">
        <v>205.5</v>
      </c>
      <c r="C838" s="4">
        <v>3</v>
      </c>
      <c r="D838" s="4">
        <v>1</v>
      </c>
    </row>
    <row r="839" spans="1:4" x14ac:dyDescent="0.3">
      <c r="A839" s="6" t="s">
        <v>1429</v>
      </c>
      <c r="B839" s="4">
        <v>205.5</v>
      </c>
      <c r="C839" s="4">
        <v>3</v>
      </c>
      <c r="D839" s="4">
        <v>1</v>
      </c>
    </row>
    <row r="840" spans="1:4" x14ac:dyDescent="0.3">
      <c r="A840" s="5" t="s">
        <v>181</v>
      </c>
      <c r="B840" s="4">
        <v>195</v>
      </c>
      <c r="C840" s="4">
        <v>5</v>
      </c>
      <c r="D840" s="4">
        <v>1</v>
      </c>
    </row>
    <row r="841" spans="1:4" x14ac:dyDescent="0.3">
      <c r="A841" s="6" t="s">
        <v>1429</v>
      </c>
      <c r="B841" s="4">
        <v>195</v>
      </c>
      <c r="C841" s="4">
        <v>5</v>
      </c>
      <c r="D841" s="4">
        <v>1</v>
      </c>
    </row>
    <row r="842" spans="1:4" x14ac:dyDescent="0.3">
      <c r="A842" s="5" t="s">
        <v>310</v>
      </c>
      <c r="B842" s="4">
        <v>43.5</v>
      </c>
      <c r="C842" s="4">
        <v>1</v>
      </c>
      <c r="D842" s="4">
        <v>1</v>
      </c>
    </row>
    <row r="843" spans="1:4" x14ac:dyDescent="0.3">
      <c r="A843" s="6" t="s">
        <v>1429</v>
      </c>
      <c r="B843" s="4">
        <v>43.5</v>
      </c>
      <c r="C843" s="4">
        <v>1</v>
      </c>
      <c r="D843" s="4">
        <v>1</v>
      </c>
    </row>
    <row r="844" spans="1:4" x14ac:dyDescent="0.3">
      <c r="A844" s="3" t="s">
        <v>1425</v>
      </c>
      <c r="B844" s="4">
        <v>99689.5</v>
      </c>
      <c r="C844" s="4">
        <v>1480</v>
      </c>
      <c r="D844" s="4">
        <v>500</v>
      </c>
    </row>
  </sheetData>
  <mergeCells count="1">
    <mergeCell ref="A1:C1"/>
  </mergeCells>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AC99E-003A-4BC9-8A7C-33E00F80F95A}">
  <dimension ref="A1:T501"/>
  <sheetViews>
    <sheetView topLeftCell="D1" workbookViewId="0">
      <selection activeCell="N9" sqref="N5:N103"/>
      <pivotSelection pane="bottomRight" showHeader="1" axis="axisRow" activeRow="8" activeCol="13" previousRow="8" previousCol="13" click="1" r:id="rId1">
        <pivotArea dataOnly="0" labelOnly="1" fieldPosition="0">
          <references count="1">
            <reference field="3" count="0"/>
          </references>
        </pivotArea>
      </pivotSelection>
    </sheetView>
  </sheetViews>
  <sheetFormatPr defaultRowHeight="14.4" x14ac:dyDescent="0.3"/>
  <cols>
    <col min="14" max="14" width="12.5546875" bestFit="1" customWidth="1"/>
    <col min="15" max="15" width="12.109375" bestFit="1" customWidth="1"/>
  </cols>
  <sheetData>
    <row r="1" spans="1:20" x14ac:dyDescent="0.3">
      <c r="A1" s="1" t="s">
        <v>621</v>
      </c>
      <c r="B1" s="1" t="s">
        <v>622</v>
      </c>
      <c r="C1" s="1" t="s">
        <v>313</v>
      </c>
      <c r="D1" s="1" t="s">
        <v>0</v>
      </c>
      <c r="E1" s="1" t="s">
        <v>517</v>
      </c>
      <c r="F1" s="1" t="s">
        <v>623</v>
      </c>
      <c r="G1" s="1" t="s">
        <v>624</v>
      </c>
      <c r="H1" s="1" t="s">
        <v>1421</v>
      </c>
      <c r="I1" s="1" t="s">
        <v>1422</v>
      </c>
      <c r="J1" s="1" t="s">
        <v>1423</v>
      </c>
    </row>
    <row r="2" spans="1:20" ht="23.4" x14ac:dyDescent="0.45">
      <c r="A2" t="s">
        <v>625</v>
      </c>
      <c r="B2" t="s">
        <v>626</v>
      </c>
      <c r="C2" t="s">
        <v>347</v>
      </c>
      <c r="D2" t="s">
        <v>13</v>
      </c>
      <c r="E2" t="s">
        <v>607</v>
      </c>
      <c r="F2">
        <v>3</v>
      </c>
      <c r="G2">
        <v>173</v>
      </c>
      <c r="H2" t="str">
        <f>IF(VLOOKUP(C2,Customers!A:E,5,FALSE)&gt;=1000,"YES","NO")</f>
        <v>YES</v>
      </c>
      <c r="I2">
        <f t="shared" ref="I2:I65" si="0">IF(H2="YES",G2*0.5,G2)</f>
        <v>86.5</v>
      </c>
      <c r="J2">
        <f>(I2 - VLOOKUP(E2,Desserts!A:D,4,FALSE)) * F2</f>
        <v>49.5</v>
      </c>
      <c r="O2" s="10" t="s">
        <v>1442</v>
      </c>
      <c r="P2" s="10"/>
      <c r="Q2" s="10"/>
      <c r="R2" s="10"/>
      <c r="S2" s="10"/>
      <c r="T2" s="10"/>
    </row>
    <row r="3" spans="1:20" x14ac:dyDescent="0.3">
      <c r="A3" t="s">
        <v>627</v>
      </c>
      <c r="B3" t="s">
        <v>628</v>
      </c>
      <c r="C3" t="s">
        <v>453</v>
      </c>
      <c r="D3" t="s">
        <v>301</v>
      </c>
      <c r="E3" t="s">
        <v>521</v>
      </c>
      <c r="F3">
        <v>4</v>
      </c>
      <c r="G3">
        <v>135</v>
      </c>
      <c r="H3" t="str">
        <f>IF(VLOOKUP(C3,Customers!A:E,5,FALSE)&gt;=1000,"YES","NO")</f>
        <v>YES</v>
      </c>
      <c r="I3">
        <f t="shared" si="0"/>
        <v>67.5</v>
      </c>
      <c r="J3">
        <f>(I3 - VLOOKUP(E3,Desserts!A:D,4,FALSE)) * F3</f>
        <v>14</v>
      </c>
    </row>
    <row r="4" spans="1:20" x14ac:dyDescent="0.3">
      <c r="A4" t="s">
        <v>629</v>
      </c>
      <c r="B4" t="s">
        <v>630</v>
      </c>
      <c r="C4" t="s">
        <v>473</v>
      </c>
      <c r="D4" t="s">
        <v>190</v>
      </c>
      <c r="E4" t="s">
        <v>549</v>
      </c>
      <c r="F4">
        <v>1</v>
      </c>
      <c r="G4">
        <v>142</v>
      </c>
      <c r="H4" t="str">
        <f>IF(VLOOKUP(C4,Customers!A:E,5,FALSE)&gt;=1000,"YES","NO")</f>
        <v>NO</v>
      </c>
      <c r="I4">
        <f t="shared" si="0"/>
        <v>142</v>
      </c>
      <c r="J4">
        <f>(I4 - VLOOKUP(E4,Desserts!A:D,4,FALSE)) * F4</f>
        <v>63</v>
      </c>
      <c r="N4" s="2" t="s">
        <v>1424</v>
      </c>
      <c r="O4" t="s">
        <v>1426</v>
      </c>
    </row>
    <row r="5" spans="1:20" x14ac:dyDescent="0.3">
      <c r="A5" t="s">
        <v>631</v>
      </c>
      <c r="B5" t="s">
        <v>632</v>
      </c>
      <c r="C5" t="s">
        <v>509</v>
      </c>
      <c r="D5" t="s">
        <v>232</v>
      </c>
      <c r="E5" t="s">
        <v>603</v>
      </c>
      <c r="F5">
        <v>4</v>
      </c>
      <c r="G5">
        <v>188</v>
      </c>
      <c r="H5" t="str">
        <f>IF(VLOOKUP(C5,Customers!A:E,5,FALSE)&gt;=1000,"YES","NO")</f>
        <v>NO</v>
      </c>
      <c r="I5">
        <f t="shared" si="0"/>
        <v>188</v>
      </c>
      <c r="J5">
        <f>(I5 - VLOOKUP(E5,Desserts!A:D,4,FALSE)) * F5</f>
        <v>396</v>
      </c>
      <c r="N5" s="3" t="s">
        <v>5</v>
      </c>
      <c r="O5" s="4">
        <v>1173</v>
      </c>
    </row>
    <row r="6" spans="1:20" x14ac:dyDescent="0.3">
      <c r="A6" t="s">
        <v>633</v>
      </c>
      <c r="B6" t="s">
        <v>634</v>
      </c>
      <c r="C6" t="s">
        <v>357</v>
      </c>
      <c r="D6" t="s">
        <v>79</v>
      </c>
      <c r="E6" t="s">
        <v>581</v>
      </c>
      <c r="F6">
        <v>4</v>
      </c>
      <c r="G6">
        <v>161</v>
      </c>
      <c r="H6" t="str">
        <f>IF(VLOOKUP(C6,Customers!A:E,5,FALSE)&gt;=1000,"YES","NO")</f>
        <v>NO</v>
      </c>
      <c r="I6">
        <f t="shared" si="0"/>
        <v>161</v>
      </c>
      <c r="J6">
        <f>(I6 - VLOOKUP(E6,Desserts!A:D,4,FALSE)) * F6</f>
        <v>288</v>
      </c>
      <c r="N6" s="3" t="s">
        <v>9</v>
      </c>
      <c r="O6" s="4">
        <v>1555</v>
      </c>
    </row>
    <row r="7" spans="1:20" x14ac:dyDescent="0.3">
      <c r="A7" t="s">
        <v>635</v>
      </c>
      <c r="B7" t="s">
        <v>636</v>
      </c>
      <c r="C7" t="s">
        <v>439</v>
      </c>
      <c r="D7" t="s">
        <v>69</v>
      </c>
      <c r="E7" t="s">
        <v>587</v>
      </c>
      <c r="F7">
        <v>2</v>
      </c>
      <c r="G7">
        <v>158</v>
      </c>
      <c r="H7" t="str">
        <f>IF(VLOOKUP(C7,Customers!A:E,5,FALSE)&gt;=1000,"YES","NO")</f>
        <v>YES</v>
      </c>
      <c r="I7">
        <f t="shared" si="0"/>
        <v>79</v>
      </c>
      <c r="J7">
        <f>(I7 - VLOOKUP(E7,Desserts!A:D,4,FALSE)) * F7</f>
        <v>14</v>
      </c>
      <c r="N7" s="3" t="s">
        <v>13</v>
      </c>
      <c r="O7" s="4">
        <v>760.5</v>
      </c>
    </row>
    <row r="8" spans="1:20" x14ac:dyDescent="0.3">
      <c r="A8" t="s">
        <v>637</v>
      </c>
      <c r="B8" t="s">
        <v>638</v>
      </c>
      <c r="C8" t="s">
        <v>463</v>
      </c>
      <c r="D8" t="s">
        <v>226</v>
      </c>
      <c r="E8" t="s">
        <v>537</v>
      </c>
      <c r="F8">
        <v>5</v>
      </c>
      <c r="G8">
        <v>160</v>
      </c>
      <c r="H8" t="str">
        <f>IF(VLOOKUP(C8,Customers!A:E,5,FALSE)&gt;=1000,"YES","NO")</f>
        <v>NO</v>
      </c>
      <c r="I8">
        <f t="shared" si="0"/>
        <v>160</v>
      </c>
      <c r="J8">
        <f>(I8 - VLOOKUP(E8,Desserts!A:D,4,FALSE)) * F8</f>
        <v>380</v>
      </c>
      <c r="N8" s="3" t="s">
        <v>17</v>
      </c>
      <c r="O8" s="4">
        <v>1051</v>
      </c>
    </row>
    <row r="9" spans="1:20" x14ac:dyDescent="0.3">
      <c r="A9" t="s">
        <v>639</v>
      </c>
      <c r="B9" t="s">
        <v>640</v>
      </c>
      <c r="C9" t="s">
        <v>403</v>
      </c>
      <c r="D9" t="s">
        <v>295</v>
      </c>
      <c r="E9" t="s">
        <v>565</v>
      </c>
      <c r="F9">
        <v>4</v>
      </c>
      <c r="G9">
        <v>179</v>
      </c>
      <c r="H9" t="str">
        <f>IF(VLOOKUP(C9,Customers!A:E,5,FALSE)&gt;=1000,"YES","NO")</f>
        <v>NO</v>
      </c>
      <c r="I9">
        <f t="shared" si="0"/>
        <v>179</v>
      </c>
      <c r="J9">
        <f>(I9 - VLOOKUP(E9,Desserts!A:D,4,FALSE)) * F9</f>
        <v>552</v>
      </c>
      <c r="N9" s="3" t="s">
        <v>20</v>
      </c>
      <c r="O9" s="4">
        <v>886</v>
      </c>
    </row>
    <row r="10" spans="1:20" x14ac:dyDescent="0.3">
      <c r="A10" t="s">
        <v>641</v>
      </c>
      <c r="B10" t="s">
        <v>642</v>
      </c>
      <c r="C10" t="s">
        <v>515</v>
      </c>
      <c r="D10" t="s">
        <v>172</v>
      </c>
      <c r="E10" t="s">
        <v>539</v>
      </c>
      <c r="F10">
        <v>4</v>
      </c>
      <c r="G10">
        <v>139</v>
      </c>
      <c r="H10" t="str">
        <f>IF(VLOOKUP(C10,Customers!A:E,5,FALSE)&gt;=1000,"YES","NO")</f>
        <v>YES</v>
      </c>
      <c r="I10">
        <f t="shared" si="0"/>
        <v>69.5</v>
      </c>
      <c r="J10">
        <f>(I10 - VLOOKUP(E10,Desserts!A:D,4,FALSE)) * F10</f>
        <v>30</v>
      </c>
      <c r="N10" s="3" t="s">
        <v>24</v>
      </c>
      <c r="O10" s="4">
        <v>235</v>
      </c>
    </row>
    <row r="11" spans="1:20" x14ac:dyDescent="0.3">
      <c r="A11" t="s">
        <v>643</v>
      </c>
      <c r="B11" t="s">
        <v>644</v>
      </c>
      <c r="C11" t="s">
        <v>341</v>
      </c>
      <c r="D11" t="s">
        <v>157</v>
      </c>
      <c r="E11" t="s">
        <v>579</v>
      </c>
      <c r="F11">
        <v>5</v>
      </c>
      <c r="G11">
        <v>248</v>
      </c>
      <c r="H11" t="str">
        <f>IF(VLOOKUP(C11,Customers!A:E,5,FALSE)&gt;=1000,"YES","NO")</f>
        <v>YES</v>
      </c>
      <c r="I11">
        <f t="shared" si="0"/>
        <v>124</v>
      </c>
      <c r="J11">
        <f>(I11 - VLOOKUP(E11,Desserts!A:D,4,FALSE)) * F11</f>
        <v>310</v>
      </c>
      <c r="N11" s="3" t="s">
        <v>27</v>
      </c>
      <c r="O11" s="4">
        <v>1966</v>
      </c>
    </row>
    <row r="12" spans="1:20" x14ac:dyDescent="0.3">
      <c r="A12" t="s">
        <v>645</v>
      </c>
      <c r="B12" t="s">
        <v>646</v>
      </c>
      <c r="C12" t="s">
        <v>417</v>
      </c>
      <c r="D12" t="s">
        <v>157</v>
      </c>
      <c r="E12" t="s">
        <v>617</v>
      </c>
      <c r="F12">
        <v>3</v>
      </c>
      <c r="G12">
        <v>178</v>
      </c>
      <c r="H12" t="str">
        <f>IF(VLOOKUP(C12,Customers!A:E,5,FALSE)&gt;=1000,"YES","NO")</f>
        <v>YES</v>
      </c>
      <c r="I12">
        <f t="shared" si="0"/>
        <v>89</v>
      </c>
      <c r="J12">
        <f>(I12 - VLOOKUP(E12,Desserts!A:D,4,FALSE)) * F12</f>
        <v>144</v>
      </c>
      <c r="N12" s="3" t="s">
        <v>30</v>
      </c>
      <c r="O12" s="4">
        <v>952</v>
      </c>
    </row>
    <row r="13" spans="1:20" x14ac:dyDescent="0.3">
      <c r="A13" t="s">
        <v>647</v>
      </c>
      <c r="B13" t="s">
        <v>646</v>
      </c>
      <c r="C13" t="s">
        <v>383</v>
      </c>
      <c r="D13" t="s">
        <v>229</v>
      </c>
      <c r="E13" t="s">
        <v>527</v>
      </c>
      <c r="F13">
        <v>2</v>
      </c>
      <c r="G13">
        <v>240</v>
      </c>
      <c r="H13" t="str">
        <f>IF(VLOOKUP(C13,Customers!A:E,5,FALSE)&gt;=1000,"YES","NO")</f>
        <v>NO</v>
      </c>
      <c r="I13">
        <f t="shared" si="0"/>
        <v>240</v>
      </c>
      <c r="J13">
        <f>(I13 - VLOOKUP(E13,Desserts!A:D,4,FALSE)) * F13</f>
        <v>394</v>
      </c>
      <c r="N13" s="3" t="s">
        <v>33</v>
      </c>
      <c r="O13" s="4">
        <v>17</v>
      </c>
    </row>
    <row r="14" spans="1:20" x14ac:dyDescent="0.3">
      <c r="A14" t="s">
        <v>648</v>
      </c>
      <c r="B14" t="s">
        <v>649</v>
      </c>
      <c r="C14" t="s">
        <v>499</v>
      </c>
      <c r="D14" t="s">
        <v>30</v>
      </c>
      <c r="E14" t="s">
        <v>613</v>
      </c>
      <c r="F14">
        <v>1</v>
      </c>
      <c r="G14">
        <v>121</v>
      </c>
      <c r="H14" t="str">
        <f>IF(VLOOKUP(C14,Customers!A:E,5,FALSE)&gt;=1000,"YES","NO")</f>
        <v>NO</v>
      </c>
      <c r="I14">
        <f t="shared" si="0"/>
        <v>121</v>
      </c>
      <c r="J14">
        <f>(I14 - VLOOKUP(E14,Desserts!A:D,4,FALSE)) * F14</f>
        <v>36</v>
      </c>
      <c r="N14" s="3" t="s">
        <v>37</v>
      </c>
      <c r="O14" s="4">
        <v>284</v>
      </c>
    </row>
    <row r="15" spans="1:20" x14ac:dyDescent="0.3">
      <c r="A15" t="s">
        <v>650</v>
      </c>
      <c r="B15" t="s">
        <v>651</v>
      </c>
      <c r="C15" t="s">
        <v>317</v>
      </c>
      <c r="D15" t="s">
        <v>241</v>
      </c>
      <c r="E15" t="s">
        <v>577</v>
      </c>
      <c r="F15">
        <v>2</v>
      </c>
      <c r="G15">
        <v>233</v>
      </c>
      <c r="H15" t="str">
        <f>IF(VLOOKUP(C15,Customers!A:E,5,FALSE)&gt;=1000,"YES","NO")</f>
        <v>NO</v>
      </c>
      <c r="I15">
        <f t="shared" si="0"/>
        <v>233</v>
      </c>
      <c r="J15">
        <f>(I15 - VLOOKUP(E15,Desserts!A:D,4,FALSE)) * F15</f>
        <v>326</v>
      </c>
      <c r="N15" s="3" t="s">
        <v>40</v>
      </c>
      <c r="O15" s="4">
        <v>941</v>
      </c>
    </row>
    <row r="16" spans="1:20" x14ac:dyDescent="0.3">
      <c r="A16" t="s">
        <v>652</v>
      </c>
      <c r="B16" t="s">
        <v>653</v>
      </c>
      <c r="C16" t="s">
        <v>441</v>
      </c>
      <c r="D16" t="s">
        <v>69</v>
      </c>
      <c r="E16" t="s">
        <v>613</v>
      </c>
      <c r="F16">
        <v>2</v>
      </c>
      <c r="G16">
        <v>228</v>
      </c>
      <c r="H16" t="str">
        <f>IF(VLOOKUP(C16,Customers!A:E,5,FALSE)&gt;=1000,"YES","NO")</f>
        <v>NO</v>
      </c>
      <c r="I16">
        <f t="shared" si="0"/>
        <v>228</v>
      </c>
      <c r="J16">
        <f>(I16 - VLOOKUP(E16,Desserts!A:D,4,FALSE)) * F16</f>
        <v>286</v>
      </c>
      <c r="N16" s="3" t="s">
        <v>43</v>
      </c>
      <c r="O16" s="4">
        <v>554.5</v>
      </c>
    </row>
    <row r="17" spans="1:15" x14ac:dyDescent="0.3">
      <c r="A17" t="s">
        <v>654</v>
      </c>
      <c r="B17" t="s">
        <v>655</v>
      </c>
      <c r="C17" t="s">
        <v>437</v>
      </c>
      <c r="D17" t="s">
        <v>97</v>
      </c>
      <c r="E17" t="s">
        <v>597</v>
      </c>
      <c r="F17">
        <v>3</v>
      </c>
      <c r="G17">
        <v>202</v>
      </c>
      <c r="H17" t="str">
        <f>IF(VLOOKUP(C17,Customers!A:E,5,FALSE)&gt;=1000,"YES","NO")</f>
        <v>NO</v>
      </c>
      <c r="I17">
        <f t="shared" si="0"/>
        <v>202</v>
      </c>
      <c r="J17">
        <f>(I17 - VLOOKUP(E17,Desserts!A:D,4,FALSE)) * F17</f>
        <v>471</v>
      </c>
      <c r="N17" s="3" t="s">
        <v>47</v>
      </c>
      <c r="O17" s="4">
        <v>1275</v>
      </c>
    </row>
    <row r="18" spans="1:15" x14ac:dyDescent="0.3">
      <c r="A18" t="s">
        <v>656</v>
      </c>
      <c r="B18" t="s">
        <v>657</v>
      </c>
      <c r="C18" t="s">
        <v>503</v>
      </c>
      <c r="D18" t="s">
        <v>69</v>
      </c>
      <c r="E18" t="s">
        <v>555</v>
      </c>
      <c r="F18">
        <v>4</v>
      </c>
      <c r="G18">
        <v>132</v>
      </c>
      <c r="H18" t="str">
        <f>IF(VLOOKUP(C18,Customers!A:E,5,FALSE)&gt;=1000,"YES","NO")</f>
        <v>NO</v>
      </c>
      <c r="I18">
        <f t="shared" si="0"/>
        <v>132</v>
      </c>
      <c r="J18">
        <f>(I18 - VLOOKUP(E18,Desserts!A:D,4,FALSE)) * F18</f>
        <v>228</v>
      </c>
      <c r="N18" s="3" t="s">
        <v>51</v>
      </c>
      <c r="O18" s="4">
        <v>1601</v>
      </c>
    </row>
    <row r="19" spans="1:15" x14ac:dyDescent="0.3">
      <c r="A19" t="s">
        <v>658</v>
      </c>
      <c r="B19" t="s">
        <v>659</v>
      </c>
      <c r="C19" t="s">
        <v>473</v>
      </c>
      <c r="D19" t="s">
        <v>100</v>
      </c>
      <c r="E19" t="s">
        <v>603</v>
      </c>
      <c r="F19">
        <v>5</v>
      </c>
      <c r="G19">
        <v>226</v>
      </c>
      <c r="H19" t="str">
        <f>IF(VLOOKUP(C19,Customers!A:E,5,FALSE)&gt;=1000,"YES","NO")</f>
        <v>NO</v>
      </c>
      <c r="I19">
        <f t="shared" si="0"/>
        <v>226</v>
      </c>
      <c r="J19">
        <f>(I19 - VLOOKUP(E19,Desserts!A:D,4,FALSE)) * F19</f>
        <v>685</v>
      </c>
      <c r="N19" s="3" t="s">
        <v>54</v>
      </c>
      <c r="O19" s="4">
        <v>1170</v>
      </c>
    </row>
    <row r="20" spans="1:15" x14ac:dyDescent="0.3">
      <c r="A20" t="s">
        <v>660</v>
      </c>
      <c r="B20" t="s">
        <v>661</v>
      </c>
      <c r="C20" t="s">
        <v>349</v>
      </c>
      <c r="D20" t="s">
        <v>51</v>
      </c>
      <c r="E20" t="s">
        <v>581</v>
      </c>
      <c r="F20">
        <v>1</v>
      </c>
      <c r="G20">
        <v>225</v>
      </c>
      <c r="H20" t="str">
        <f>IF(VLOOKUP(C20,Customers!A:E,5,FALSE)&gt;=1000,"YES","NO")</f>
        <v>NO</v>
      </c>
      <c r="I20">
        <f t="shared" si="0"/>
        <v>225</v>
      </c>
      <c r="J20">
        <f>(I20 - VLOOKUP(E20,Desserts!A:D,4,FALSE)) * F20</f>
        <v>136</v>
      </c>
      <c r="N20" s="3" t="s">
        <v>57</v>
      </c>
      <c r="O20" s="4">
        <v>1798</v>
      </c>
    </row>
    <row r="21" spans="1:15" x14ac:dyDescent="0.3">
      <c r="A21" t="s">
        <v>662</v>
      </c>
      <c r="B21" t="s">
        <v>663</v>
      </c>
      <c r="C21" t="s">
        <v>399</v>
      </c>
      <c r="D21" t="s">
        <v>196</v>
      </c>
      <c r="E21" t="s">
        <v>525</v>
      </c>
      <c r="F21">
        <v>2</v>
      </c>
      <c r="G21">
        <v>221</v>
      </c>
      <c r="H21" t="str">
        <f>IF(VLOOKUP(C21,Customers!A:E,5,FALSE)&gt;=1000,"YES","NO")</f>
        <v>YES</v>
      </c>
      <c r="I21">
        <f t="shared" si="0"/>
        <v>110.5</v>
      </c>
      <c r="J21">
        <f>(I21 - VLOOKUP(E21,Desserts!A:D,4,FALSE)) * F21</f>
        <v>53</v>
      </c>
      <c r="N21" s="3" t="s">
        <v>60</v>
      </c>
      <c r="O21" s="4">
        <v>383</v>
      </c>
    </row>
    <row r="22" spans="1:15" x14ac:dyDescent="0.3">
      <c r="A22" t="s">
        <v>664</v>
      </c>
      <c r="B22" t="s">
        <v>665</v>
      </c>
      <c r="C22" t="s">
        <v>433</v>
      </c>
      <c r="D22" t="s">
        <v>271</v>
      </c>
      <c r="E22" t="s">
        <v>589</v>
      </c>
      <c r="F22">
        <v>2</v>
      </c>
      <c r="G22">
        <v>147</v>
      </c>
      <c r="H22" t="str">
        <f>IF(VLOOKUP(C22,Customers!A:E,5,FALSE)&gt;=1000,"YES","NO")</f>
        <v>YES</v>
      </c>
      <c r="I22">
        <f t="shared" si="0"/>
        <v>73.5</v>
      </c>
      <c r="J22">
        <f>(I22 - VLOOKUP(E22,Desserts!A:D,4,FALSE)) * F22</f>
        <v>5</v>
      </c>
      <c r="N22" s="3" t="s">
        <v>63</v>
      </c>
      <c r="O22" s="4">
        <v>626.5</v>
      </c>
    </row>
    <row r="23" spans="1:15" x14ac:dyDescent="0.3">
      <c r="A23" t="s">
        <v>666</v>
      </c>
      <c r="B23" t="s">
        <v>667</v>
      </c>
      <c r="C23" t="s">
        <v>443</v>
      </c>
      <c r="D23" t="s">
        <v>69</v>
      </c>
      <c r="E23" t="s">
        <v>569</v>
      </c>
      <c r="F23">
        <v>2</v>
      </c>
      <c r="G23">
        <v>213</v>
      </c>
      <c r="H23" t="str">
        <f>IF(VLOOKUP(C23,Customers!A:E,5,FALSE)&gt;=1000,"YES","NO")</f>
        <v>YES</v>
      </c>
      <c r="I23">
        <f t="shared" si="0"/>
        <v>106.5</v>
      </c>
      <c r="J23">
        <f>(I23 - VLOOKUP(E23,Desserts!A:D,4,FALSE)) * F23</f>
        <v>59</v>
      </c>
      <c r="N23" s="3" t="s">
        <v>66</v>
      </c>
      <c r="O23" s="4">
        <v>1266</v>
      </c>
    </row>
    <row r="24" spans="1:15" x14ac:dyDescent="0.3">
      <c r="A24" t="s">
        <v>668</v>
      </c>
      <c r="B24" t="s">
        <v>669</v>
      </c>
      <c r="C24" t="s">
        <v>507</v>
      </c>
      <c r="D24" t="s">
        <v>54</v>
      </c>
      <c r="E24" t="s">
        <v>577</v>
      </c>
      <c r="F24">
        <v>3</v>
      </c>
      <c r="G24">
        <v>115</v>
      </c>
      <c r="H24" t="str">
        <f>IF(VLOOKUP(C24,Customers!A:E,5,FALSE)&gt;=1000,"YES","NO")</f>
        <v>NO</v>
      </c>
      <c r="I24">
        <f t="shared" si="0"/>
        <v>115</v>
      </c>
      <c r="J24">
        <f>(I24 - VLOOKUP(E24,Desserts!A:D,4,FALSE)) * F24</f>
        <v>135</v>
      </c>
      <c r="N24" s="3" t="s">
        <v>69</v>
      </c>
      <c r="O24" s="4">
        <v>727</v>
      </c>
    </row>
    <row r="25" spans="1:15" x14ac:dyDescent="0.3">
      <c r="A25" t="s">
        <v>670</v>
      </c>
      <c r="B25" t="s">
        <v>671</v>
      </c>
      <c r="C25" t="s">
        <v>425</v>
      </c>
      <c r="D25" t="s">
        <v>97</v>
      </c>
      <c r="E25" t="s">
        <v>591</v>
      </c>
      <c r="F25">
        <v>4</v>
      </c>
      <c r="G25">
        <v>241</v>
      </c>
      <c r="H25" t="str">
        <f>IF(VLOOKUP(C25,Customers!A:E,5,FALSE)&gt;=1000,"YES","NO")</f>
        <v>NO</v>
      </c>
      <c r="I25">
        <f t="shared" si="0"/>
        <v>241</v>
      </c>
      <c r="J25">
        <f>(I25 - VLOOKUP(E25,Desserts!A:D,4,FALSE)) * F25</f>
        <v>716</v>
      </c>
      <c r="N25" s="3" t="s">
        <v>72</v>
      </c>
      <c r="O25" s="4">
        <v>1342.5</v>
      </c>
    </row>
    <row r="26" spans="1:15" x14ac:dyDescent="0.3">
      <c r="A26" t="s">
        <v>672</v>
      </c>
      <c r="B26" t="s">
        <v>673</v>
      </c>
      <c r="C26" t="s">
        <v>467</v>
      </c>
      <c r="D26" t="s">
        <v>20</v>
      </c>
      <c r="E26" t="s">
        <v>573</v>
      </c>
      <c r="F26">
        <v>2</v>
      </c>
      <c r="G26">
        <v>104</v>
      </c>
      <c r="H26" t="str">
        <f>IF(VLOOKUP(C26,Customers!A:E,5,FALSE)&gt;=1000,"YES","NO")</f>
        <v>YES</v>
      </c>
      <c r="I26">
        <f t="shared" si="0"/>
        <v>52</v>
      </c>
      <c r="J26">
        <f>(I26 - VLOOKUP(E26,Desserts!A:D,4,FALSE)) * F26</f>
        <v>4</v>
      </c>
      <c r="N26" s="3" t="s">
        <v>76</v>
      </c>
      <c r="O26" s="4">
        <v>2077</v>
      </c>
    </row>
    <row r="27" spans="1:15" x14ac:dyDescent="0.3">
      <c r="A27" t="s">
        <v>674</v>
      </c>
      <c r="B27" t="s">
        <v>675</v>
      </c>
      <c r="C27" t="s">
        <v>347</v>
      </c>
      <c r="D27" t="s">
        <v>235</v>
      </c>
      <c r="E27" t="s">
        <v>549</v>
      </c>
      <c r="F27">
        <v>5</v>
      </c>
      <c r="G27">
        <v>206</v>
      </c>
      <c r="H27" t="str">
        <f>IF(VLOOKUP(C27,Customers!A:E,5,FALSE)&gt;=1000,"YES","NO")</f>
        <v>YES</v>
      </c>
      <c r="I27">
        <f t="shared" si="0"/>
        <v>103</v>
      </c>
      <c r="J27">
        <f>(I27 - VLOOKUP(E27,Desserts!A:D,4,FALSE)) * F27</f>
        <v>120</v>
      </c>
      <c r="N27" s="3" t="s">
        <v>79</v>
      </c>
      <c r="O27" s="4">
        <v>1796.5</v>
      </c>
    </row>
    <row r="28" spans="1:15" x14ac:dyDescent="0.3">
      <c r="A28" t="s">
        <v>676</v>
      </c>
      <c r="B28" t="s">
        <v>677</v>
      </c>
      <c r="C28" t="s">
        <v>481</v>
      </c>
      <c r="D28" t="s">
        <v>304</v>
      </c>
      <c r="E28" t="s">
        <v>551</v>
      </c>
      <c r="F28">
        <v>5</v>
      </c>
      <c r="G28">
        <v>176</v>
      </c>
      <c r="H28" t="str">
        <f>IF(VLOOKUP(C28,Customers!A:E,5,FALSE)&gt;=1000,"YES","NO")</f>
        <v>YES</v>
      </c>
      <c r="I28">
        <f t="shared" si="0"/>
        <v>88</v>
      </c>
      <c r="J28">
        <f>(I28 - VLOOKUP(E28,Desserts!A:D,4,FALSE)) * F28</f>
        <v>95</v>
      </c>
      <c r="N28" s="3" t="s">
        <v>82</v>
      </c>
      <c r="O28" s="4">
        <v>54.5</v>
      </c>
    </row>
    <row r="29" spans="1:15" x14ac:dyDescent="0.3">
      <c r="A29" t="s">
        <v>678</v>
      </c>
      <c r="B29" t="s">
        <v>679</v>
      </c>
      <c r="C29" t="s">
        <v>447</v>
      </c>
      <c r="D29" t="s">
        <v>136</v>
      </c>
      <c r="E29" t="s">
        <v>591</v>
      </c>
      <c r="F29">
        <v>2</v>
      </c>
      <c r="G29">
        <v>201</v>
      </c>
      <c r="H29" t="str">
        <f>IF(VLOOKUP(C29,Customers!A:E,5,FALSE)&gt;=1000,"YES","NO")</f>
        <v>YES</v>
      </c>
      <c r="I29">
        <f t="shared" si="0"/>
        <v>100.5</v>
      </c>
      <c r="J29">
        <f>(I29 - VLOOKUP(E29,Desserts!A:D,4,FALSE)) * F29</f>
        <v>77</v>
      </c>
      <c r="N29" s="3" t="s">
        <v>85</v>
      </c>
      <c r="O29" s="4">
        <v>421.5</v>
      </c>
    </row>
    <row r="30" spans="1:15" x14ac:dyDescent="0.3">
      <c r="A30" t="s">
        <v>680</v>
      </c>
      <c r="B30" t="s">
        <v>681</v>
      </c>
      <c r="C30" t="s">
        <v>377</v>
      </c>
      <c r="D30" t="s">
        <v>106</v>
      </c>
      <c r="E30" t="s">
        <v>617</v>
      </c>
      <c r="F30">
        <v>1</v>
      </c>
      <c r="G30">
        <v>222</v>
      </c>
      <c r="H30" t="str">
        <f>IF(VLOOKUP(C30,Customers!A:E,5,FALSE)&gt;=1000,"YES","NO")</f>
        <v>NO</v>
      </c>
      <c r="I30">
        <f t="shared" si="0"/>
        <v>222</v>
      </c>
      <c r="J30">
        <f>(I30 - VLOOKUP(E30,Desserts!A:D,4,FALSE)) * F30</f>
        <v>181</v>
      </c>
      <c r="N30" s="3" t="s">
        <v>88</v>
      </c>
      <c r="O30" s="4">
        <v>1110.5</v>
      </c>
    </row>
    <row r="31" spans="1:15" x14ac:dyDescent="0.3">
      <c r="A31" t="s">
        <v>682</v>
      </c>
      <c r="B31" t="s">
        <v>683</v>
      </c>
      <c r="C31" t="s">
        <v>361</v>
      </c>
      <c r="D31" t="s">
        <v>106</v>
      </c>
      <c r="E31" t="s">
        <v>521</v>
      </c>
      <c r="F31">
        <v>4</v>
      </c>
      <c r="G31">
        <v>156</v>
      </c>
      <c r="H31" t="str">
        <f>IF(VLOOKUP(C31,Customers!A:E,5,FALSE)&gt;=1000,"YES","NO")</f>
        <v>NO</v>
      </c>
      <c r="I31">
        <f t="shared" si="0"/>
        <v>156</v>
      </c>
      <c r="J31">
        <f>(I31 - VLOOKUP(E31,Desserts!A:D,4,FALSE)) * F31</f>
        <v>368</v>
      </c>
      <c r="N31" s="3" t="s">
        <v>91</v>
      </c>
      <c r="O31" s="4">
        <v>725</v>
      </c>
    </row>
    <row r="32" spans="1:15" x14ac:dyDescent="0.3">
      <c r="A32" t="s">
        <v>684</v>
      </c>
      <c r="B32" t="s">
        <v>685</v>
      </c>
      <c r="C32" t="s">
        <v>375</v>
      </c>
      <c r="D32" t="s">
        <v>238</v>
      </c>
      <c r="E32" t="s">
        <v>533</v>
      </c>
      <c r="F32">
        <v>5</v>
      </c>
      <c r="G32">
        <v>175</v>
      </c>
      <c r="H32" t="str">
        <f>IF(VLOOKUP(C32,Customers!A:E,5,FALSE)&gt;=1000,"YES","NO")</f>
        <v>NO</v>
      </c>
      <c r="I32">
        <f t="shared" si="0"/>
        <v>175</v>
      </c>
      <c r="J32">
        <f>(I32 - VLOOKUP(E32,Desserts!A:D,4,FALSE)) * F32</f>
        <v>540</v>
      </c>
      <c r="N32" s="3" t="s">
        <v>94</v>
      </c>
      <c r="O32" s="4">
        <v>-97</v>
      </c>
    </row>
    <row r="33" spans="1:15" x14ac:dyDescent="0.3">
      <c r="A33" t="s">
        <v>686</v>
      </c>
      <c r="B33" t="s">
        <v>687</v>
      </c>
      <c r="C33" t="s">
        <v>417</v>
      </c>
      <c r="D33" t="s">
        <v>169</v>
      </c>
      <c r="E33" t="s">
        <v>553</v>
      </c>
      <c r="F33">
        <v>2</v>
      </c>
      <c r="G33">
        <v>154</v>
      </c>
      <c r="H33" t="str">
        <f>IF(VLOOKUP(C33,Customers!A:E,5,FALSE)&gt;=1000,"YES","NO")</f>
        <v>YES</v>
      </c>
      <c r="I33">
        <f t="shared" si="0"/>
        <v>77</v>
      </c>
      <c r="J33">
        <f>(I33 - VLOOKUP(E33,Desserts!A:D,4,FALSE)) * F33</f>
        <v>34</v>
      </c>
      <c r="N33" s="3" t="s">
        <v>97</v>
      </c>
      <c r="O33" s="4">
        <v>1674</v>
      </c>
    </row>
    <row r="34" spans="1:15" x14ac:dyDescent="0.3">
      <c r="A34" t="s">
        <v>688</v>
      </c>
      <c r="B34" t="s">
        <v>689</v>
      </c>
      <c r="C34" t="s">
        <v>347</v>
      </c>
      <c r="D34" t="s">
        <v>94</v>
      </c>
      <c r="E34" t="s">
        <v>549</v>
      </c>
      <c r="F34">
        <v>2</v>
      </c>
      <c r="G34">
        <v>183</v>
      </c>
      <c r="H34" t="str">
        <f>IF(VLOOKUP(C34,Customers!A:E,5,FALSE)&gt;=1000,"YES","NO")</f>
        <v>YES</v>
      </c>
      <c r="I34">
        <f t="shared" si="0"/>
        <v>91.5</v>
      </c>
      <c r="J34">
        <f>(I34 - VLOOKUP(E34,Desserts!A:D,4,FALSE)) * F34</f>
        <v>25</v>
      </c>
      <c r="N34" s="3" t="s">
        <v>100</v>
      </c>
      <c r="O34" s="4">
        <v>1611.5</v>
      </c>
    </row>
    <row r="35" spans="1:15" x14ac:dyDescent="0.3">
      <c r="A35" t="s">
        <v>690</v>
      </c>
      <c r="B35" t="s">
        <v>636</v>
      </c>
      <c r="C35" t="s">
        <v>325</v>
      </c>
      <c r="D35" t="s">
        <v>289</v>
      </c>
      <c r="E35" t="s">
        <v>533</v>
      </c>
      <c r="F35">
        <v>3</v>
      </c>
      <c r="G35">
        <v>222</v>
      </c>
      <c r="H35" t="str">
        <f>IF(VLOOKUP(C35,Customers!A:E,5,FALSE)&gt;=1000,"YES","NO")</f>
        <v>NO</v>
      </c>
      <c r="I35">
        <f t="shared" si="0"/>
        <v>222</v>
      </c>
      <c r="J35">
        <f>(I35 - VLOOKUP(E35,Desserts!A:D,4,FALSE)) * F35</f>
        <v>465</v>
      </c>
      <c r="N35" s="3" t="s">
        <v>103</v>
      </c>
      <c r="O35" s="4">
        <v>1549</v>
      </c>
    </row>
    <row r="36" spans="1:15" x14ac:dyDescent="0.3">
      <c r="A36" t="s">
        <v>691</v>
      </c>
      <c r="B36" t="s">
        <v>692</v>
      </c>
      <c r="C36" t="s">
        <v>433</v>
      </c>
      <c r="D36" t="s">
        <v>265</v>
      </c>
      <c r="E36" t="s">
        <v>525</v>
      </c>
      <c r="F36">
        <v>1</v>
      </c>
      <c r="G36">
        <v>217</v>
      </c>
      <c r="H36" t="str">
        <f>IF(VLOOKUP(C36,Customers!A:E,5,FALSE)&gt;=1000,"YES","NO")</f>
        <v>YES</v>
      </c>
      <c r="I36">
        <f t="shared" si="0"/>
        <v>108.5</v>
      </c>
      <c r="J36">
        <f>(I36 - VLOOKUP(E36,Desserts!A:D,4,FALSE)) * F36</f>
        <v>24.5</v>
      </c>
      <c r="N36" s="3" t="s">
        <v>106</v>
      </c>
      <c r="O36" s="4">
        <v>963</v>
      </c>
    </row>
    <row r="37" spans="1:15" x14ac:dyDescent="0.3">
      <c r="A37" t="s">
        <v>693</v>
      </c>
      <c r="B37" t="s">
        <v>640</v>
      </c>
      <c r="C37" t="s">
        <v>443</v>
      </c>
      <c r="D37" t="s">
        <v>238</v>
      </c>
      <c r="E37" t="s">
        <v>577</v>
      </c>
      <c r="F37">
        <v>5</v>
      </c>
      <c r="G37">
        <v>126</v>
      </c>
      <c r="H37" t="str">
        <f>IF(VLOOKUP(C37,Customers!A:E,5,FALSE)&gt;=1000,"YES","NO")</f>
        <v>YES</v>
      </c>
      <c r="I37">
        <f t="shared" si="0"/>
        <v>63</v>
      </c>
      <c r="J37">
        <f>(I37 - VLOOKUP(E37,Desserts!A:D,4,FALSE)) * F37</f>
        <v>-35</v>
      </c>
      <c r="N37" s="3" t="s">
        <v>109</v>
      </c>
      <c r="O37" s="4">
        <v>886</v>
      </c>
    </row>
    <row r="38" spans="1:15" x14ac:dyDescent="0.3">
      <c r="A38" t="s">
        <v>694</v>
      </c>
      <c r="B38" t="s">
        <v>695</v>
      </c>
      <c r="C38" t="s">
        <v>377</v>
      </c>
      <c r="D38" t="s">
        <v>166</v>
      </c>
      <c r="E38" t="s">
        <v>603</v>
      </c>
      <c r="F38">
        <v>5</v>
      </c>
      <c r="G38">
        <v>139</v>
      </c>
      <c r="H38" t="str">
        <f>IF(VLOOKUP(C38,Customers!A:E,5,FALSE)&gt;=1000,"YES","NO")</f>
        <v>NO</v>
      </c>
      <c r="I38">
        <f t="shared" si="0"/>
        <v>139</v>
      </c>
      <c r="J38">
        <f>(I38 - VLOOKUP(E38,Desserts!A:D,4,FALSE)) * F38</f>
        <v>250</v>
      </c>
      <c r="N38" s="3" t="s">
        <v>112</v>
      </c>
      <c r="O38" s="4">
        <v>775</v>
      </c>
    </row>
    <row r="39" spans="1:15" x14ac:dyDescent="0.3">
      <c r="A39" t="s">
        <v>696</v>
      </c>
      <c r="B39" t="s">
        <v>697</v>
      </c>
      <c r="C39" t="s">
        <v>361</v>
      </c>
      <c r="D39" t="s">
        <v>148</v>
      </c>
      <c r="E39" t="s">
        <v>579</v>
      </c>
      <c r="F39">
        <v>1</v>
      </c>
      <c r="G39">
        <v>203</v>
      </c>
      <c r="H39" t="str">
        <f>IF(VLOOKUP(C39,Customers!A:E,5,FALSE)&gt;=1000,"YES","NO")</f>
        <v>NO</v>
      </c>
      <c r="I39">
        <f t="shared" si="0"/>
        <v>203</v>
      </c>
      <c r="J39">
        <f>(I39 - VLOOKUP(E39,Desserts!A:D,4,FALSE)) * F39</f>
        <v>141</v>
      </c>
      <c r="N39" s="3" t="s">
        <v>115</v>
      </c>
      <c r="O39" s="4">
        <v>1007</v>
      </c>
    </row>
    <row r="40" spans="1:15" x14ac:dyDescent="0.3">
      <c r="A40" t="s">
        <v>698</v>
      </c>
      <c r="B40" t="s">
        <v>699</v>
      </c>
      <c r="C40" t="s">
        <v>385</v>
      </c>
      <c r="D40" t="s">
        <v>109</v>
      </c>
      <c r="E40" t="s">
        <v>527</v>
      </c>
      <c r="F40">
        <v>2</v>
      </c>
      <c r="G40">
        <v>174</v>
      </c>
      <c r="H40" t="str">
        <f>IF(VLOOKUP(C40,Customers!A:E,5,FALSE)&gt;=1000,"YES","NO")</f>
        <v>YES</v>
      </c>
      <c r="I40">
        <f t="shared" si="0"/>
        <v>87</v>
      </c>
      <c r="J40">
        <f>(I40 - VLOOKUP(E40,Desserts!A:D,4,FALSE)) * F40</f>
        <v>88</v>
      </c>
      <c r="N40" s="3" t="s">
        <v>118</v>
      </c>
      <c r="O40" s="4">
        <v>1802</v>
      </c>
    </row>
    <row r="41" spans="1:15" x14ac:dyDescent="0.3">
      <c r="A41" t="s">
        <v>700</v>
      </c>
      <c r="B41" t="s">
        <v>701</v>
      </c>
      <c r="C41" t="s">
        <v>381</v>
      </c>
      <c r="D41" t="s">
        <v>112</v>
      </c>
      <c r="E41" t="s">
        <v>583</v>
      </c>
      <c r="F41">
        <v>1</v>
      </c>
      <c r="G41">
        <v>219</v>
      </c>
      <c r="H41" t="str">
        <f>IF(VLOOKUP(C41,Customers!A:E,5,FALSE)&gt;=1000,"YES","NO")</f>
        <v>NO</v>
      </c>
      <c r="I41">
        <f t="shared" si="0"/>
        <v>219</v>
      </c>
      <c r="J41">
        <f>(I41 - VLOOKUP(E41,Desserts!A:D,4,FALSE)) * F41</f>
        <v>136</v>
      </c>
      <c r="N41" s="3" t="s">
        <v>121</v>
      </c>
      <c r="O41" s="4">
        <v>255</v>
      </c>
    </row>
    <row r="42" spans="1:15" x14ac:dyDescent="0.3">
      <c r="A42" t="s">
        <v>702</v>
      </c>
      <c r="B42" t="s">
        <v>703</v>
      </c>
      <c r="C42" t="s">
        <v>383</v>
      </c>
      <c r="D42" t="s">
        <v>280</v>
      </c>
      <c r="E42" t="s">
        <v>583</v>
      </c>
      <c r="F42">
        <v>3</v>
      </c>
      <c r="G42">
        <v>243</v>
      </c>
      <c r="H42" t="str">
        <f>IF(VLOOKUP(C42,Customers!A:E,5,FALSE)&gt;=1000,"YES","NO")</f>
        <v>NO</v>
      </c>
      <c r="I42">
        <f t="shared" si="0"/>
        <v>243</v>
      </c>
      <c r="J42">
        <f>(I42 - VLOOKUP(E42,Desserts!A:D,4,FALSE)) * F42</f>
        <v>480</v>
      </c>
      <c r="N42" s="3" t="s">
        <v>124</v>
      </c>
      <c r="O42" s="4">
        <v>634</v>
      </c>
    </row>
    <row r="43" spans="1:15" x14ac:dyDescent="0.3">
      <c r="A43" t="s">
        <v>704</v>
      </c>
      <c r="B43" t="s">
        <v>705</v>
      </c>
      <c r="C43" t="s">
        <v>367</v>
      </c>
      <c r="D43" t="s">
        <v>280</v>
      </c>
      <c r="E43" t="s">
        <v>523</v>
      </c>
      <c r="F43">
        <v>3</v>
      </c>
      <c r="G43">
        <v>234</v>
      </c>
      <c r="H43" t="str">
        <f>IF(VLOOKUP(C43,Customers!A:E,5,FALSE)&gt;=1000,"YES","NO")</f>
        <v>NO</v>
      </c>
      <c r="I43">
        <f t="shared" si="0"/>
        <v>234</v>
      </c>
      <c r="J43">
        <f>(I43 - VLOOKUP(E43,Desserts!A:D,4,FALSE)) * F43</f>
        <v>498</v>
      </c>
      <c r="N43" s="3" t="s">
        <v>127</v>
      </c>
      <c r="O43" s="4">
        <v>381</v>
      </c>
    </row>
    <row r="44" spans="1:15" x14ac:dyDescent="0.3">
      <c r="A44" t="s">
        <v>706</v>
      </c>
      <c r="B44" t="s">
        <v>642</v>
      </c>
      <c r="C44" t="s">
        <v>375</v>
      </c>
      <c r="D44" t="s">
        <v>151</v>
      </c>
      <c r="E44" t="s">
        <v>567</v>
      </c>
      <c r="F44">
        <v>5</v>
      </c>
      <c r="G44">
        <v>115</v>
      </c>
      <c r="H44" t="str">
        <f>IF(VLOOKUP(C44,Customers!A:E,5,FALSE)&gt;=1000,"YES","NO")</f>
        <v>NO</v>
      </c>
      <c r="I44">
        <f t="shared" si="0"/>
        <v>115</v>
      </c>
      <c r="J44">
        <f>(I44 - VLOOKUP(E44,Desserts!A:D,4,FALSE)) * F44</f>
        <v>295</v>
      </c>
      <c r="N44" s="3" t="s">
        <v>130</v>
      </c>
      <c r="O44" s="4">
        <v>1214.5</v>
      </c>
    </row>
    <row r="45" spans="1:15" x14ac:dyDescent="0.3">
      <c r="A45" t="s">
        <v>707</v>
      </c>
      <c r="B45" t="s">
        <v>708</v>
      </c>
      <c r="C45" t="s">
        <v>457</v>
      </c>
      <c r="D45" t="s">
        <v>235</v>
      </c>
      <c r="E45" t="s">
        <v>563</v>
      </c>
      <c r="F45">
        <v>1</v>
      </c>
      <c r="G45">
        <v>124</v>
      </c>
      <c r="H45" t="str">
        <f>IF(VLOOKUP(C45,Customers!A:E,5,FALSE)&gt;=1000,"YES","NO")</f>
        <v>YES</v>
      </c>
      <c r="I45">
        <f t="shared" si="0"/>
        <v>62</v>
      </c>
      <c r="J45">
        <f>(I45 - VLOOKUP(E45,Desserts!A:D,4,FALSE)) * F45</f>
        <v>-3</v>
      </c>
      <c r="N45" s="3" t="s">
        <v>133</v>
      </c>
      <c r="O45" s="4">
        <v>64.5</v>
      </c>
    </row>
    <row r="46" spans="1:15" x14ac:dyDescent="0.3">
      <c r="A46" t="s">
        <v>709</v>
      </c>
      <c r="B46" t="s">
        <v>710</v>
      </c>
      <c r="C46" t="s">
        <v>439</v>
      </c>
      <c r="D46" t="s">
        <v>85</v>
      </c>
      <c r="E46" t="s">
        <v>577</v>
      </c>
      <c r="F46">
        <v>5</v>
      </c>
      <c r="G46">
        <v>211</v>
      </c>
      <c r="H46" t="str">
        <f>IF(VLOOKUP(C46,Customers!A:E,5,FALSE)&gt;=1000,"YES","NO")</f>
        <v>YES</v>
      </c>
      <c r="I46">
        <f t="shared" si="0"/>
        <v>105.5</v>
      </c>
      <c r="J46">
        <f>(I46 - VLOOKUP(E46,Desserts!A:D,4,FALSE)) * F46</f>
        <v>177.5</v>
      </c>
      <c r="N46" s="3" t="s">
        <v>136</v>
      </c>
      <c r="O46" s="4">
        <v>1485.5</v>
      </c>
    </row>
    <row r="47" spans="1:15" x14ac:dyDescent="0.3">
      <c r="A47" t="s">
        <v>711</v>
      </c>
      <c r="B47" t="s">
        <v>681</v>
      </c>
      <c r="C47" t="s">
        <v>421</v>
      </c>
      <c r="D47" t="s">
        <v>265</v>
      </c>
      <c r="E47" t="s">
        <v>521</v>
      </c>
      <c r="F47">
        <v>5</v>
      </c>
      <c r="G47">
        <v>161</v>
      </c>
      <c r="H47" t="str">
        <f>IF(VLOOKUP(C47,Customers!A:E,5,FALSE)&gt;=1000,"YES","NO")</f>
        <v>YES</v>
      </c>
      <c r="I47">
        <f t="shared" si="0"/>
        <v>80.5</v>
      </c>
      <c r="J47">
        <f>(I47 - VLOOKUP(E47,Desserts!A:D,4,FALSE)) * F47</f>
        <v>82.5</v>
      </c>
      <c r="N47" s="3" t="s">
        <v>139</v>
      </c>
      <c r="O47" s="4">
        <v>1123</v>
      </c>
    </row>
    <row r="48" spans="1:15" x14ac:dyDescent="0.3">
      <c r="A48" t="s">
        <v>712</v>
      </c>
      <c r="B48" t="s">
        <v>713</v>
      </c>
      <c r="C48" t="s">
        <v>431</v>
      </c>
      <c r="D48" t="s">
        <v>292</v>
      </c>
      <c r="E48" t="s">
        <v>555</v>
      </c>
      <c r="F48">
        <v>5</v>
      </c>
      <c r="G48">
        <v>143</v>
      </c>
      <c r="H48" t="str">
        <f>IF(VLOOKUP(C48,Customers!A:E,5,FALSE)&gt;=1000,"YES","NO")</f>
        <v>YES</v>
      </c>
      <c r="I48">
        <f t="shared" si="0"/>
        <v>71.5</v>
      </c>
      <c r="J48">
        <f>(I48 - VLOOKUP(E48,Desserts!A:D,4,FALSE)) * F48</f>
        <v>-17.5</v>
      </c>
      <c r="N48" s="3" t="s">
        <v>142</v>
      </c>
      <c r="O48" s="4">
        <v>1179.5</v>
      </c>
    </row>
    <row r="49" spans="1:15" x14ac:dyDescent="0.3">
      <c r="A49" t="s">
        <v>714</v>
      </c>
      <c r="B49" t="s">
        <v>715</v>
      </c>
      <c r="C49" t="s">
        <v>469</v>
      </c>
      <c r="D49" t="s">
        <v>106</v>
      </c>
      <c r="E49" t="s">
        <v>599</v>
      </c>
      <c r="F49">
        <v>5</v>
      </c>
      <c r="G49">
        <v>165</v>
      </c>
      <c r="H49" t="str">
        <f>IF(VLOOKUP(C49,Customers!A:E,5,FALSE)&gt;=1000,"YES","NO")</f>
        <v>NO</v>
      </c>
      <c r="I49">
        <f t="shared" si="0"/>
        <v>165</v>
      </c>
      <c r="J49">
        <f>(I49 - VLOOKUP(E49,Desserts!A:D,4,FALSE)) * F49</f>
        <v>425</v>
      </c>
      <c r="N49" s="3" t="s">
        <v>145</v>
      </c>
      <c r="O49" s="4">
        <v>247</v>
      </c>
    </row>
    <row r="50" spans="1:15" x14ac:dyDescent="0.3">
      <c r="A50" t="s">
        <v>716</v>
      </c>
      <c r="B50" t="s">
        <v>717</v>
      </c>
      <c r="C50" t="s">
        <v>335</v>
      </c>
      <c r="D50" t="s">
        <v>57</v>
      </c>
      <c r="E50" t="s">
        <v>535</v>
      </c>
      <c r="F50">
        <v>4</v>
      </c>
      <c r="G50">
        <v>108</v>
      </c>
      <c r="H50" t="str">
        <f>IF(VLOOKUP(C50,Customers!A:E,5,FALSE)&gt;=1000,"YES","NO")</f>
        <v>NO</v>
      </c>
      <c r="I50">
        <f t="shared" si="0"/>
        <v>108</v>
      </c>
      <c r="J50">
        <f>(I50 - VLOOKUP(E50,Desserts!A:D,4,FALSE)) * F50</f>
        <v>136</v>
      </c>
      <c r="N50" s="3" t="s">
        <v>148</v>
      </c>
      <c r="O50" s="4">
        <v>594</v>
      </c>
    </row>
    <row r="51" spans="1:15" x14ac:dyDescent="0.3">
      <c r="A51" t="s">
        <v>718</v>
      </c>
      <c r="B51" t="s">
        <v>719</v>
      </c>
      <c r="C51" t="s">
        <v>401</v>
      </c>
      <c r="D51" t="s">
        <v>307</v>
      </c>
      <c r="E51" t="s">
        <v>585</v>
      </c>
      <c r="F51">
        <v>4</v>
      </c>
      <c r="G51">
        <v>150</v>
      </c>
      <c r="H51" t="str">
        <f>IF(VLOOKUP(C51,Customers!A:E,5,FALSE)&gt;=1000,"YES","NO")</f>
        <v>YES</v>
      </c>
      <c r="I51">
        <f t="shared" si="0"/>
        <v>75</v>
      </c>
      <c r="J51">
        <f>(I51 - VLOOKUP(E51,Desserts!A:D,4,FALSE)) * F51</f>
        <v>112</v>
      </c>
      <c r="N51" s="3" t="s">
        <v>151</v>
      </c>
      <c r="O51" s="4">
        <v>1846</v>
      </c>
    </row>
    <row r="52" spans="1:15" x14ac:dyDescent="0.3">
      <c r="A52" t="s">
        <v>720</v>
      </c>
      <c r="B52" t="s">
        <v>721</v>
      </c>
      <c r="C52" t="s">
        <v>423</v>
      </c>
      <c r="D52" t="s">
        <v>274</v>
      </c>
      <c r="E52" t="s">
        <v>597</v>
      </c>
      <c r="F52">
        <v>3</v>
      </c>
      <c r="G52">
        <v>121</v>
      </c>
      <c r="H52" t="str">
        <f>IF(VLOOKUP(C52,Customers!A:E,5,FALSE)&gt;=1000,"YES","NO")</f>
        <v>NO</v>
      </c>
      <c r="I52">
        <f t="shared" si="0"/>
        <v>121</v>
      </c>
      <c r="J52">
        <f>(I52 - VLOOKUP(E52,Desserts!A:D,4,FALSE)) * F52</f>
        <v>228</v>
      </c>
      <c r="N52" s="3" t="s">
        <v>154</v>
      </c>
      <c r="O52" s="4">
        <v>6</v>
      </c>
    </row>
    <row r="53" spans="1:15" x14ac:dyDescent="0.3">
      <c r="A53" t="s">
        <v>722</v>
      </c>
      <c r="B53" t="s">
        <v>723</v>
      </c>
      <c r="C53" t="s">
        <v>509</v>
      </c>
      <c r="D53" t="s">
        <v>286</v>
      </c>
      <c r="E53" t="s">
        <v>617</v>
      </c>
      <c r="F53">
        <v>4</v>
      </c>
      <c r="G53">
        <v>210</v>
      </c>
      <c r="H53" t="str">
        <f>IF(VLOOKUP(C53,Customers!A:E,5,FALSE)&gt;=1000,"YES","NO")</f>
        <v>NO</v>
      </c>
      <c r="I53">
        <f t="shared" si="0"/>
        <v>210</v>
      </c>
      <c r="J53">
        <f>(I53 - VLOOKUP(E53,Desserts!A:D,4,FALSE)) * F53</f>
        <v>676</v>
      </c>
      <c r="N53" s="3" t="s">
        <v>157</v>
      </c>
      <c r="O53" s="4">
        <v>1149.5</v>
      </c>
    </row>
    <row r="54" spans="1:15" x14ac:dyDescent="0.3">
      <c r="A54" t="s">
        <v>724</v>
      </c>
      <c r="B54" t="s">
        <v>725</v>
      </c>
      <c r="C54" t="s">
        <v>397</v>
      </c>
      <c r="D54" t="s">
        <v>214</v>
      </c>
      <c r="E54" t="s">
        <v>567</v>
      </c>
      <c r="F54">
        <v>4</v>
      </c>
      <c r="G54">
        <v>232</v>
      </c>
      <c r="H54" t="str">
        <f>IF(VLOOKUP(C54,Customers!A:E,5,FALSE)&gt;=1000,"YES","NO")</f>
        <v>NO</v>
      </c>
      <c r="I54">
        <f t="shared" si="0"/>
        <v>232</v>
      </c>
      <c r="J54">
        <f>(I54 - VLOOKUP(E54,Desserts!A:D,4,FALSE)) * F54</f>
        <v>704</v>
      </c>
      <c r="N54" s="3" t="s">
        <v>163</v>
      </c>
      <c r="O54" s="4">
        <v>1152.5</v>
      </c>
    </row>
    <row r="55" spans="1:15" x14ac:dyDescent="0.3">
      <c r="A55" t="s">
        <v>726</v>
      </c>
      <c r="B55" t="s">
        <v>727</v>
      </c>
      <c r="C55" t="s">
        <v>461</v>
      </c>
      <c r="D55" t="s">
        <v>190</v>
      </c>
      <c r="E55" t="s">
        <v>609</v>
      </c>
      <c r="F55">
        <v>5</v>
      </c>
      <c r="G55">
        <v>116</v>
      </c>
      <c r="H55" t="str">
        <f>IF(VLOOKUP(C55,Customers!A:E,5,FALSE)&gt;=1000,"YES","NO")</f>
        <v>YES</v>
      </c>
      <c r="I55">
        <f t="shared" si="0"/>
        <v>58</v>
      </c>
      <c r="J55">
        <f>(I55 - VLOOKUP(E55,Desserts!A:D,4,FALSE)) * F55</f>
        <v>-30</v>
      </c>
      <c r="N55" s="3" t="s">
        <v>166</v>
      </c>
      <c r="O55" s="4">
        <v>1297.5</v>
      </c>
    </row>
    <row r="56" spans="1:15" x14ac:dyDescent="0.3">
      <c r="A56" t="s">
        <v>728</v>
      </c>
      <c r="B56" t="s">
        <v>729</v>
      </c>
      <c r="C56" t="s">
        <v>495</v>
      </c>
      <c r="D56" t="s">
        <v>181</v>
      </c>
      <c r="E56" t="s">
        <v>607</v>
      </c>
      <c r="F56">
        <v>3</v>
      </c>
      <c r="G56">
        <v>214</v>
      </c>
      <c r="H56" t="str">
        <f>IF(VLOOKUP(C56,Customers!A:E,5,FALSE)&gt;=1000,"YES","NO")</f>
        <v>NO</v>
      </c>
      <c r="I56">
        <f t="shared" si="0"/>
        <v>214</v>
      </c>
      <c r="J56">
        <f>(I56 - VLOOKUP(E56,Desserts!A:D,4,FALSE)) * F56</f>
        <v>432</v>
      </c>
      <c r="N56" s="3" t="s">
        <v>169</v>
      </c>
      <c r="O56" s="4">
        <v>531</v>
      </c>
    </row>
    <row r="57" spans="1:15" x14ac:dyDescent="0.3">
      <c r="A57" t="s">
        <v>730</v>
      </c>
      <c r="B57" t="s">
        <v>731</v>
      </c>
      <c r="C57" t="s">
        <v>511</v>
      </c>
      <c r="D57" t="s">
        <v>97</v>
      </c>
      <c r="E57" t="s">
        <v>535</v>
      </c>
      <c r="F57">
        <v>2</v>
      </c>
      <c r="G57">
        <v>246</v>
      </c>
      <c r="H57" t="str">
        <f>IF(VLOOKUP(C57,Customers!A:E,5,FALSE)&gt;=1000,"YES","NO")</f>
        <v>YES</v>
      </c>
      <c r="I57">
        <f t="shared" si="0"/>
        <v>123</v>
      </c>
      <c r="J57">
        <f>(I57 - VLOOKUP(E57,Desserts!A:D,4,FALSE)) * F57</f>
        <v>98</v>
      </c>
      <c r="N57" s="3" t="s">
        <v>172</v>
      </c>
      <c r="O57" s="4">
        <v>807</v>
      </c>
    </row>
    <row r="58" spans="1:15" x14ac:dyDescent="0.3">
      <c r="A58" t="s">
        <v>732</v>
      </c>
      <c r="B58" t="s">
        <v>733</v>
      </c>
      <c r="C58" t="s">
        <v>485</v>
      </c>
      <c r="D58" t="s">
        <v>268</v>
      </c>
      <c r="E58" t="s">
        <v>567</v>
      </c>
      <c r="F58">
        <v>1</v>
      </c>
      <c r="G58">
        <v>137</v>
      </c>
      <c r="H58" t="str">
        <f>IF(VLOOKUP(C58,Customers!A:E,5,FALSE)&gt;=1000,"YES","NO")</f>
        <v>YES</v>
      </c>
      <c r="I58">
        <f t="shared" si="0"/>
        <v>68.5</v>
      </c>
      <c r="J58">
        <f>(I58 - VLOOKUP(E58,Desserts!A:D,4,FALSE)) * F58</f>
        <v>12.5</v>
      </c>
      <c r="N58" s="3" t="s">
        <v>175</v>
      </c>
      <c r="O58" s="4">
        <v>1157.5</v>
      </c>
    </row>
    <row r="59" spans="1:15" x14ac:dyDescent="0.3">
      <c r="A59" t="s">
        <v>734</v>
      </c>
      <c r="B59" t="s">
        <v>735</v>
      </c>
      <c r="C59" t="s">
        <v>431</v>
      </c>
      <c r="D59" t="s">
        <v>79</v>
      </c>
      <c r="E59" t="s">
        <v>609</v>
      </c>
      <c r="F59">
        <v>4</v>
      </c>
      <c r="G59">
        <v>206</v>
      </c>
      <c r="H59" t="str">
        <f>IF(VLOOKUP(C59,Customers!A:E,5,FALSE)&gt;=1000,"YES","NO")</f>
        <v>YES</v>
      </c>
      <c r="I59">
        <f t="shared" si="0"/>
        <v>103</v>
      </c>
      <c r="J59">
        <f>(I59 - VLOOKUP(E59,Desserts!A:D,4,FALSE)) * F59</f>
        <v>156</v>
      </c>
      <c r="N59" s="3" t="s">
        <v>178</v>
      </c>
      <c r="O59" s="4">
        <v>1191.5</v>
      </c>
    </row>
    <row r="60" spans="1:15" x14ac:dyDescent="0.3">
      <c r="A60" t="s">
        <v>736</v>
      </c>
      <c r="B60" t="s">
        <v>737</v>
      </c>
      <c r="C60" t="s">
        <v>373</v>
      </c>
      <c r="D60" t="s">
        <v>181</v>
      </c>
      <c r="E60" t="s">
        <v>589</v>
      </c>
      <c r="F60">
        <v>4</v>
      </c>
      <c r="G60">
        <v>201</v>
      </c>
      <c r="H60" t="str">
        <f>IF(VLOOKUP(C60,Customers!A:E,5,FALSE)&gt;=1000,"YES","NO")</f>
        <v>NO</v>
      </c>
      <c r="I60">
        <f t="shared" si="0"/>
        <v>201</v>
      </c>
      <c r="J60">
        <f>(I60 - VLOOKUP(E60,Desserts!A:D,4,FALSE)) * F60</f>
        <v>520</v>
      </c>
      <c r="N60" s="3" t="s">
        <v>181</v>
      </c>
      <c r="O60" s="4">
        <v>2547.5</v>
      </c>
    </row>
    <row r="61" spans="1:15" x14ac:dyDescent="0.3">
      <c r="A61" t="s">
        <v>738</v>
      </c>
      <c r="B61" t="s">
        <v>739</v>
      </c>
      <c r="C61" t="s">
        <v>411</v>
      </c>
      <c r="D61" t="s">
        <v>190</v>
      </c>
      <c r="E61" t="s">
        <v>563</v>
      </c>
      <c r="F61">
        <v>4</v>
      </c>
      <c r="G61">
        <v>243</v>
      </c>
      <c r="H61" t="str">
        <f>IF(VLOOKUP(C61,Customers!A:E,5,FALSE)&gt;=1000,"YES","NO")</f>
        <v>NO</v>
      </c>
      <c r="I61">
        <f t="shared" si="0"/>
        <v>243</v>
      </c>
      <c r="J61">
        <f>(I61 - VLOOKUP(E61,Desserts!A:D,4,FALSE)) * F61</f>
        <v>712</v>
      </c>
      <c r="N61" s="3" t="s">
        <v>184</v>
      </c>
      <c r="O61" s="4">
        <v>668</v>
      </c>
    </row>
    <row r="62" spans="1:15" x14ac:dyDescent="0.3">
      <c r="A62" t="s">
        <v>740</v>
      </c>
      <c r="B62" t="s">
        <v>741</v>
      </c>
      <c r="C62" t="s">
        <v>319</v>
      </c>
      <c r="D62" t="s">
        <v>30</v>
      </c>
      <c r="E62" t="s">
        <v>561</v>
      </c>
      <c r="F62">
        <v>1</v>
      </c>
      <c r="G62">
        <v>137</v>
      </c>
      <c r="H62" t="str">
        <f>IF(VLOOKUP(C62,Customers!A:E,5,FALSE)&gt;=1000,"YES","NO")</f>
        <v>YES</v>
      </c>
      <c r="I62">
        <f t="shared" si="0"/>
        <v>68.5</v>
      </c>
      <c r="J62">
        <f>(I62 - VLOOKUP(E62,Desserts!A:D,4,FALSE)) * F62</f>
        <v>5.5</v>
      </c>
      <c r="N62" s="3" t="s">
        <v>187</v>
      </c>
      <c r="O62" s="4">
        <v>895</v>
      </c>
    </row>
    <row r="63" spans="1:15" x14ac:dyDescent="0.3">
      <c r="A63" t="s">
        <v>742</v>
      </c>
      <c r="B63" t="s">
        <v>743</v>
      </c>
      <c r="C63" t="s">
        <v>365</v>
      </c>
      <c r="D63" t="s">
        <v>199</v>
      </c>
      <c r="E63" t="s">
        <v>603</v>
      </c>
      <c r="F63">
        <v>2</v>
      </c>
      <c r="G63">
        <v>122</v>
      </c>
      <c r="H63" t="str">
        <f>IF(VLOOKUP(C63,Customers!A:E,5,FALSE)&gt;=1000,"YES","NO")</f>
        <v>NO</v>
      </c>
      <c r="I63">
        <f t="shared" si="0"/>
        <v>122</v>
      </c>
      <c r="J63">
        <f>(I63 - VLOOKUP(E63,Desserts!A:D,4,FALSE)) * F63</f>
        <v>66</v>
      </c>
      <c r="N63" s="3" t="s">
        <v>190</v>
      </c>
      <c r="O63" s="4">
        <v>1162</v>
      </c>
    </row>
    <row r="64" spans="1:15" x14ac:dyDescent="0.3">
      <c r="A64" t="s">
        <v>744</v>
      </c>
      <c r="B64" t="s">
        <v>745</v>
      </c>
      <c r="C64" t="s">
        <v>325</v>
      </c>
      <c r="D64" t="s">
        <v>157</v>
      </c>
      <c r="E64" t="s">
        <v>583</v>
      </c>
      <c r="F64">
        <v>1</v>
      </c>
      <c r="G64">
        <v>212</v>
      </c>
      <c r="H64" t="str">
        <f>IF(VLOOKUP(C64,Customers!A:E,5,FALSE)&gt;=1000,"YES","NO")</f>
        <v>NO</v>
      </c>
      <c r="I64">
        <f t="shared" si="0"/>
        <v>212</v>
      </c>
      <c r="J64">
        <f>(I64 - VLOOKUP(E64,Desserts!A:D,4,FALSE)) * F64</f>
        <v>129</v>
      </c>
      <c r="N64" s="3" t="s">
        <v>193</v>
      </c>
      <c r="O64" s="4">
        <v>1874.5</v>
      </c>
    </row>
    <row r="65" spans="1:15" x14ac:dyDescent="0.3">
      <c r="A65" t="s">
        <v>746</v>
      </c>
      <c r="B65" t="s">
        <v>747</v>
      </c>
      <c r="C65" t="s">
        <v>509</v>
      </c>
      <c r="D65" t="s">
        <v>151</v>
      </c>
      <c r="E65" t="s">
        <v>615</v>
      </c>
      <c r="F65">
        <v>2</v>
      </c>
      <c r="G65">
        <v>248</v>
      </c>
      <c r="H65" t="str">
        <f>IF(VLOOKUP(C65,Customers!A:E,5,FALSE)&gt;=1000,"YES","NO")</f>
        <v>NO</v>
      </c>
      <c r="I65">
        <f t="shared" si="0"/>
        <v>248</v>
      </c>
      <c r="J65">
        <f>(I65 - VLOOKUP(E65,Desserts!A:D,4,FALSE)) * F65</f>
        <v>412</v>
      </c>
      <c r="N65" s="3" t="s">
        <v>196</v>
      </c>
      <c r="O65" s="4">
        <v>973.5</v>
      </c>
    </row>
    <row r="66" spans="1:15" x14ac:dyDescent="0.3">
      <c r="A66" t="s">
        <v>748</v>
      </c>
      <c r="B66" t="s">
        <v>749</v>
      </c>
      <c r="C66" t="s">
        <v>409</v>
      </c>
      <c r="D66" t="s">
        <v>265</v>
      </c>
      <c r="E66" t="s">
        <v>617</v>
      </c>
      <c r="F66">
        <v>3</v>
      </c>
      <c r="G66">
        <v>125</v>
      </c>
      <c r="H66" t="str">
        <f>IF(VLOOKUP(C66,Customers!A:E,5,FALSE)&gt;=1000,"YES","NO")</f>
        <v>NO</v>
      </c>
      <c r="I66">
        <f t="shared" ref="I66:I129" si="1">IF(H66="YES",G66*0.5,G66)</f>
        <v>125</v>
      </c>
      <c r="J66">
        <f>(I66 - VLOOKUP(E66,Desserts!A:D,4,FALSE)) * F66</f>
        <v>252</v>
      </c>
      <c r="N66" s="3" t="s">
        <v>199</v>
      </c>
      <c r="O66" s="4">
        <v>1465</v>
      </c>
    </row>
    <row r="67" spans="1:15" x14ac:dyDescent="0.3">
      <c r="A67" t="s">
        <v>750</v>
      </c>
      <c r="B67" t="s">
        <v>751</v>
      </c>
      <c r="C67" t="s">
        <v>363</v>
      </c>
      <c r="D67" t="s">
        <v>100</v>
      </c>
      <c r="E67" t="s">
        <v>579</v>
      </c>
      <c r="F67">
        <v>2</v>
      </c>
      <c r="G67">
        <v>113</v>
      </c>
      <c r="H67" t="str">
        <f>IF(VLOOKUP(C67,Customers!A:E,5,FALSE)&gt;=1000,"YES","NO")</f>
        <v>YES</v>
      </c>
      <c r="I67">
        <f t="shared" si="1"/>
        <v>56.5</v>
      </c>
      <c r="J67">
        <f>(I67 - VLOOKUP(E67,Desserts!A:D,4,FALSE)) * F67</f>
        <v>-11</v>
      </c>
      <c r="N67" s="3" t="s">
        <v>202</v>
      </c>
      <c r="O67" s="4">
        <v>847</v>
      </c>
    </row>
    <row r="68" spans="1:15" x14ac:dyDescent="0.3">
      <c r="A68" t="s">
        <v>752</v>
      </c>
      <c r="B68" t="s">
        <v>753</v>
      </c>
      <c r="C68" t="s">
        <v>393</v>
      </c>
      <c r="D68" t="s">
        <v>274</v>
      </c>
      <c r="E68" t="s">
        <v>561</v>
      </c>
      <c r="F68">
        <v>3</v>
      </c>
      <c r="G68">
        <v>230</v>
      </c>
      <c r="H68" t="str">
        <f>IF(VLOOKUP(C68,Customers!A:E,5,FALSE)&gt;=1000,"YES","NO")</f>
        <v>YES</v>
      </c>
      <c r="I68">
        <f t="shared" si="1"/>
        <v>115</v>
      </c>
      <c r="J68">
        <f>(I68 - VLOOKUP(E68,Desserts!A:D,4,FALSE)) * F68</f>
        <v>156</v>
      </c>
      <c r="N68" s="3" t="s">
        <v>205</v>
      </c>
      <c r="O68" s="4">
        <v>2628.5</v>
      </c>
    </row>
    <row r="69" spans="1:15" x14ac:dyDescent="0.3">
      <c r="A69" t="s">
        <v>754</v>
      </c>
      <c r="B69" t="s">
        <v>755</v>
      </c>
      <c r="C69" t="s">
        <v>345</v>
      </c>
      <c r="D69" t="s">
        <v>148</v>
      </c>
      <c r="E69" t="s">
        <v>577</v>
      </c>
      <c r="F69">
        <v>2</v>
      </c>
      <c r="G69">
        <v>130</v>
      </c>
      <c r="H69" t="str">
        <f>IF(VLOOKUP(C69,Customers!A:E,5,FALSE)&gt;=1000,"YES","NO")</f>
        <v>YES</v>
      </c>
      <c r="I69">
        <f t="shared" si="1"/>
        <v>65</v>
      </c>
      <c r="J69">
        <f>(I69 - VLOOKUP(E69,Desserts!A:D,4,FALSE)) * F69</f>
        <v>-10</v>
      </c>
      <c r="N69" s="3" t="s">
        <v>208</v>
      </c>
      <c r="O69" s="4">
        <v>2327</v>
      </c>
    </row>
    <row r="70" spans="1:15" x14ac:dyDescent="0.3">
      <c r="A70" t="s">
        <v>756</v>
      </c>
      <c r="B70" t="s">
        <v>757</v>
      </c>
      <c r="C70" t="s">
        <v>367</v>
      </c>
      <c r="D70" t="s">
        <v>235</v>
      </c>
      <c r="E70" t="s">
        <v>561</v>
      </c>
      <c r="F70">
        <v>2</v>
      </c>
      <c r="G70">
        <v>235</v>
      </c>
      <c r="H70" t="str">
        <f>IF(VLOOKUP(C70,Customers!A:E,5,FALSE)&gt;=1000,"YES","NO")</f>
        <v>NO</v>
      </c>
      <c r="I70">
        <f t="shared" si="1"/>
        <v>235</v>
      </c>
      <c r="J70">
        <f>(I70 - VLOOKUP(E70,Desserts!A:D,4,FALSE)) * F70</f>
        <v>344</v>
      </c>
      <c r="N70" s="3" t="s">
        <v>211</v>
      </c>
      <c r="O70" s="4">
        <v>437.5</v>
      </c>
    </row>
    <row r="71" spans="1:15" x14ac:dyDescent="0.3">
      <c r="A71" t="s">
        <v>758</v>
      </c>
      <c r="B71" t="s">
        <v>759</v>
      </c>
      <c r="C71" t="s">
        <v>317</v>
      </c>
      <c r="D71" t="s">
        <v>277</v>
      </c>
      <c r="E71" t="s">
        <v>611</v>
      </c>
      <c r="F71">
        <v>1</v>
      </c>
      <c r="G71">
        <v>169</v>
      </c>
      <c r="H71" t="str">
        <f>IF(VLOOKUP(C71,Customers!A:E,5,FALSE)&gt;=1000,"YES","NO")</f>
        <v>NO</v>
      </c>
      <c r="I71">
        <f t="shared" si="1"/>
        <v>169</v>
      </c>
      <c r="J71">
        <f>(I71 - VLOOKUP(E71,Desserts!A:D,4,FALSE)) * F71</f>
        <v>126</v>
      </c>
      <c r="N71" s="3" t="s">
        <v>214</v>
      </c>
      <c r="O71" s="4">
        <v>2688.5</v>
      </c>
    </row>
    <row r="72" spans="1:15" x14ac:dyDescent="0.3">
      <c r="A72" t="s">
        <v>760</v>
      </c>
      <c r="B72" t="s">
        <v>761</v>
      </c>
      <c r="C72" t="s">
        <v>497</v>
      </c>
      <c r="D72" t="s">
        <v>27</v>
      </c>
      <c r="E72" t="s">
        <v>557</v>
      </c>
      <c r="F72">
        <v>2</v>
      </c>
      <c r="G72">
        <v>195</v>
      </c>
      <c r="H72" t="str">
        <f>IF(VLOOKUP(C72,Customers!A:E,5,FALSE)&gt;=1000,"YES","NO")</f>
        <v>NO</v>
      </c>
      <c r="I72">
        <f t="shared" si="1"/>
        <v>195</v>
      </c>
      <c r="J72">
        <f>(I72 - VLOOKUP(E72,Desserts!A:D,4,FALSE)) * F72</f>
        <v>222</v>
      </c>
      <c r="N72" s="3" t="s">
        <v>217</v>
      </c>
      <c r="O72" s="4">
        <v>1241</v>
      </c>
    </row>
    <row r="73" spans="1:15" x14ac:dyDescent="0.3">
      <c r="A73" t="s">
        <v>762</v>
      </c>
      <c r="B73" t="s">
        <v>763</v>
      </c>
      <c r="C73" t="s">
        <v>387</v>
      </c>
      <c r="D73" t="s">
        <v>271</v>
      </c>
      <c r="E73" t="s">
        <v>593</v>
      </c>
      <c r="F73">
        <v>2</v>
      </c>
      <c r="G73">
        <v>200</v>
      </c>
      <c r="H73" t="str">
        <f>IF(VLOOKUP(C73,Customers!A:E,5,FALSE)&gt;=1000,"YES","NO")</f>
        <v>NO</v>
      </c>
      <c r="I73">
        <f t="shared" si="1"/>
        <v>200</v>
      </c>
      <c r="J73">
        <f>(I73 - VLOOKUP(E73,Desserts!A:D,4,FALSE)) * F73</f>
        <v>292</v>
      </c>
      <c r="N73" s="3" t="s">
        <v>220</v>
      </c>
      <c r="O73" s="4">
        <v>658</v>
      </c>
    </row>
    <row r="74" spans="1:15" x14ac:dyDescent="0.3">
      <c r="A74" t="s">
        <v>764</v>
      </c>
      <c r="B74" t="s">
        <v>765</v>
      </c>
      <c r="C74" t="s">
        <v>413</v>
      </c>
      <c r="D74" t="s">
        <v>271</v>
      </c>
      <c r="E74" t="s">
        <v>533</v>
      </c>
      <c r="F74">
        <v>3</v>
      </c>
      <c r="G74">
        <v>240</v>
      </c>
      <c r="H74" t="str">
        <f>IF(VLOOKUP(C74,Customers!A:E,5,FALSE)&gt;=1000,"YES","NO")</f>
        <v>YES</v>
      </c>
      <c r="I74">
        <f t="shared" si="1"/>
        <v>120</v>
      </c>
      <c r="J74">
        <f>(I74 - VLOOKUP(E74,Desserts!A:D,4,FALSE)) * F74</f>
        <v>159</v>
      </c>
      <c r="N74" s="3" t="s">
        <v>223</v>
      </c>
      <c r="O74" s="4">
        <v>554.5</v>
      </c>
    </row>
    <row r="75" spans="1:15" x14ac:dyDescent="0.3">
      <c r="A75" t="s">
        <v>766</v>
      </c>
      <c r="B75" t="s">
        <v>767</v>
      </c>
      <c r="C75" t="s">
        <v>489</v>
      </c>
      <c r="D75" t="s">
        <v>51</v>
      </c>
      <c r="E75" t="s">
        <v>565</v>
      </c>
      <c r="F75">
        <v>1</v>
      </c>
      <c r="G75">
        <v>156</v>
      </c>
      <c r="H75" t="str">
        <f>IF(VLOOKUP(C75,Customers!A:E,5,FALSE)&gt;=1000,"YES","NO")</f>
        <v>NO</v>
      </c>
      <c r="I75">
        <f t="shared" si="1"/>
        <v>156</v>
      </c>
      <c r="J75">
        <f>(I75 - VLOOKUP(E75,Desserts!A:D,4,FALSE)) * F75</f>
        <v>115</v>
      </c>
      <c r="N75" s="3" t="s">
        <v>226</v>
      </c>
      <c r="O75" s="4">
        <v>737</v>
      </c>
    </row>
    <row r="76" spans="1:15" x14ac:dyDescent="0.3">
      <c r="A76" t="s">
        <v>768</v>
      </c>
      <c r="B76" t="s">
        <v>769</v>
      </c>
      <c r="C76" t="s">
        <v>493</v>
      </c>
      <c r="D76" t="s">
        <v>91</v>
      </c>
      <c r="E76" t="s">
        <v>579</v>
      </c>
      <c r="F76">
        <v>1</v>
      </c>
      <c r="G76">
        <v>191</v>
      </c>
      <c r="H76" t="str">
        <f>IF(VLOOKUP(C76,Customers!A:E,5,FALSE)&gt;=1000,"YES","NO")</f>
        <v>NO</v>
      </c>
      <c r="I76">
        <f t="shared" si="1"/>
        <v>191</v>
      </c>
      <c r="J76">
        <f>(I76 - VLOOKUP(E76,Desserts!A:D,4,FALSE)) * F76</f>
        <v>129</v>
      </c>
      <c r="N76" s="3" t="s">
        <v>229</v>
      </c>
      <c r="O76" s="4">
        <v>998</v>
      </c>
    </row>
    <row r="77" spans="1:15" x14ac:dyDescent="0.3">
      <c r="A77" t="s">
        <v>770</v>
      </c>
      <c r="B77" t="s">
        <v>771</v>
      </c>
      <c r="C77" t="s">
        <v>491</v>
      </c>
      <c r="D77" t="s">
        <v>121</v>
      </c>
      <c r="E77" t="s">
        <v>559</v>
      </c>
      <c r="F77">
        <v>3</v>
      </c>
      <c r="G77">
        <v>140</v>
      </c>
      <c r="H77" t="str">
        <f>IF(VLOOKUP(C77,Customers!A:E,5,FALSE)&gt;=1000,"YES","NO")</f>
        <v>NO</v>
      </c>
      <c r="I77">
        <f t="shared" si="1"/>
        <v>140</v>
      </c>
      <c r="J77">
        <f>(I77 - VLOOKUP(E77,Desserts!A:D,4,FALSE)) * F77</f>
        <v>255</v>
      </c>
      <c r="N77" s="3" t="s">
        <v>232</v>
      </c>
      <c r="O77" s="4">
        <v>1115</v>
      </c>
    </row>
    <row r="78" spans="1:15" x14ac:dyDescent="0.3">
      <c r="A78" t="s">
        <v>772</v>
      </c>
      <c r="B78" t="s">
        <v>773</v>
      </c>
      <c r="C78" t="s">
        <v>477</v>
      </c>
      <c r="D78" t="s">
        <v>166</v>
      </c>
      <c r="E78" t="s">
        <v>597</v>
      </c>
      <c r="F78">
        <v>5</v>
      </c>
      <c r="G78">
        <v>201</v>
      </c>
      <c r="H78" t="str">
        <f>IF(VLOOKUP(C78,Customers!A:E,5,FALSE)&gt;=1000,"YES","NO")</f>
        <v>YES</v>
      </c>
      <c r="I78">
        <f t="shared" si="1"/>
        <v>100.5</v>
      </c>
      <c r="J78">
        <f>(I78 - VLOOKUP(E78,Desserts!A:D,4,FALSE)) * F78</f>
        <v>277.5</v>
      </c>
      <c r="N78" s="3" t="s">
        <v>235</v>
      </c>
      <c r="O78" s="4">
        <v>1538</v>
      </c>
    </row>
    <row r="79" spans="1:15" x14ac:dyDescent="0.3">
      <c r="A79" t="s">
        <v>774</v>
      </c>
      <c r="B79" t="s">
        <v>775</v>
      </c>
      <c r="C79" t="s">
        <v>321</v>
      </c>
      <c r="D79" t="s">
        <v>9</v>
      </c>
      <c r="E79" t="s">
        <v>575</v>
      </c>
      <c r="F79">
        <v>2</v>
      </c>
      <c r="G79">
        <v>235</v>
      </c>
      <c r="H79" t="str">
        <f>IF(VLOOKUP(C79,Customers!A:E,5,FALSE)&gt;=1000,"YES","NO")</f>
        <v>NO</v>
      </c>
      <c r="I79">
        <f t="shared" si="1"/>
        <v>235</v>
      </c>
      <c r="J79">
        <f>(I79 - VLOOKUP(E79,Desserts!A:D,4,FALSE)) * F79</f>
        <v>320</v>
      </c>
      <c r="N79" s="3" t="s">
        <v>238</v>
      </c>
      <c r="O79" s="4">
        <v>588</v>
      </c>
    </row>
    <row r="80" spans="1:15" x14ac:dyDescent="0.3">
      <c r="A80" t="s">
        <v>776</v>
      </c>
      <c r="B80" t="s">
        <v>777</v>
      </c>
      <c r="C80" t="s">
        <v>457</v>
      </c>
      <c r="D80" t="s">
        <v>232</v>
      </c>
      <c r="E80" t="s">
        <v>533</v>
      </c>
      <c r="F80">
        <v>2</v>
      </c>
      <c r="G80">
        <v>173</v>
      </c>
      <c r="H80" t="str">
        <f>IF(VLOOKUP(C80,Customers!A:E,5,FALSE)&gt;=1000,"YES","NO")</f>
        <v>YES</v>
      </c>
      <c r="I80">
        <f t="shared" si="1"/>
        <v>86.5</v>
      </c>
      <c r="J80">
        <f>(I80 - VLOOKUP(E80,Desserts!A:D,4,FALSE)) * F80</f>
        <v>39</v>
      </c>
      <c r="N80" s="3" t="s">
        <v>241</v>
      </c>
      <c r="O80" s="4">
        <v>578.5</v>
      </c>
    </row>
    <row r="81" spans="1:15" x14ac:dyDescent="0.3">
      <c r="A81" t="s">
        <v>778</v>
      </c>
      <c r="B81" t="s">
        <v>779</v>
      </c>
      <c r="C81" t="s">
        <v>317</v>
      </c>
      <c r="D81" t="s">
        <v>100</v>
      </c>
      <c r="E81" t="s">
        <v>615</v>
      </c>
      <c r="F81">
        <v>3</v>
      </c>
      <c r="G81">
        <v>193</v>
      </c>
      <c r="H81" t="str">
        <f>IF(VLOOKUP(C81,Customers!A:E,5,FALSE)&gt;=1000,"YES","NO")</f>
        <v>NO</v>
      </c>
      <c r="I81">
        <f t="shared" si="1"/>
        <v>193</v>
      </c>
      <c r="J81">
        <f>(I81 - VLOOKUP(E81,Desserts!A:D,4,FALSE)) * F81</f>
        <v>453</v>
      </c>
      <c r="N81" s="3" t="s">
        <v>244</v>
      </c>
      <c r="O81" s="4">
        <v>414.5</v>
      </c>
    </row>
    <row r="82" spans="1:15" x14ac:dyDescent="0.3">
      <c r="A82" t="s">
        <v>780</v>
      </c>
      <c r="B82" t="s">
        <v>781</v>
      </c>
      <c r="C82" t="s">
        <v>321</v>
      </c>
      <c r="D82" t="s">
        <v>253</v>
      </c>
      <c r="E82" t="s">
        <v>585</v>
      </c>
      <c r="F82">
        <v>2</v>
      </c>
      <c r="G82">
        <v>213</v>
      </c>
      <c r="H82" t="str">
        <f>IF(VLOOKUP(C82,Customers!A:E,5,FALSE)&gt;=1000,"YES","NO")</f>
        <v>NO</v>
      </c>
      <c r="I82">
        <f t="shared" si="1"/>
        <v>213</v>
      </c>
      <c r="J82">
        <f>(I82 - VLOOKUP(E82,Desserts!A:D,4,FALSE)) * F82</f>
        <v>332</v>
      </c>
      <c r="N82" s="3" t="s">
        <v>247</v>
      </c>
      <c r="O82" s="4">
        <v>462.5</v>
      </c>
    </row>
    <row r="83" spans="1:15" x14ac:dyDescent="0.3">
      <c r="A83" t="s">
        <v>782</v>
      </c>
      <c r="B83" t="s">
        <v>783</v>
      </c>
      <c r="C83" t="s">
        <v>351</v>
      </c>
      <c r="D83" t="s">
        <v>250</v>
      </c>
      <c r="E83" t="s">
        <v>561</v>
      </c>
      <c r="F83">
        <v>1</v>
      </c>
      <c r="G83">
        <v>145</v>
      </c>
      <c r="H83" t="str">
        <f>IF(VLOOKUP(C83,Customers!A:E,5,FALSE)&gt;=1000,"YES","NO")</f>
        <v>NO</v>
      </c>
      <c r="I83">
        <f t="shared" si="1"/>
        <v>145</v>
      </c>
      <c r="J83">
        <f>(I83 - VLOOKUP(E83,Desserts!A:D,4,FALSE)) * F83</f>
        <v>82</v>
      </c>
      <c r="N83" s="3" t="s">
        <v>250</v>
      </c>
      <c r="O83" s="4">
        <v>1131.5</v>
      </c>
    </row>
    <row r="84" spans="1:15" x14ac:dyDescent="0.3">
      <c r="A84" t="s">
        <v>784</v>
      </c>
      <c r="B84" t="s">
        <v>785</v>
      </c>
      <c r="C84" t="s">
        <v>509</v>
      </c>
      <c r="D84" t="s">
        <v>127</v>
      </c>
      <c r="E84" t="s">
        <v>523</v>
      </c>
      <c r="F84">
        <v>1</v>
      </c>
      <c r="G84">
        <v>108</v>
      </c>
      <c r="H84" t="str">
        <f>IF(VLOOKUP(C84,Customers!A:E,5,FALSE)&gt;=1000,"YES","NO")</f>
        <v>NO</v>
      </c>
      <c r="I84">
        <f t="shared" si="1"/>
        <v>108</v>
      </c>
      <c r="J84">
        <f>(I84 - VLOOKUP(E84,Desserts!A:D,4,FALSE)) * F84</f>
        <v>40</v>
      </c>
      <c r="N84" s="3" t="s">
        <v>253</v>
      </c>
      <c r="O84" s="4">
        <v>420.5</v>
      </c>
    </row>
    <row r="85" spans="1:15" x14ac:dyDescent="0.3">
      <c r="A85" t="s">
        <v>786</v>
      </c>
      <c r="B85" t="s">
        <v>787</v>
      </c>
      <c r="C85" t="s">
        <v>433</v>
      </c>
      <c r="D85" t="s">
        <v>259</v>
      </c>
      <c r="E85" t="s">
        <v>565</v>
      </c>
      <c r="F85">
        <v>2</v>
      </c>
      <c r="G85">
        <v>211</v>
      </c>
      <c r="H85" t="str">
        <f>IF(VLOOKUP(C85,Customers!A:E,5,FALSE)&gt;=1000,"YES","NO")</f>
        <v>YES</v>
      </c>
      <c r="I85">
        <f t="shared" si="1"/>
        <v>105.5</v>
      </c>
      <c r="J85">
        <f>(I85 - VLOOKUP(E85,Desserts!A:D,4,FALSE)) * F85</f>
        <v>129</v>
      </c>
      <c r="N85" s="3" t="s">
        <v>256</v>
      </c>
      <c r="O85" s="4">
        <v>1549</v>
      </c>
    </row>
    <row r="86" spans="1:15" x14ac:dyDescent="0.3">
      <c r="A86" t="s">
        <v>788</v>
      </c>
      <c r="B86" t="s">
        <v>789</v>
      </c>
      <c r="C86" t="s">
        <v>413</v>
      </c>
      <c r="D86" t="s">
        <v>217</v>
      </c>
      <c r="E86" t="s">
        <v>617</v>
      </c>
      <c r="F86">
        <v>2</v>
      </c>
      <c r="G86">
        <v>157</v>
      </c>
      <c r="H86" t="str">
        <f>IF(VLOOKUP(C86,Customers!A:E,5,FALSE)&gt;=1000,"YES","NO")</f>
        <v>YES</v>
      </c>
      <c r="I86">
        <f t="shared" si="1"/>
        <v>78.5</v>
      </c>
      <c r="J86">
        <f>(I86 - VLOOKUP(E86,Desserts!A:D,4,FALSE)) * F86</f>
        <v>75</v>
      </c>
      <c r="N86" s="3" t="s">
        <v>259</v>
      </c>
      <c r="O86" s="4">
        <v>741</v>
      </c>
    </row>
    <row r="87" spans="1:15" x14ac:dyDescent="0.3">
      <c r="A87" t="s">
        <v>790</v>
      </c>
      <c r="B87" t="s">
        <v>791</v>
      </c>
      <c r="C87" t="s">
        <v>451</v>
      </c>
      <c r="D87" t="s">
        <v>181</v>
      </c>
      <c r="E87" t="s">
        <v>577</v>
      </c>
      <c r="F87">
        <v>2</v>
      </c>
      <c r="G87">
        <v>114</v>
      </c>
      <c r="H87" t="str">
        <f>IF(VLOOKUP(C87,Customers!A:E,5,FALSE)&gt;=1000,"YES","NO")</f>
        <v>NO</v>
      </c>
      <c r="I87">
        <f t="shared" si="1"/>
        <v>114</v>
      </c>
      <c r="J87">
        <f>(I87 - VLOOKUP(E87,Desserts!A:D,4,FALSE)) * F87</f>
        <v>88</v>
      </c>
      <c r="N87" s="3" t="s">
        <v>262</v>
      </c>
      <c r="O87" s="4">
        <v>357.5</v>
      </c>
    </row>
    <row r="88" spans="1:15" x14ac:dyDescent="0.3">
      <c r="A88" t="s">
        <v>792</v>
      </c>
      <c r="B88" t="s">
        <v>793</v>
      </c>
      <c r="C88" t="s">
        <v>341</v>
      </c>
      <c r="D88" t="s">
        <v>66</v>
      </c>
      <c r="E88" t="s">
        <v>595</v>
      </c>
      <c r="F88">
        <v>3</v>
      </c>
      <c r="G88">
        <v>180</v>
      </c>
      <c r="H88" t="str">
        <f>IF(VLOOKUP(C88,Customers!A:E,5,FALSE)&gt;=1000,"YES","NO")</f>
        <v>YES</v>
      </c>
      <c r="I88">
        <f t="shared" si="1"/>
        <v>90</v>
      </c>
      <c r="J88">
        <f>(I88 - VLOOKUP(E88,Desserts!A:D,4,FALSE)) * F88</f>
        <v>60</v>
      </c>
      <c r="N88" s="3" t="s">
        <v>265</v>
      </c>
      <c r="O88" s="4">
        <v>620.5</v>
      </c>
    </row>
    <row r="89" spans="1:15" x14ac:dyDescent="0.3">
      <c r="A89" t="s">
        <v>794</v>
      </c>
      <c r="B89" t="s">
        <v>759</v>
      </c>
      <c r="C89" t="s">
        <v>321</v>
      </c>
      <c r="D89" t="s">
        <v>43</v>
      </c>
      <c r="E89" t="s">
        <v>527</v>
      </c>
      <c r="F89">
        <v>1</v>
      </c>
      <c r="G89">
        <v>181</v>
      </c>
      <c r="H89" t="str">
        <f>IF(VLOOKUP(C89,Customers!A:E,5,FALSE)&gt;=1000,"YES","NO")</f>
        <v>NO</v>
      </c>
      <c r="I89">
        <f t="shared" si="1"/>
        <v>181</v>
      </c>
      <c r="J89">
        <f>(I89 - VLOOKUP(E89,Desserts!A:D,4,FALSE)) * F89</f>
        <v>138</v>
      </c>
      <c r="N89" s="3" t="s">
        <v>268</v>
      </c>
      <c r="O89" s="4">
        <v>739</v>
      </c>
    </row>
    <row r="90" spans="1:15" x14ac:dyDescent="0.3">
      <c r="A90" t="s">
        <v>795</v>
      </c>
      <c r="B90" t="s">
        <v>796</v>
      </c>
      <c r="C90" t="s">
        <v>331</v>
      </c>
      <c r="D90" t="s">
        <v>72</v>
      </c>
      <c r="E90" t="s">
        <v>595</v>
      </c>
      <c r="F90">
        <v>3</v>
      </c>
      <c r="G90">
        <v>185</v>
      </c>
      <c r="H90" t="str">
        <f>IF(VLOOKUP(C90,Customers!A:E,5,FALSE)&gt;=1000,"YES","NO")</f>
        <v>YES</v>
      </c>
      <c r="I90">
        <f t="shared" si="1"/>
        <v>92.5</v>
      </c>
      <c r="J90">
        <f>(I90 - VLOOKUP(E90,Desserts!A:D,4,FALSE)) * F90</f>
        <v>67.5</v>
      </c>
      <c r="N90" s="3" t="s">
        <v>271</v>
      </c>
      <c r="O90" s="4">
        <v>600</v>
      </c>
    </row>
    <row r="91" spans="1:15" x14ac:dyDescent="0.3">
      <c r="A91" t="s">
        <v>797</v>
      </c>
      <c r="B91" t="s">
        <v>798</v>
      </c>
      <c r="C91" t="s">
        <v>325</v>
      </c>
      <c r="D91" t="s">
        <v>17</v>
      </c>
      <c r="E91" t="s">
        <v>587</v>
      </c>
      <c r="F91">
        <v>4</v>
      </c>
      <c r="G91">
        <v>236</v>
      </c>
      <c r="H91" t="str">
        <f>IF(VLOOKUP(C91,Customers!A:E,5,FALSE)&gt;=1000,"YES","NO")</f>
        <v>NO</v>
      </c>
      <c r="I91">
        <f t="shared" si="1"/>
        <v>236</v>
      </c>
      <c r="J91">
        <f>(I91 - VLOOKUP(E91,Desserts!A:D,4,FALSE)) * F91</f>
        <v>656</v>
      </c>
      <c r="N91" s="3" t="s">
        <v>274</v>
      </c>
      <c r="O91" s="4">
        <v>749</v>
      </c>
    </row>
    <row r="92" spans="1:15" x14ac:dyDescent="0.3">
      <c r="A92" t="s">
        <v>799</v>
      </c>
      <c r="B92" t="s">
        <v>800</v>
      </c>
      <c r="C92" t="s">
        <v>407</v>
      </c>
      <c r="D92" t="s">
        <v>40</v>
      </c>
      <c r="E92" t="s">
        <v>581</v>
      </c>
      <c r="F92">
        <v>2</v>
      </c>
      <c r="G92">
        <v>202</v>
      </c>
      <c r="H92" t="str">
        <f>IF(VLOOKUP(C92,Customers!A:E,5,FALSE)&gt;=1000,"YES","NO")</f>
        <v>YES</v>
      </c>
      <c r="I92">
        <f t="shared" si="1"/>
        <v>101</v>
      </c>
      <c r="J92">
        <f>(I92 - VLOOKUP(E92,Desserts!A:D,4,FALSE)) * F92</f>
        <v>24</v>
      </c>
      <c r="N92" s="3" t="s">
        <v>277</v>
      </c>
      <c r="O92" s="4">
        <v>613.5</v>
      </c>
    </row>
    <row r="93" spans="1:15" x14ac:dyDescent="0.3">
      <c r="A93" t="s">
        <v>801</v>
      </c>
      <c r="B93" t="s">
        <v>802</v>
      </c>
      <c r="C93" t="s">
        <v>361</v>
      </c>
      <c r="D93" t="s">
        <v>151</v>
      </c>
      <c r="E93" t="s">
        <v>533</v>
      </c>
      <c r="F93">
        <v>1</v>
      </c>
      <c r="G93">
        <v>241</v>
      </c>
      <c r="H93" t="str">
        <f>IF(VLOOKUP(C93,Customers!A:E,5,FALSE)&gt;=1000,"YES","NO")</f>
        <v>NO</v>
      </c>
      <c r="I93">
        <f t="shared" si="1"/>
        <v>241</v>
      </c>
      <c r="J93">
        <f>(I93 - VLOOKUP(E93,Desserts!A:D,4,FALSE)) * F93</f>
        <v>174</v>
      </c>
      <c r="N93" s="3" t="s">
        <v>280</v>
      </c>
      <c r="O93" s="4">
        <v>1420.5</v>
      </c>
    </row>
    <row r="94" spans="1:15" x14ac:dyDescent="0.3">
      <c r="A94" t="s">
        <v>803</v>
      </c>
      <c r="B94" t="s">
        <v>804</v>
      </c>
      <c r="C94" t="s">
        <v>443</v>
      </c>
      <c r="D94" t="s">
        <v>109</v>
      </c>
      <c r="E94" t="s">
        <v>619</v>
      </c>
      <c r="F94">
        <v>2</v>
      </c>
      <c r="G94">
        <v>183</v>
      </c>
      <c r="H94" t="str">
        <f>IF(VLOOKUP(C94,Customers!A:E,5,FALSE)&gt;=1000,"YES","NO")</f>
        <v>YES</v>
      </c>
      <c r="I94">
        <f t="shared" si="1"/>
        <v>91.5</v>
      </c>
      <c r="J94">
        <f>(I94 - VLOOKUP(E94,Desserts!A:D,4,FALSE)) * F94</f>
        <v>21</v>
      </c>
      <c r="N94" s="3" t="s">
        <v>283</v>
      </c>
      <c r="O94" s="4">
        <v>875</v>
      </c>
    </row>
    <row r="95" spans="1:15" x14ac:dyDescent="0.3">
      <c r="A95" t="s">
        <v>805</v>
      </c>
      <c r="B95" t="s">
        <v>806</v>
      </c>
      <c r="C95" t="s">
        <v>491</v>
      </c>
      <c r="D95" t="s">
        <v>20</v>
      </c>
      <c r="E95" t="s">
        <v>595</v>
      </c>
      <c r="F95">
        <v>2</v>
      </c>
      <c r="G95">
        <v>196</v>
      </c>
      <c r="H95" t="str">
        <f>IF(VLOOKUP(C95,Customers!A:E,5,FALSE)&gt;=1000,"YES","NO")</f>
        <v>NO</v>
      </c>
      <c r="I95">
        <f t="shared" si="1"/>
        <v>196</v>
      </c>
      <c r="J95">
        <f>(I95 - VLOOKUP(E95,Desserts!A:D,4,FALSE)) * F95</f>
        <v>252</v>
      </c>
      <c r="N95" s="3" t="s">
        <v>286</v>
      </c>
      <c r="O95" s="4">
        <v>1349.5</v>
      </c>
    </row>
    <row r="96" spans="1:15" x14ac:dyDescent="0.3">
      <c r="A96" t="s">
        <v>807</v>
      </c>
      <c r="B96" t="s">
        <v>808</v>
      </c>
      <c r="C96" t="s">
        <v>331</v>
      </c>
      <c r="D96" t="s">
        <v>223</v>
      </c>
      <c r="E96" t="s">
        <v>529</v>
      </c>
      <c r="F96">
        <v>1</v>
      </c>
      <c r="G96">
        <v>126</v>
      </c>
      <c r="H96" t="str">
        <f>IF(VLOOKUP(C96,Customers!A:E,5,FALSE)&gt;=1000,"YES","NO")</f>
        <v>YES</v>
      </c>
      <c r="I96">
        <f t="shared" si="1"/>
        <v>63</v>
      </c>
      <c r="J96">
        <f>(I96 - VLOOKUP(E96,Desserts!A:D,4,FALSE)) * F96</f>
        <v>-5</v>
      </c>
      <c r="N96" s="3" t="s">
        <v>289</v>
      </c>
      <c r="O96" s="4">
        <v>1948.5</v>
      </c>
    </row>
    <row r="97" spans="1:15" x14ac:dyDescent="0.3">
      <c r="A97" t="s">
        <v>809</v>
      </c>
      <c r="B97" t="s">
        <v>810</v>
      </c>
      <c r="C97" t="s">
        <v>419</v>
      </c>
      <c r="D97" t="s">
        <v>250</v>
      </c>
      <c r="E97" t="s">
        <v>611</v>
      </c>
      <c r="F97">
        <v>4</v>
      </c>
      <c r="G97">
        <v>206</v>
      </c>
      <c r="H97" t="str">
        <f>IF(VLOOKUP(C97,Customers!A:E,5,FALSE)&gt;=1000,"YES","NO")</f>
        <v>NO</v>
      </c>
      <c r="I97">
        <f t="shared" si="1"/>
        <v>206</v>
      </c>
      <c r="J97">
        <f>(I97 - VLOOKUP(E97,Desserts!A:D,4,FALSE)) * F97</f>
        <v>652</v>
      </c>
      <c r="N97" s="3" t="s">
        <v>292</v>
      </c>
      <c r="O97" s="4">
        <v>105.5</v>
      </c>
    </row>
    <row r="98" spans="1:15" x14ac:dyDescent="0.3">
      <c r="A98" t="s">
        <v>811</v>
      </c>
      <c r="B98" t="s">
        <v>812</v>
      </c>
      <c r="C98" t="s">
        <v>387</v>
      </c>
      <c r="D98" t="s">
        <v>208</v>
      </c>
      <c r="E98" t="s">
        <v>545</v>
      </c>
      <c r="F98">
        <v>1</v>
      </c>
      <c r="G98">
        <v>198</v>
      </c>
      <c r="H98" t="str">
        <f>IF(VLOOKUP(C98,Customers!A:E,5,FALSE)&gt;=1000,"YES","NO")</f>
        <v>NO</v>
      </c>
      <c r="I98">
        <f t="shared" si="1"/>
        <v>198</v>
      </c>
      <c r="J98">
        <f>(I98 - VLOOKUP(E98,Desserts!A:D,4,FALSE)) * F98</f>
        <v>153</v>
      </c>
      <c r="N98" s="3" t="s">
        <v>295</v>
      </c>
      <c r="O98" s="4">
        <v>1361</v>
      </c>
    </row>
    <row r="99" spans="1:15" x14ac:dyDescent="0.3">
      <c r="A99" t="s">
        <v>813</v>
      </c>
      <c r="B99" t="s">
        <v>814</v>
      </c>
      <c r="C99" t="s">
        <v>385</v>
      </c>
      <c r="D99" t="s">
        <v>265</v>
      </c>
      <c r="E99" t="s">
        <v>537</v>
      </c>
      <c r="F99">
        <v>2</v>
      </c>
      <c r="G99">
        <v>218</v>
      </c>
      <c r="H99" t="str">
        <f>IF(VLOOKUP(C99,Customers!A:E,5,FALSE)&gt;=1000,"YES","NO")</f>
        <v>YES</v>
      </c>
      <c r="I99">
        <f t="shared" si="1"/>
        <v>109</v>
      </c>
      <c r="J99">
        <f>(I99 - VLOOKUP(E99,Desserts!A:D,4,FALSE)) * F99</f>
        <v>50</v>
      </c>
      <c r="N99" s="3" t="s">
        <v>298</v>
      </c>
      <c r="O99" s="4">
        <v>667.5</v>
      </c>
    </row>
    <row r="100" spans="1:15" x14ac:dyDescent="0.3">
      <c r="A100" t="s">
        <v>815</v>
      </c>
      <c r="B100" t="s">
        <v>816</v>
      </c>
      <c r="C100" t="s">
        <v>443</v>
      </c>
      <c r="D100" t="s">
        <v>24</v>
      </c>
      <c r="E100" t="s">
        <v>607</v>
      </c>
      <c r="F100">
        <v>4</v>
      </c>
      <c r="G100">
        <v>193</v>
      </c>
      <c r="H100" t="str">
        <f>IF(VLOOKUP(C100,Customers!A:E,5,FALSE)&gt;=1000,"YES","NO")</f>
        <v>YES</v>
      </c>
      <c r="I100">
        <f t="shared" si="1"/>
        <v>96.5</v>
      </c>
      <c r="J100">
        <f>(I100 - VLOOKUP(E100,Desserts!A:D,4,FALSE)) * F100</f>
        <v>106</v>
      </c>
      <c r="N100" s="3" t="s">
        <v>301</v>
      </c>
      <c r="O100" s="4">
        <v>944</v>
      </c>
    </row>
    <row r="101" spans="1:15" x14ac:dyDescent="0.3">
      <c r="A101" t="s">
        <v>817</v>
      </c>
      <c r="B101" t="s">
        <v>818</v>
      </c>
      <c r="C101" t="s">
        <v>411</v>
      </c>
      <c r="D101" t="s">
        <v>112</v>
      </c>
      <c r="E101" t="s">
        <v>531</v>
      </c>
      <c r="F101">
        <v>3</v>
      </c>
      <c r="G101">
        <v>240</v>
      </c>
      <c r="H101" t="str">
        <f>IF(VLOOKUP(C101,Customers!A:E,5,FALSE)&gt;=1000,"YES","NO")</f>
        <v>NO</v>
      </c>
      <c r="I101">
        <f t="shared" si="1"/>
        <v>240</v>
      </c>
      <c r="J101">
        <f>(I101 - VLOOKUP(E101,Desserts!A:D,4,FALSE)) * F101</f>
        <v>465</v>
      </c>
      <c r="N101" s="3" t="s">
        <v>304</v>
      </c>
      <c r="O101" s="4">
        <v>1055</v>
      </c>
    </row>
    <row r="102" spans="1:15" x14ac:dyDescent="0.3">
      <c r="A102" t="s">
        <v>819</v>
      </c>
      <c r="B102" t="s">
        <v>820</v>
      </c>
      <c r="C102" t="s">
        <v>341</v>
      </c>
      <c r="D102" t="s">
        <v>286</v>
      </c>
      <c r="E102" t="s">
        <v>541</v>
      </c>
      <c r="F102">
        <v>5</v>
      </c>
      <c r="G102">
        <v>107</v>
      </c>
      <c r="H102" t="str">
        <f>IF(VLOOKUP(C102,Customers!A:E,5,FALSE)&gt;=1000,"YES","NO")</f>
        <v>YES</v>
      </c>
      <c r="I102">
        <f t="shared" si="1"/>
        <v>53.5</v>
      </c>
      <c r="J102">
        <f>(I102 - VLOOKUP(E102,Desserts!A:D,4,FALSE)) * F102</f>
        <v>-17.5</v>
      </c>
      <c r="N102" s="3" t="s">
        <v>307</v>
      </c>
      <c r="O102" s="4">
        <v>770.5</v>
      </c>
    </row>
    <row r="103" spans="1:15" x14ac:dyDescent="0.3">
      <c r="A103" t="s">
        <v>821</v>
      </c>
      <c r="B103" t="s">
        <v>822</v>
      </c>
      <c r="C103" t="s">
        <v>387</v>
      </c>
      <c r="D103" t="s">
        <v>97</v>
      </c>
      <c r="E103" t="s">
        <v>601</v>
      </c>
      <c r="F103">
        <v>3</v>
      </c>
      <c r="G103">
        <v>158</v>
      </c>
      <c r="H103" t="str">
        <f>IF(VLOOKUP(C103,Customers!A:E,5,FALSE)&gt;=1000,"YES","NO")</f>
        <v>NO</v>
      </c>
      <c r="I103">
        <f t="shared" si="1"/>
        <v>158</v>
      </c>
      <c r="J103">
        <f>(I103 - VLOOKUP(E103,Desserts!A:D,4,FALSE)) * F103</f>
        <v>309</v>
      </c>
      <c r="N103" s="3" t="s">
        <v>310</v>
      </c>
      <c r="O103" s="4">
        <v>1036</v>
      </c>
    </row>
    <row r="104" spans="1:15" x14ac:dyDescent="0.3">
      <c r="A104" t="s">
        <v>823</v>
      </c>
      <c r="B104" t="s">
        <v>824</v>
      </c>
      <c r="C104" t="s">
        <v>365</v>
      </c>
      <c r="D104" t="s">
        <v>172</v>
      </c>
      <c r="E104" t="s">
        <v>531</v>
      </c>
      <c r="F104">
        <v>5</v>
      </c>
      <c r="G104">
        <v>111</v>
      </c>
      <c r="H104" t="str">
        <f>IF(VLOOKUP(C104,Customers!A:E,5,FALSE)&gt;=1000,"YES","NO")</f>
        <v>NO</v>
      </c>
      <c r="I104">
        <f t="shared" si="1"/>
        <v>111</v>
      </c>
      <c r="J104">
        <f>(I104 - VLOOKUP(E104,Desserts!A:D,4,FALSE)) * F104</f>
        <v>130</v>
      </c>
      <c r="N104" s="3" t="s">
        <v>1425</v>
      </c>
      <c r="O104" s="4">
        <v>99689.5</v>
      </c>
    </row>
    <row r="105" spans="1:15" x14ac:dyDescent="0.3">
      <c r="A105" t="s">
        <v>825</v>
      </c>
      <c r="B105" t="s">
        <v>826</v>
      </c>
      <c r="C105" t="s">
        <v>355</v>
      </c>
      <c r="D105" t="s">
        <v>37</v>
      </c>
      <c r="E105" t="s">
        <v>589</v>
      </c>
      <c r="F105">
        <v>4</v>
      </c>
      <c r="G105">
        <v>124</v>
      </c>
      <c r="H105" t="str">
        <f>IF(VLOOKUP(C105,Customers!A:E,5,FALSE)&gt;=1000,"YES","NO")</f>
        <v>YES</v>
      </c>
      <c r="I105">
        <f t="shared" si="1"/>
        <v>62</v>
      </c>
      <c r="J105">
        <f>(I105 - VLOOKUP(E105,Desserts!A:D,4,FALSE)) * F105</f>
        <v>-36</v>
      </c>
    </row>
    <row r="106" spans="1:15" x14ac:dyDescent="0.3">
      <c r="A106" t="s">
        <v>827</v>
      </c>
      <c r="B106" t="s">
        <v>828</v>
      </c>
      <c r="C106" t="s">
        <v>365</v>
      </c>
      <c r="D106" t="s">
        <v>274</v>
      </c>
      <c r="E106" t="s">
        <v>529</v>
      </c>
      <c r="F106">
        <v>3</v>
      </c>
      <c r="G106">
        <v>181</v>
      </c>
      <c r="H106" t="str">
        <f>IF(VLOOKUP(C106,Customers!A:E,5,FALSE)&gt;=1000,"YES","NO")</f>
        <v>NO</v>
      </c>
      <c r="I106">
        <f t="shared" si="1"/>
        <v>181</v>
      </c>
      <c r="J106">
        <f>(I106 - VLOOKUP(E106,Desserts!A:D,4,FALSE)) * F106</f>
        <v>339</v>
      </c>
    </row>
    <row r="107" spans="1:15" x14ac:dyDescent="0.3">
      <c r="A107" t="s">
        <v>829</v>
      </c>
      <c r="B107" t="s">
        <v>830</v>
      </c>
      <c r="C107" t="s">
        <v>425</v>
      </c>
      <c r="D107" t="s">
        <v>72</v>
      </c>
      <c r="E107" t="s">
        <v>573</v>
      </c>
      <c r="F107">
        <v>5</v>
      </c>
      <c r="G107">
        <v>182</v>
      </c>
      <c r="H107" t="str">
        <f>IF(VLOOKUP(C107,Customers!A:E,5,FALSE)&gt;=1000,"YES","NO")</f>
        <v>NO</v>
      </c>
      <c r="I107">
        <f t="shared" si="1"/>
        <v>182</v>
      </c>
      <c r="J107">
        <f>(I107 - VLOOKUP(E107,Desserts!A:D,4,FALSE)) * F107</f>
        <v>660</v>
      </c>
    </row>
    <row r="108" spans="1:15" x14ac:dyDescent="0.3">
      <c r="A108" t="s">
        <v>831</v>
      </c>
      <c r="B108" t="s">
        <v>832</v>
      </c>
      <c r="C108" t="s">
        <v>439</v>
      </c>
      <c r="D108" t="s">
        <v>184</v>
      </c>
      <c r="E108" t="s">
        <v>579</v>
      </c>
      <c r="F108">
        <v>3</v>
      </c>
      <c r="G108">
        <v>124</v>
      </c>
      <c r="H108" t="str">
        <f>IF(VLOOKUP(C108,Customers!A:E,5,FALSE)&gt;=1000,"YES","NO")</f>
        <v>YES</v>
      </c>
      <c r="I108">
        <f t="shared" si="1"/>
        <v>62</v>
      </c>
      <c r="J108">
        <f>(I108 - VLOOKUP(E108,Desserts!A:D,4,FALSE)) * F108</f>
        <v>0</v>
      </c>
    </row>
    <row r="109" spans="1:15" x14ac:dyDescent="0.3">
      <c r="A109" t="s">
        <v>833</v>
      </c>
      <c r="B109" t="s">
        <v>834</v>
      </c>
      <c r="C109" t="s">
        <v>457</v>
      </c>
      <c r="D109" t="s">
        <v>295</v>
      </c>
      <c r="E109" t="s">
        <v>569</v>
      </c>
      <c r="F109">
        <v>4</v>
      </c>
      <c r="G109">
        <v>177</v>
      </c>
      <c r="H109" t="str">
        <f>IF(VLOOKUP(C109,Customers!A:E,5,FALSE)&gt;=1000,"YES","NO")</f>
        <v>YES</v>
      </c>
      <c r="I109">
        <f t="shared" si="1"/>
        <v>88.5</v>
      </c>
      <c r="J109">
        <f>(I109 - VLOOKUP(E109,Desserts!A:D,4,FALSE)) * F109</f>
        <v>46</v>
      </c>
    </row>
    <row r="110" spans="1:15" x14ac:dyDescent="0.3">
      <c r="A110" t="s">
        <v>835</v>
      </c>
      <c r="B110" t="s">
        <v>667</v>
      </c>
      <c r="C110" t="s">
        <v>397</v>
      </c>
      <c r="D110" t="s">
        <v>88</v>
      </c>
      <c r="E110" t="s">
        <v>613</v>
      </c>
      <c r="F110">
        <v>3</v>
      </c>
      <c r="G110">
        <v>112</v>
      </c>
      <c r="H110" t="str">
        <f>IF(VLOOKUP(C110,Customers!A:E,5,FALSE)&gt;=1000,"YES","NO")</f>
        <v>NO</v>
      </c>
      <c r="I110">
        <f t="shared" si="1"/>
        <v>112</v>
      </c>
      <c r="J110">
        <f>(I110 - VLOOKUP(E110,Desserts!A:D,4,FALSE)) * F110</f>
        <v>81</v>
      </c>
    </row>
    <row r="111" spans="1:15" x14ac:dyDescent="0.3">
      <c r="A111" t="s">
        <v>836</v>
      </c>
      <c r="B111" t="s">
        <v>837</v>
      </c>
      <c r="C111" t="s">
        <v>343</v>
      </c>
      <c r="D111" t="s">
        <v>205</v>
      </c>
      <c r="E111" t="s">
        <v>563</v>
      </c>
      <c r="F111">
        <v>4</v>
      </c>
      <c r="G111">
        <v>233</v>
      </c>
      <c r="H111" t="str">
        <f>IF(VLOOKUP(C111,Customers!A:E,5,FALSE)&gt;=1000,"YES","NO")</f>
        <v>YES</v>
      </c>
      <c r="I111">
        <f t="shared" si="1"/>
        <v>116.5</v>
      </c>
      <c r="J111">
        <f>(I111 - VLOOKUP(E111,Desserts!A:D,4,FALSE)) * F111</f>
        <v>206</v>
      </c>
    </row>
    <row r="112" spans="1:15" x14ac:dyDescent="0.3">
      <c r="A112" t="s">
        <v>838</v>
      </c>
      <c r="B112" t="s">
        <v>839</v>
      </c>
      <c r="C112" t="s">
        <v>321</v>
      </c>
      <c r="D112" t="s">
        <v>115</v>
      </c>
      <c r="E112" t="s">
        <v>537</v>
      </c>
      <c r="F112">
        <v>3</v>
      </c>
      <c r="G112">
        <v>182</v>
      </c>
      <c r="H112" t="str">
        <f>IF(VLOOKUP(C112,Customers!A:E,5,FALSE)&gt;=1000,"YES","NO")</f>
        <v>NO</v>
      </c>
      <c r="I112">
        <f t="shared" si="1"/>
        <v>182</v>
      </c>
      <c r="J112">
        <f>(I112 - VLOOKUP(E112,Desserts!A:D,4,FALSE)) * F112</f>
        <v>294</v>
      </c>
    </row>
    <row r="113" spans="1:10" x14ac:dyDescent="0.3">
      <c r="A113" t="s">
        <v>840</v>
      </c>
      <c r="B113" t="s">
        <v>723</v>
      </c>
      <c r="C113" t="s">
        <v>505</v>
      </c>
      <c r="D113" t="s">
        <v>63</v>
      </c>
      <c r="E113" t="s">
        <v>577</v>
      </c>
      <c r="F113">
        <v>3</v>
      </c>
      <c r="G113">
        <v>171</v>
      </c>
      <c r="H113" t="str">
        <f>IF(VLOOKUP(C113,Customers!A:E,5,FALSE)&gt;=1000,"YES","NO")</f>
        <v>YES</v>
      </c>
      <c r="I113">
        <f t="shared" si="1"/>
        <v>85.5</v>
      </c>
      <c r="J113">
        <f>(I113 - VLOOKUP(E113,Desserts!A:D,4,FALSE)) * F113</f>
        <v>46.5</v>
      </c>
    </row>
    <row r="114" spans="1:10" x14ac:dyDescent="0.3">
      <c r="A114" t="s">
        <v>841</v>
      </c>
      <c r="B114" t="s">
        <v>842</v>
      </c>
      <c r="C114" t="s">
        <v>513</v>
      </c>
      <c r="D114" t="s">
        <v>106</v>
      </c>
      <c r="E114" t="s">
        <v>579</v>
      </c>
      <c r="F114">
        <v>2</v>
      </c>
      <c r="G114">
        <v>154</v>
      </c>
      <c r="H114" t="str">
        <f>IF(VLOOKUP(C114,Customers!A:E,5,FALSE)&gt;=1000,"YES","NO")</f>
        <v>YES</v>
      </c>
      <c r="I114">
        <f t="shared" si="1"/>
        <v>77</v>
      </c>
      <c r="J114">
        <f>(I114 - VLOOKUP(E114,Desserts!A:D,4,FALSE)) * F114</f>
        <v>30</v>
      </c>
    </row>
    <row r="115" spans="1:10" x14ac:dyDescent="0.3">
      <c r="A115" t="s">
        <v>843</v>
      </c>
      <c r="B115" t="s">
        <v>844</v>
      </c>
      <c r="C115" t="s">
        <v>437</v>
      </c>
      <c r="D115" t="s">
        <v>76</v>
      </c>
      <c r="E115" t="s">
        <v>567</v>
      </c>
      <c r="F115">
        <v>5</v>
      </c>
      <c r="G115">
        <v>228</v>
      </c>
      <c r="H115" t="str">
        <f>IF(VLOOKUP(C115,Customers!A:E,5,FALSE)&gt;=1000,"YES","NO")</f>
        <v>NO</v>
      </c>
      <c r="I115">
        <f t="shared" si="1"/>
        <v>228</v>
      </c>
      <c r="J115">
        <f>(I115 - VLOOKUP(E115,Desserts!A:D,4,FALSE)) * F115</f>
        <v>860</v>
      </c>
    </row>
    <row r="116" spans="1:10" x14ac:dyDescent="0.3">
      <c r="A116" t="s">
        <v>845</v>
      </c>
      <c r="B116" t="s">
        <v>699</v>
      </c>
      <c r="C116" t="s">
        <v>415</v>
      </c>
      <c r="D116" t="s">
        <v>37</v>
      </c>
      <c r="E116" t="s">
        <v>573</v>
      </c>
      <c r="F116">
        <v>2</v>
      </c>
      <c r="G116">
        <v>131</v>
      </c>
      <c r="H116" t="str">
        <f>IF(VLOOKUP(C116,Customers!A:E,5,FALSE)&gt;=1000,"YES","NO")</f>
        <v>YES</v>
      </c>
      <c r="I116">
        <f t="shared" si="1"/>
        <v>65.5</v>
      </c>
      <c r="J116">
        <f>(I116 - VLOOKUP(E116,Desserts!A:D,4,FALSE)) * F116</f>
        <v>31</v>
      </c>
    </row>
    <row r="117" spans="1:10" x14ac:dyDescent="0.3">
      <c r="A117" t="s">
        <v>846</v>
      </c>
      <c r="B117" t="s">
        <v>847</v>
      </c>
      <c r="C117" t="s">
        <v>341</v>
      </c>
      <c r="D117" t="s">
        <v>256</v>
      </c>
      <c r="E117" t="s">
        <v>605</v>
      </c>
      <c r="F117">
        <v>5</v>
      </c>
      <c r="G117">
        <v>235</v>
      </c>
      <c r="H117" t="str">
        <f>IF(VLOOKUP(C117,Customers!A:E,5,FALSE)&gt;=1000,"YES","NO")</f>
        <v>YES</v>
      </c>
      <c r="I117">
        <f t="shared" si="1"/>
        <v>117.5</v>
      </c>
      <c r="J117">
        <f>(I117 - VLOOKUP(E117,Desserts!A:D,4,FALSE)) * F117</f>
        <v>277.5</v>
      </c>
    </row>
    <row r="118" spans="1:10" x14ac:dyDescent="0.3">
      <c r="A118" t="s">
        <v>848</v>
      </c>
      <c r="B118" t="s">
        <v>849</v>
      </c>
      <c r="C118" t="s">
        <v>491</v>
      </c>
      <c r="D118" t="s">
        <v>184</v>
      </c>
      <c r="E118" t="s">
        <v>601</v>
      </c>
      <c r="F118">
        <v>2</v>
      </c>
      <c r="G118">
        <v>250</v>
      </c>
      <c r="H118" t="str">
        <f>IF(VLOOKUP(C118,Customers!A:E,5,FALSE)&gt;=1000,"YES","NO")</f>
        <v>NO</v>
      </c>
      <c r="I118">
        <f t="shared" si="1"/>
        <v>250</v>
      </c>
      <c r="J118">
        <f>(I118 - VLOOKUP(E118,Desserts!A:D,4,FALSE)) * F118</f>
        <v>390</v>
      </c>
    </row>
    <row r="119" spans="1:10" x14ac:dyDescent="0.3">
      <c r="A119" t="s">
        <v>850</v>
      </c>
      <c r="B119" t="s">
        <v>741</v>
      </c>
      <c r="C119" t="s">
        <v>425</v>
      </c>
      <c r="D119" t="s">
        <v>166</v>
      </c>
      <c r="E119" t="s">
        <v>531</v>
      </c>
      <c r="F119">
        <v>1</v>
      </c>
      <c r="G119">
        <v>242</v>
      </c>
      <c r="H119" t="str">
        <f>IF(VLOOKUP(C119,Customers!A:E,5,FALSE)&gt;=1000,"YES","NO")</f>
        <v>NO</v>
      </c>
      <c r="I119">
        <f t="shared" si="1"/>
        <v>242</v>
      </c>
      <c r="J119">
        <f>(I119 - VLOOKUP(E119,Desserts!A:D,4,FALSE)) * F119</f>
        <v>157</v>
      </c>
    </row>
    <row r="120" spans="1:10" x14ac:dyDescent="0.3">
      <c r="A120" t="s">
        <v>851</v>
      </c>
      <c r="B120" t="s">
        <v>852</v>
      </c>
      <c r="C120" t="s">
        <v>507</v>
      </c>
      <c r="D120" t="s">
        <v>100</v>
      </c>
      <c r="E120" t="s">
        <v>601</v>
      </c>
      <c r="F120">
        <v>5</v>
      </c>
      <c r="G120">
        <v>148</v>
      </c>
      <c r="H120" t="str">
        <f>IF(VLOOKUP(C120,Customers!A:E,5,FALSE)&gt;=1000,"YES","NO")</f>
        <v>NO</v>
      </c>
      <c r="I120">
        <f t="shared" si="1"/>
        <v>148</v>
      </c>
      <c r="J120">
        <f>(I120 - VLOOKUP(E120,Desserts!A:D,4,FALSE)) * F120</f>
        <v>465</v>
      </c>
    </row>
    <row r="121" spans="1:10" x14ac:dyDescent="0.3">
      <c r="A121" t="s">
        <v>853</v>
      </c>
      <c r="B121" t="s">
        <v>839</v>
      </c>
      <c r="C121" t="s">
        <v>405</v>
      </c>
      <c r="D121" t="s">
        <v>103</v>
      </c>
      <c r="E121" t="s">
        <v>575</v>
      </c>
      <c r="F121">
        <v>4</v>
      </c>
      <c r="G121">
        <v>240</v>
      </c>
      <c r="H121" t="str">
        <f>IF(VLOOKUP(C121,Customers!A:E,5,FALSE)&gt;=1000,"YES","NO")</f>
        <v>YES</v>
      </c>
      <c r="I121">
        <f t="shared" si="1"/>
        <v>120</v>
      </c>
      <c r="J121">
        <f>(I121 - VLOOKUP(E121,Desserts!A:D,4,FALSE)) * F121</f>
        <v>180</v>
      </c>
    </row>
    <row r="122" spans="1:10" x14ac:dyDescent="0.3">
      <c r="A122" t="s">
        <v>854</v>
      </c>
      <c r="B122" t="s">
        <v>755</v>
      </c>
      <c r="C122" t="s">
        <v>477</v>
      </c>
      <c r="D122" t="s">
        <v>118</v>
      </c>
      <c r="E122" t="s">
        <v>607</v>
      </c>
      <c r="F122">
        <v>4</v>
      </c>
      <c r="G122">
        <v>109</v>
      </c>
      <c r="H122" t="str">
        <f>IF(VLOOKUP(C122,Customers!A:E,5,FALSE)&gt;=1000,"YES","NO")</f>
        <v>YES</v>
      </c>
      <c r="I122">
        <f t="shared" si="1"/>
        <v>54.5</v>
      </c>
      <c r="J122">
        <f>(I122 - VLOOKUP(E122,Desserts!A:D,4,FALSE)) * F122</f>
        <v>-62</v>
      </c>
    </row>
    <row r="123" spans="1:10" x14ac:dyDescent="0.3">
      <c r="A123" t="s">
        <v>855</v>
      </c>
      <c r="B123" t="s">
        <v>856</v>
      </c>
      <c r="C123" t="s">
        <v>453</v>
      </c>
      <c r="D123" t="s">
        <v>277</v>
      </c>
      <c r="E123" t="s">
        <v>571</v>
      </c>
      <c r="F123">
        <v>5</v>
      </c>
      <c r="G123">
        <v>218</v>
      </c>
      <c r="H123" t="str">
        <f>IF(VLOOKUP(C123,Customers!A:E,5,FALSE)&gt;=1000,"YES","NO")</f>
        <v>YES</v>
      </c>
      <c r="I123">
        <f t="shared" si="1"/>
        <v>109</v>
      </c>
      <c r="J123">
        <f>(I123 - VLOOKUP(E123,Desserts!A:D,4,FALSE)) * F123</f>
        <v>340</v>
      </c>
    </row>
    <row r="124" spans="1:10" x14ac:dyDescent="0.3">
      <c r="A124" t="s">
        <v>857</v>
      </c>
      <c r="B124" t="s">
        <v>673</v>
      </c>
      <c r="C124" t="s">
        <v>497</v>
      </c>
      <c r="D124" t="s">
        <v>136</v>
      </c>
      <c r="E124" t="s">
        <v>537</v>
      </c>
      <c r="F124">
        <v>1</v>
      </c>
      <c r="G124">
        <v>198</v>
      </c>
      <c r="H124" t="str">
        <f>IF(VLOOKUP(C124,Customers!A:E,5,FALSE)&gt;=1000,"YES","NO")</f>
        <v>NO</v>
      </c>
      <c r="I124">
        <f t="shared" si="1"/>
        <v>198</v>
      </c>
      <c r="J124">
        <f>(I124 - VLOOKUP(E124,Desserts!A:D,4,FALSE)) * F124</f>
        <v>114</v>
      </c>
    </row>
    <row r="125" spans="1:10" x14ac:dyDescent="0.3">
      <c r="A125" t="s">
        <v>858</v>
      </c>
      <c r="B125" t="s">
        <v>859</v>
      </c>
      <c r="C125" t="s">
        <v>513</v>
      </c>
      <c r="D125" t="s">
        <v>307</v>
      </c>
      <c r="E125" t="s">
        <v>619</v>
      </c>
      <c r="F125">
        <v>5</v>
      </c>
      <c r="G125">
        <v>117</v>
      </c>
      <c r="H125" t="str">
        <f>IF(VLOOKUP(C125,Customers!A:E,5,FALSE)&gt;=1000,"YES","NO")</f>
        <v>YES</v>
      </c>
      <c r="I125">
        <f t="shared" si="1"/>
        <v>58.5</v>
      </c>
      <c r="J125">
        <f>(I125 - VLOOKUP(E125,Desserts!A:D,4,FALSE)) * F125</f>
        <v>-112.5</v>
      </c>
    </row>
    <row r="126" spans="1:10" x14ac:dyDescent="0.3">
      <c r="A126" t="s">
        <v>860</v>
      </c>
      <c r="B126" t="s">
        <v>861</v>
      </c>
      <c r="C126" t="s">
        <v>363</v>
      </c>
      <c r="D126" t="s">
        <v>94</v>
      </c>
      <c r="E126" t="s">
        <v>547</v>
      </c>
      <c r="F126">
        <v>1</v>
      </c>
      <c r="G126">
        <v>131</v>
      </c>
      <c r="H126" t="str">
        <f>IF(VLOOKUP(C126,Customers!A:E,5,FALSE)&gt;=1000,"YES","NO")</f>
        <v>YES</v>
      </c>
      <c r="I126">
        <f t="shared" si="1"/>
        <v>65.5</v>
      </c>
      <c r="J126">
        <f>(I126 - VLOOKUP(E126,Desserts!A:D,4,FALSE)) * F126</f>
        <v>15.5</v>
      </c>
    </row>
    <row r="127" spans="1:10" x14ac:dyDescent="0.3">
      <c r="A127" t="s">
        <v>862</v>
      </c>
      <c r="B127" t="s">
        <v>739</v>
      </c>
      <c r="C127" t="s">
        <v>501</v>
      </c>
      <c r="D127" t="s">
        <v>304</v>
      </c>
      <c r="E127" t="s">
        <v>577</v>
      </c>
      <c r="F127">
        <v>5</v>
      </c>
      <c r="G127">
        <v>230</v>
      </c>
      <c r="H127" t="str">
        <f>IF(VLOOKUP(C127,Customers!A:E,5,FALSE)&gt;=1000,"YES","NO")</f>
        <v>YES</v>
      </c>
      <c r="I127">
        <f t="shared" si="1"/>
        <v>115</v>
      </c>
      <c r="J127">
        <f>(I127 - VLOOKUP(E127,Desserts!A:D,4,FALSE)) * F127</f>
        <v>225</v>
      </c>
    </row>
    <row r="128" spans="1:10" x14ac:dyDescent="0.3">
      <c r="A128" t="s">
        <v>863</v>
      </c>
      <c r="B128" t="s">
        <v>864</v>
      </c>
      <c r="C128" t="s">
        <v>415</v>
      </c>
      <c r="D128" t="s">
        <v>154</v>
      </c>
      <c r="E128" t="s">
        <v>543</v>
      </c>
      <c r="F128">
        <v>3</v>
      </c>
      <c r="G128">
        <v>114</v>
      </c>
      <c r="H128" t="str">
        <f>IF(VLOOKUP(C128,Customers!A:E,5,FALSE)&gt;=1000,"YES","NO")</f>
        <v>YES</v>
      </c>
      <c r="I128">
        <f t="shared" si="1"/>
        <v>57</v>
      </c>
      <c r="J128">
        <f>(I128 - VLOOKUP(E128,Desserts!A:D,4,FALSE)) * F128</f>
        <v>-48</v>
      </c>
    </row>
    <row r="129" spans="1:10" x14ac:dyDescent="0.3">
      <c r="A129" t="s">
        <v>865</v>
      </c>
      <c r="B129" t="s">
        <v>775</v>
      </c>
      <c r="C129" t="s">
        <v>351</v>
      </c>
      <c r="D129" t="s">
        <v>310</v>
      </c>
      <c r="E129" t="s">
        <v>545</v>
      </c>
      <c r="F129">
        <v>2</v>
      </c>
      <c r="G129">
        <v>180</v>
      </c>
      <c r="H129" t="str">
        <f>IF(VLOOKUP(C129,Customers!A:E,5,FALSE)&gt;=1000,"YES","NO")</f>
        <v>NO</v>
      </c>
      <c r="I129">
        <f t="shared" si="1"/>
        <v>180</v>
      </c>
      <c r="J129">
        <f>(I129 - VLOOKUP(E129,Desserts!A:D,4,FALSE)) * F129</f>
        <v>270</v>
      </c>
    </row>
    <row r="130" spans="1:10" x14ac:dyDescent="0.3">
      <c r="A130" t="s">
        <v>866</v>
      </c>
      <c r="B130" t="s">
        <v>867</v>
      </c>
      <c r="C130" t="s">
        <v>379</v>
      </c>
      <c r="D130" t="s">
        <v>85</v>
      </c>
      <c r="E130" t="s">
        <v>619</v>
      </c>
      <c r="F130">
        <v>2</v>
      </c>
      <c r="G130">
        <v>142</v>
      </c>
      <c r="H130" t="str">
        <f>IF(VLOOKUP(C130,Customers!A:E,5,FALSE)&gt;=1000,"YES","NO")</f>
        <v>NO</v>
      </c>
      <c r="I130">
        <f t="shared" ref="I130:I193" si="2">IF(H130="YES",G130*0.5,G130)</f>
        <v>142</v>
      </c>
      <c r="J130">
        <f>(I130 - VLOOKUP(E130,Desserts!A:D,4,FALSE)) * F130</f>
        <v>122</v>
      </c>
    </row>
    <row r="131" spans="1:10" x14ac:dyDescent="0.3">
      <c r="A131" t="s">
        <v>868</v>
      </c>
      <c r="B131" t="s">
        <v>869</v>
      </c>
      <c r="C131" t="s">
        <v>407</v>
      </c>
      <c r="D131" t="s">
        <v>169</v>
      </c>
      <c r="E131" t="s">
        <v>547</v>
      </c>
      <c r="F131">
        <v>1</v>
      </c>
      <c r="G131">
        <v>193</v>
      </c>
      <c r="H131" t="str">
        <f>IF(VLOOKUP(C131,Customers!A:E,5,FALSE)&gt;=1000,"YES","NO")</f>
        <v>YES</v>
      </c>
      <c r="I131">
        <f t="shared" si="2"/>
        <v>96.5</v>
      </c>
      <c r="J131">
        <f>(I131 - VLOOKUP(E131,Desserts!A:D,4,FALSE)) * F131</f>
        <v>46.5</v>
      </c>
    </row>
    <row r="132" spans="1:10" x14ac:dyDescent="0.3">
      <c r="A132" t="s">
        <v>870</v>
      </c>
      <c r="B132" t="s">
        <v>871</v>
      </c>
      <c r="C132" t="s">
        <v>481</v>
      </c>
      <c r="D132" t="s">
        <v>175</v>
      </c>
      <c r="E132" t="s">
        <v>555</v>
      </c>
      <c r="F132">
        <v>4</v>
      </c>
      <c r="G132">
        <v>194</v>
      </c>
      <c r="H132" t="str">
        <f>IF(VLOOKUP(C132,Customers!A:E,5,FALSE)&gt;=1000,"YES","NO")</f>
        <v>YES</v>
      </c>
      <c r="I132">
        <f t="shared" si="2"/>
        <v>97</v>
      </c>
      <c r="J132">
        <f>(I132 - VLOOKUP(E132,Desserts!A:D,4,FALSE)) * F132</f>
        <v>88</v>
      </c>
    </row>
    <row r="133" spans="1:10" x14ac:dyDescent="0.3">
      <c r="A133" t="s">
        <v>872</v>
      </c>
      <c r="B133" t="s">
        <v>873</v>
      </c>
      <c r="C133" t="s">
        <v>321</v>
      </c>
      <c r="D133" t="s">
        <v>205</v>
      </c>
      <c r="E133" t="s">
        <v>527</v>
      </c>
      <c r="F133">
        <v>2</v>
      </c>
      <c r="G133">
        <v>235</v>
      </c>
      <c r="H133" t="str">
        <f>IF(VLOOKUP(C133,Customers!A:E,5,FALSE)&gt;=1000,"YES","NO")</f>
        <v>NO</v>
      </c>
      <c r="I133">
        <f t="shared" si="2"/>
        <v>235</v>
      </c>
      <c r="J133">
        <f>(I133 - VLOOKUP(E133,Desserts!A:D,4,FALSE)) * F133</f>
        <v>384</v>
      </c>
    </row>
    <row r="134" spans="1:10" x14ac:dyDescent="0.3">
      <c r="A134" t="s">
        <v>874</v>
      </c>
      <c r="B134" t="s">
        <v>875</v>
      </c>
      <c r="C134" t="s">
        <v>377</v>
      </c>
      <c r="D134" t="s">
        <v>259</v>
      </c>
      <c r="E134" t="s">
        <v>525</v>
      </c>
      <c r="F134">
        <v>5</v>
      </c>
      <c r="G134">
        <v>180</v>
      </c>
      <c r="H134" t="str">
        <f>IF(VLOOKUP(C134,Customers!A:E,5,FALSE)&gt;=1000,"YES","NO")</f>
        <v>NO</v>
      </c>
      <c r="I134">
        <f t="shared" si="2"/>
        <v>180</v>
      </c>
      <c r="J134">
        <f>(I134 - VLOOKUP(E134,Desserts!A:D,4,FALSE)) * F134</f>
        <v>480</v>
      </c>
    </row>
    <row r="135" spans="1:10" x14ac:dyDescent="0.3">
      <c r="A135" t="s">
        <v>876</v>
      </c>
      <c r="B135" t="s">
        <v>713</v>
      </c>
      <c r="C135" t="s">
        <v>407</v>
      </c>
      <c r="D135" t="s">
        <v>175</v>
      </c>
      <c r="E135" t="s">
        <v>597</v>
      </c>
      <c r="F135">
        <v>4</v>
      </c>
      <c r="G135">
        <v>184</v>
      </c>
      <c r="H135" t="str">
        <f>IF(VLOOKUP(C135,Customers!A:E,5,FALSE)&gt;=1000,"YES","NO")</f>
        <v>YES</v>
      </c>
      <c r="I135">
        <f t="shared" si="2"/>
        <v>92</v>
      </c>
      <c r="J135">
        <f>(I135 - VLOOKUP(E135,Desserts!A:D,4,FALSE)) * F135</f>
        <v>188</v>
      </c>
    </row>
    <row r="136" spans="1:10" x14ac:dyDescent="0.3">
      <c r="A136" t="s">
        <v>877</v>
      </c>
      <c r="B136" t="s">
        <v>878</v>
      </c>
      <c r="C136" t="s">
        <v>385</v>
      </c>
      <c r="D136" t="s">
        <v>262</v>
      </c>
      <c r="E136" t="s">
        <v>599</v>
      </c>
      <c r="F136">
        <v>2</v>
      </c>
      <c r="G136">
        <v>155</v>
      </c>
      <c r="H136" t="str">
        <f>IF(VLOOKUP(C136,Customers!A:E,5,FALSE)&gt;=1000,"YES","NO")</f>
        <v>YES</v>
      </c>
      <c r="I136">
        <f t="shared" si="2"/>
        <v>77.5</v>
      </c>
      <c r="J136">
        <f>(I136 - VLOOKUP(E136,Desserts!A:D,4,FALSE)) * F136</f>
        <v>-5</v>
      </c>
    </row>
    <row r="137" spans="1:10" x14ac:dyDescent="0.3">
      <c r="A137" t="s">
        <v>879</v>
      </c>
      <c r="B137" t="s">
        <v>880</v>
      </c>
      <c r="C137" t="s">
        <v>353</v>
      </c>
      <c r="D137" t="s">
        <v>190</v>
      </c>
      <c r="E137" t="s">
        <v>605</v>
      </c>
      <c r="F137">
        <v>5</v>
      </c>
      <c r="G137">
        <v>146</v>
      </c>
      <c r="H137" t="str">
        <f>IF(VLOOKUP(C137,Customers!A:E,5,FALSE)&gt;=1000,"YES","NO")</f>
        <v>NO</v>
      </c>
      <c r="I137">
        <f t="shared" si="2"/>
        <v>146</v>
      </c>
      <c r="J137">
        <f>(I137 - VLOOKUP(E137,Desserts!A:D,4,FALSE)) * F137</f>
        <v>420</v>
      </c>
    </row>
    <row r="138" spans="1:10" x14ac:dyDescent="0.3">
      <c r="A138" t="s">
        <v>881</v>
      </c>
      <c r="B138" t="s">
        <v>882</v>
      </c>
      <c r="C138" t="s">
        <v>329</v>
      </c>
      <c r="D138" t="s">
        <v>295</v>
      </c>
      <c r="E138" t="s">
        <v>559</v>
      </c>
      <c r="F138">
        <v>5</v>
      </c>
      <c r="G138">
        <v>250</v>
      </c>
      <c r="H138" t="str">
        <f>IF(VLOOKUP(C138,Customers!A:E,5,FALSE)&gt;=1000,"YES","NO")</f>
        <v>YES</v>
      </c>
      <c r="I138">
        <f t="shared" si="2"/>
        <v>125</v>
      </c>
      <c r="J138">
        <f>(I138 - VLOOKUP(E138,Desserts!A:D,4,FALSE)) * F138</f>
        <v>350</v>
      </c>
    </row>
    <row r="139" spans="1:10" x14ac:dyDescent="0.3">
      <c r="A139" t="s">
        <v>883</v>
      </c>
      <c r="B139" t="s">
        <v>677</v>
      </c>
      <c r="C139" t="s">
        <v>383</v>
      </c>
      <c r="D139" t="s">
        <v>60</v>
      </c>
      <c r="E139" t="s">
        <v>549</v>
      </c>
      <c r="F139">
        <v>1</v>
      </c>
      <c r="G139">
        <v>248</v>
      </c>
      <c r="H139" t="str">
        <f>IF(VLOOKUP(C139,Customers!A:E,5,FALSE)&gt;=1000,"YES","NO")</f>
        <v>NO</v>
      </c>
      <c r="I139">
        <f t="shared" si="2"/>
        <v>248</v>
      </c>
      <c r="J139">
        <f>(I139 - VLOOKUP(E139,Desserts!A:D,4,FALSE)) * F139</f>
        <v>169</v>
      </c>
    </row>
    <row r="140" spans="1:10" x14ac:dyDescent="0.3">
      <c r="A140" t="s">
        <v>884</v>
      </c>
      <c r="B140" t="s">
        <v>802</v>
      </c>
      <c r="C140" t="s">
        <v>489</v>
      </c>
      <c r="D140" t="s">
        <v>40</v>
      </c>
      <c r="E140" t="s">
        <v>547</v>
      </c>
      <c r="F140">
        <v>1</v>
      </c>
      <c r="G140">
        <v>132</v>
      </c>
      <c r="H140" t="str">
        <f>IF(VLOOKUP(C140,Customers!A:E,5,FALSE)&gt;=1000,"YES","NO")</f>
        <v>NO</v>
      </c>
      <c r="I140">
        <f t="shared" si="2"/>
        <v>132</v>
      </c>
      <c r="J140">
        <f>(I140 - VLOOKUP(E140,Desserts!A:D,4,FALSE)) * F140</f>
        <v>82</v>
      </c>
    </row>
    <row r="141" spans="1:10" x14ac:dyDescent="0.3">
      <c r="A141" t="s">
        <v>885</v>
      </c>
      <c r="B141" t="s">
        <v>886</v>
      </c>
      <c r="C141" t="s">
        <v>471</v>
      </c>
      <c r="D141" t="s">
        <v>307</v>
      </c>
      <c r="E141" t="s">
        <v>541</v>
      </c>
      <c r="F141">
        <v>5</v>
      </c>
      <c r="G141">
        <v>108</v>
      </c>
      <c r="H141" t="str">
        <f>IF(VLOOKUP(C141,Customers!A:E,5,FALSE)&gt;=1000,"YES","NO")</f>
        <v>NO</v>
      </c>
      <c r="I141">
        <f t="shared" si="2"/>
        <v>108</v>
      </c>
      <c r="J141">
        <f>(I141 - VLOOKUP(E141,Desserts!A:D,4,FALSE)) * F141</f>
        <v>255</v>
      </c>
    </row>
    <row r="142" spans="1:10" x14ac:dyDescent="0.3">
      <c r="A142" t="s">
        <v>887</v>
      </c>
      <c r="B142" t="s">
        <v>888</v>
      </c>
      <c r="C142" t="s">
        <v>391</v>
      </c>
      <c r="D142" t="s">
        <v>82</v>
      </c>
      <c r="E142" t="s">
        <v>573</v>
      </c>
      <c r="F142">
        <v>1</v>
      </c>
      <c r="G142">
        <v>209</v>
      </c>
      <c r="H142" t="str">
        <f>IF(VLOOKUP(C142,Customers!A:E,5,FALSE)&gt;=1000,"YES","NO")</f>
        <v>YES</v>
      </c>
      <c r="I142">
        <f t="shared" si="2"/>
        <v>104.5</v>
      </c>
      <c r="J142">
        <f>(I142 - VLOOKUP(E142,Desserts!A:D,4,FALSE)) * F142</f>
        <v>54.5</v>
      </c>
    </row>
    <row r="143" spans="1:10" x14ac:dyDescent="0.3">
      <c r="A143" t="s">
        <v>889</v>
      </c>
      <c r="B143" t="s">
        <v>890</v>
      </c>
      <c r="C143" t="s">
        <v>473</v>
      </c>
      <c r="D143" t="s">
        <v>127</v>
      </c>
      <c r="E143" t="s">
        <v>555</v>
      </c>
      <c r="F143">
        <v>1</v>
      </c>
      <c r="G143">
        <v>236</v>
      </c>
      <c r="H143" t="str">
        <f>IF(VLOOKUP(C143,Customers!A:E,5,FALSE)&gt;=1000,"YES","NO")</f>
        <v>NO</v>
      </c>
      <c r="I143">
        <f t="shared" si="2"/>
        <v>236</v>
      </c>
      <c r="J143">
        <f>(I143 - VLOOKUP(E143,Desserts!A:D,4,FALSE)) * F143</f>
        <v>161</v>
      </c>
    </row>
    <row r="144" spans="1:10" x14ac:dyDescent="0.3">
      <c r="A144" t="s">
        <v>891</v>
      </c>
      <c r="B144" t="s">
        <v>892</v>
      </c>
      <c r="C144" t="s">
        <v>397</v>
      </c>
      <c r="D144" t="s">
        <v>280</v>
      </c>
      <c r="E144" t="s">
        <v>615</v>
      </c>
      <c r="F144">
        <v>5</v>
      </c>
      <c r="G144">
        <v>112</v>
      </c>
      <c r="H144" t="str">
        <f>IF(VLOOKUP(C144,Customers!A:E,5,FALSE)&gt;=1000,"YES","NO")</f>
        <v>NO</v>
      </c>
      <c r="I144">
        <f t="shared" si="2"/>
        <v>112</v>
      </c>
      <c r="J144">
        <f>(I144 - VLOOKUP(E144,Desserts!A:D,4,FALSE)) * F144</f>
        <v>350</v>
      </c>
    </row>
    <row r="145" spans="1:10" x14ac:dyDescent="0.3">
      <c r="A145" t="s">
        <v>893</v>
      </c>
      <c r="B145" t="s">
        <v>773</v>
      </c>
      <c r="C145" t="s">
        <v>425</v>
      </c>
      <c r="D145" t="s">
        <v>232</v>
      </c>
      <c r="E145" t="s">
        <v>553</v>
      </c>
      <c r="F145">
        <v>5</v>
      </c>
      <c r="G145">
        <v>162</v>
      </c>
      <c r="H145" t="str">
        <f>IF(VLOOKUP(C145,Customers!A:E,5,FALSE)&gt;=1000,"YES","NO")</f>
        <v>NO</v>
      </c>
      <c r="I145">
        <f t="shared" si="2"/>
        <v>162</v>
      </c>
      <c r="J145">
        <f>(I145 - VLOOKUP(E145,Desserts!A:D,4,FALSE)) * F145</f>
        <v>510</v>
      </c>
    </row>
    <row r="146" spans="1:10" x14ac:dyDescent="0.3">
      <c r="A146" t="s">
        <v>894</v>
      </c>
      <c r="B146" t="s">
        <v>895</v>
      </c>
      <c r="C146" t="s">
        <v>357</v>
      </c>
      <c r="D146" t="s">
        <v>133</v>
      </c>
      <c r="E146" t="s">
        <v>583</v>
      </c>
      <c r="F146">
        <v>1</v>
      </c>
      <c r="G146">
        <v>100</v>
      </c>
      <c r="H146" t="str">
        <f>IF(VLOOKUP(C146,Customers!A:E,5,FALSE)&gt;=1000,"YES","NO")</f>
        <v>NO</v>
      </c>
      <c r="I146">
        <f t="shared" si="2"/>
        <v>100</v>
      </c>
      <c r="J146">
        <f>(I146 - VLOOKUP(E146,Desserts!A:D,4,FALSE)) * F146</f>
        <v>17</v>
      </c>
    </row>
    <row r="147" spans="1:10" x14ac:dyDescent="0.3">
      <c r="A147" t="s">
        <v>896</v>
      </c>
      <c r="B147" t="s">
        <v>897</v>
      </c>
      <c r="C147" t="s">
        <v>503</v>
      </c>
      <c r="D147" t="s">
        <v>57</v>
      </c>
      <c r="E147" t="s">
        <v>563</v>
      </c>
      <c r="F147">
        <v>4</v>
      </c>
      <c r="G147">
        <v>232</v>
      </c>
      <c r="H147" t="str">
        <f>IF(VLOOKUP(C147,Customers!A:E,5,FALSE)&gt;=1000,"YES","NO")</f>
        <v>NO</v>
      </c>
      <c r="I147">
        <f t="shared" si="2"/>
        <v>232</v>
      </c>
      <c r="J147">
        <f>(I147 - VLOOKUP(E147,Desserts!A:D,4,FALSE)) * F147</f>
        <v>668</v>
      </c>
    </row>
    <row r="148" spans="1:10" x14ac:dyDescent="0.3">
      <c r="A148" t="s">
        <v>898</v>
      </c>
      <c r="B148" t="s">
        <v>899</v>
      </c>
      <c r="C148" t="s">
        <v>413</v>
      </c>
      <c r="D148" t="s">
        <v>178</v>
      </c>
      <c r="E148" t="s">
        <v>521</v>
      </c>
      <c r="F148">
        <v>2</v>
      </c>
      <c r="G148">
        <v>117</v>
      </c>
      <c r="H148" t="str">
        <f>IF(VLOOKUP(C148,Customers!A:E,5,FALSE)&gt;=1000,"YES","NO")</f>
        <v>YES</v>
      </c>
      <c r="I148">
        <f t="shared" si="2"/>
        <v>58.5</v>
      </c>
      <c r="J148">
        <f>(I148 - VLOOKUP(E148,Desserts!A:D,4,FALSE)) * F148</f>
        <v>-11</v>
      </c>
    </row>
    <row r="149" spans="1:10" x14ac:dyDescent="0.3">
      <c r="A149" t="s">
        <v>900</v>
      </c>
      <c r="B149" t="s">
        <v>901</v>
      </c>
      <c r="C149" t="s">
        <v>513</v>
      </c>
      <c r="D149" t="s">
        <v>178</v>
      </c>
      <c r="E149" t="s">
        <v>605</v>
      </c>
      <c r="F149">
        <v>2</v>
      </c>
      <c r="G149">
        <v>138</v>
      </c>
      <c r="H149" t="str">
        <f>IF(VLOOKUP(C149,Customers!A:E,5,FALSE)&gt;=1000,"YES","NO")</f>
        <v>YES</v>
      </c>
      <c r="I149">
        <f t="shared" si="2"/>
        <v>69</v>
      </c>
      <c r="J149">
        <f>(I149 - VLOOKUP(E149,Desserts!A:D,4,FALSE)) * F149</f>
        <v>14</v>
      </c>
    </row>
    <row r="150" spans="1:10" x14ac:dyDescent="0.3">
      <c r="A150" t="s">
        <v>902</v>
      </c>
      <c r="B150" t="s">
        <v>733</v>
      </c>
      <c r="C150" t="s">
        <v>377</v>
      </c>
      <c r="D150" t="s">
        <v>109</v>
      </c>
      <c r="E150" t="s">
        <v>549</v>
      </c>
      <c r="F150">
        <v>2</v>
      </c>
      <c r="G150">
        <v>178</v>
      </c>
      <c r="H150" t="str">
        <f>IF(VLOOKUP(C150,Customers!A:E,5,FALSE)&gt;=1000,"YES","NO")</f>
        <v>NO</v>
      </c>
      <c r="I150">
        <f t="shared" si="2"/>
        <v>178</v>
      </c>
      <c r="J150">
        <f>(I150 - VLOOKUP(E150,Desserts!A:D,4,FALSE)) * F150</f>
        <v>198</v>
      </c>
    </row>
    <row r="151" spans="1:10" x14ac:dyDescent="0.3">
      <c r="A151" t="s">
        <v>903</v>
      </c>
      <c r="B151" t="s">
        <v>904</v>
      </c>
      <c r="C151" t="s">
        <v>369</v>
      </c>
      <c r="D151" t="s">
        <v>27</v>
      </c>
      <c r="E151" t="s">
        <v>609</v>
      </c>
      <c r="F151">
        <v>1</v>
      </c>
      <c r="G151">
        <v>188</v>
      </c>
      <c r="H151" t="str">
        <f>IF(VLOOKUP(C151,Customers!A:E,5,FALSE)&gt;=1000,"YES","NO")</f>
        <v>YES</v>
      </c>
      <c r="I151">
        <f t="shared" si="2"/>
        <v>94</v>
      </c>
      <c r="J151">
        <f>(I151 - VLOOKUP(E151,Desserts!A:D,4,FALSE)) * F151</f>
        <v>30</v>
      </c>
    </row>
    <row r="152" spans="1:10" x14ac:dyDescent="0.3">
      <c r="A152" t="s">
        <v>905</v>
      </c>
      <c r="B152" t="s">
        <v>880</v>
      </c>
      <c r="C152" t="s">
        <v>437</v>
      </c>
      <c r="D152" t="s">
        <v>97</v>
      </c>
      <c r="E152" t="s">
        <v>595</v>
      </c>
      <c r="F152">
        <v>1</v>
      </c>
      <c r="G152">
        <v>150</v>
      </c>
      <c r="H152" t="str">
        <f>IF(VLOOKUP(C152,Customers!A:E,5,FALSE)&gt;=1000,"YES","NO")</f>
        <v>NO</v>
      </c>
      <c r="I152">
        <f t="shared" si="2"/>
        <v>150</v>
      </c>
      <c r="J152">
        <f>(I152 - VLOOKUP(E152,Desserts!A:D,4,FALSE)) * F152</f>
        <v>80</v>
      </c>
    </row>
    <row r="153" spans="1:10" x14ac:dyDescent="0.3">
      <c r="A153" t="s">
        <v>906</v>
      </c>
      <c r="B153" t="s">
        <v>733</v>
      </c>
      <c r="C153" t="s">
        <v>455</v>
      </c>
      <c r="D153" t="s">
        <v>211</v>
      </c>
      <c r="E153" t="s">
        <v>525</v>
      </c>
      <c r="F153">
        <v>3</v>
      </c>
      <c r="G153">
        <v>121</v>
      </c>
      <c r="H153" t="str">
        <f>IF(VLOOKUP(C153,Customers!A:E,5,FALSE)&gt;=1000,"YES","NO")</f>
        <v>YES</v>
      </c>
      <c r="I153">
        <f t="shared" si="2"/>
        <v>60.5</v>
      </c>
      <c r="J153">
        <f>(I153 - VLOOKUP(E153,Desserts!A:D,4,FALSE)) * F153</f>
        <v>-70.5</v>
      </c>
    </row>
    <row r="154" spans="1:10" x14ac:dyDescent="0.3">
      <c r="A154" t="s">
        <v>907</v>
      </c>
      <c r="B154" t="s">
        <v>908</v>
      </c>
      <c r="C154" t="s">
        <v>405</v>
      </c>
      <c r="D154" t="s">
        <v>193</v>
      </c>
      <c r="E154" t="s">
        <v>567</v>
      </c>
      <c r="F154">
        <v>3</v>
      </c>
      <c r="G154">
        <v>162</v>
      </c>
      <c r="H154" t="str">
        <f>IF(VLOOKUP(C154,Customers!A:E,5,FALSE)&gt;=1000,"YES","NO")</f>
        <v>YES</v>
      </c>
      <c r="I154">
        <f t="shared" si="2"/>
        <v>81</v>
      </c>
      <c r="J154">
        <f>(I154 - VLOOKUP(E154,Desserts!A:D,4,FALSE)) * F154</f>
        <v>75</v>
      </c>
    </row>
    <row r="155" spans="1:10" x14ac:dyDescent="0.3">
      <c r="A155" t="s">
        <v>909</v>
      </c>
      <c r="B155" t="s">
        <v>910</v>
      </c>
      <c r="C155" t="s">
        <v>341</v>
      </c>
      <c r="D155" t="s">
        <v>265</v>
      </c>
      <c r="E155" t="s">
        <v>557</v>
      </c>
      <c r="F155">
        <v>5</v>
      </c>
      <c r="G155">
        <v>169</v>
      </c>
      <c r="H155" t="str">
        <f>IF(VLOOKUP(C155,Customers!A:E,5,FALSE)&gt;=1000,"YES","NO")</f>
        <v>YES</v>
      </c>
      <c r="I155">
        <f t="shared" si="2"/>
        <v>84.5</v>
      </c>
      <c r="J155">
        <f>(I155 - VLOOKUP(E155,Desserts!A:D,4,FALSE)) * F155</f>
        <v>2.5</v>
      </c>
    </row>
    <row r="156" spans="1:10" x14ac:dyDescent="0.3">
      <c r="A156" t="s">
        <v>911</v>
      </c>
      <c r="B156" t="s">
        <v>630</v>
      </c>
      <c r="C156" t="s">
        <v>339</v>
      </c>
      <c r="D156" t="s">
        <v>136</v>
      </c>
      <c r="E156" t="s">
        <v>569</v>
      </c>
      <c r="F156">
        <v>5</v>
      </c>
      <c r="G156">
        <v>219</v>
      </c>
      <c r="H156" t="str">
        <f>IF(VLOOKUP(C156,Customers!A:E,5,FALSE)&gt;=1000,"YES","NO")</f>
        <v>NO</v>
      </c>
      <c r="I156">
        <f t="shared" si="2"/>
        <v>219</v>
      </c>
      <c r="J156">
        <f>(I156 - VLOOKUP(E156,Desserts!A:D,4,FALSE)) * F156</f>
        <v>710</v>
      </c>
    </row>
    <row r="157" spans="1:10" x14ac:dyDescent="0.3">
      <c r="A157" t="s">
        <v>912</v>
      </c>
      <c r="B157" t="s">
        <v>913</v>
      </c>
      <c r="C157" t="s">
        <v>331</v>
      </c>
      <c r="D157" t="s">
        <v>118</v>
      </c>
      <c r="E157" t="s">
        <v>527</v>
      </c>
      <c r="F157">
        <v>5</v>
      </c>
      <c r="G157">
        <v>133</v>
      </c>
      <c r="H157" t="str">
        <f>IF(VLOOKUP(C157,Customers!A:E,5,FALSE)&gt;=1000,"YES","NO")</f>
        <v>YES</v>
      </c>
      <c r="I157">
        <f t="shared" si="2"/>
        <v>66.5</v>
      </c>
      <c r="J157">
        <f>(I157 - VLOOKUP(E157,Desserts!A:D,4,FALSE)) * F157</f>
        <v>117.5</v>
      </c>
    </row>
    <row r="158" spans="1:10" x14ac:dyDescent="0.3">
      <c r="A158" t="s">
        <v>914</v>
      </c>
      <c r="B158" t="s">
        <v>915</v>
      </c>
      <c r="C158" t="s">
        <v>477</v>
      </c>
      <c r="D158" t="s">
        <v>247</v>
      </c>
      <c r="E158" t="s">
        <v>581</v>
      </c>
      <c r="F158">
        <v>4</v>
      </c>
      <c r="G158">
        <v>240</v>
      </c>
      <c r="H158" t="str">
        <f>IF(VLOOKUP(C158,Customers!A:E,5,FALSE)&gt;=1000,"YES","NO")</f>
        <v>YES</v>
      </c>
      <c r="I158">
        <f t="shared" si="2"/>
        <v>120</v>
      </c>
      <c r="J158">
        <f>(I158 - VLOOKUP(E158,Desserts!A:D,4,FALSE)) * F158</f>
        <v>124</v>
      </c>
    </row>
    <row r="159" spans="1:10" x14ac:dyDescent="0.3">
      <c r="A159" t="s">
        <v>916</v>
      </c>
      <c r="B159" t="s">
        <v>713</v>
      </c>
      <c r="C159" t="s">
        <v>405</v>
      </c>
      <c r="D159" t="s">
        <v>220</v>
      </c>
      <c r="E159" t="s">
        <v>613</v>
      </c>
      <c r="F159">
        <v>2</v>
      </c>
      <c r="G159">
        <v>203</v>
      </c>
      <c r="H159" t="str">
        <f>IF(VLOOKUP(C159,Customers!A:E,5,FALSE)&gt;=1000,"YES","NO")</f>
        <v>YES</v>
      </c>
      <c r="I159">
        <f t="shared" si="2"/>
        <v>101.5</v>
      </c>
      <c r="J159">
        <f>(I159 - VLOOKUP(E159,Desserts!A:D,4,FALSE)) * F159</f>
        <v>33</v>
      </c>
    </row>
    <row r="160" spans="1:10" x14ac:dyDescent="0.3">
      <c r="A160" t="s">
        <v>917</v>
      </c>
      <c r="B160" t="s">
        <v>747</v>
      </c>
      <c r="C160" t="s">
        <v>505</v>
      </c>
      <c r="D160" t="s">
        <v>142</v>
      </c>
      <c r="E160" t="s">
        <v>599</v>
      </c>
      <c r="F160">
        <v>5</v>
      </c>
      <c r="G160">
        <v>236</v>
      </c>
      <c r="H160" t="str">
        <f>IF(VLOOKUP(C160,Customers!A:E,5,FALSE)&gt;=1000,"YES","NO")</f>
        <v>YES</v>
      </c>
      <c r="I160">
        <f t="shared" si="2"/>
        <v>118</v>
      </c>
      <c r="J160">
        <f>(I160 - VLOOKUP(E160,Desserts!A:D,4,FALSE)) * F160</f>
        <v>190</v>
      </c>
    </row>
    <row r="161" spans="1:10" x14ac:dyDescent="0.3">
      <c r="A161" t="s">
        <v>918</v>
      </c>
      <c r="B161" t="s">
        <v>919</v>
      </c>
      <c r="C161" t="s">
        <v>375</v>
      </c>
      <c r="D161" t="s">
        <v>307</v>
      </c>
      <c r="E161" t="s">
        <v>581</v>
      </c>
      <c r="F161">
        <v>3</v>
      </c>
      <c r="G161">
        <v>154</v>
      </c>
      <c r="H161" t="str">
        <f>IF(VLOOKUP(C161,Customers!A:E,5,FALSE)&gt;=1000,"YES","NO")</f>
        <v>NO</v>
      </c>
      <c r="I161">
        <f t="shared" si="2"/>
        <v>154</v>
      </c>
      <c r="J161">
        <f>(I161 - VLOOKUP(E161,Desserts!A:D,4,FALSE)) * F161</f>
        <v>195</v>
      </c>
    </row>
    <row r="162" spans="1:10" x14ac:dyDescent="0.3">
      <c r="A162" t="s">
        <v>920</v>
      </c>
      <c r="B162" t="s">
        <v>921</v>
      </c>
      <c r="C162" t="s">
        <v>399</v>
      </c>
      <c r="D162" t="s">
        <v>238</v>
      </c>
      <c r="E162" t="s">
        <v>563</v>
      </c>
      <c r="F162">
        <v>2</v>
      </c>
      <c r="G162">
        <v>213</v>
      </c>
      <c r="H162" t="str">
        <f>IF(VLOOKUP(C162,Customers!A:E,5,FALSE)&gt;=1000,"YES","NO")</f>
        <v>YES</v>
      </c>
      <c r="I162">
        <f t="shared" si="2"/>
        <v>106.5</v>
      </c>
      <c r="J162">
        <f>(I162 - VLOOKUP(E162,Desserts!A:D,4,FALSE)) * F162</f>
        <v>83</v>
      </c>
    </row>
    <row r="163" spans="1:10" x14ac:dyDescent="0.3">
      <c r="A163" t="s">
        <v>922</v>
      </c>
      <c r="B163" t="s">
        <v>626</v>
      </c>
      <c r="C163" t="s">
        <v>431</v>
      </c>
      <c r="D163" t="s">
        <v>211</v>
      </c>
      <c r="E163" t="s">
        <v>569</v>
      </c>
      <c r="F163">
        <v>3</v>
      </c>
      <c r="G163">
        <v>136</v>
      </c>
      <c r="H163" t="str">
        <f>IF(VLOOKUP(C163,Customers!A:E,5,FALSE)&gt;=1000,"YES","NO")</f>
        <v>YES</v>
      </c>
      <c r="I163">
        <f t="shared" si="2"/>
        <v>68</v>
      </c>
      <c r="J163">
        <f>(I163 - VLOOKUP(E163,Desserts!A:D,4,FALSE)) * F163</f>
        <v>-27</v>
      </c>
    </row>
    <row r="164" spans="1:10" x14ac:dyDescent="0.3">
      <c r="A164" t="s">
        <v>923</v>
      </c>
      <c r="B164" t="s">
        <v>924</v>
      </c>
      <c r="C164" t="s">
        <v>455</v>
      </c>
      <c r="D164" t="s">
        <v>247</v>
      </c>
      <c r="E164" t="s">
        <v>611</v>
      </c>
      <c r="F164">
        <v>2</v>
      </c>
      <c r="G164">
        <v>174</v>
      </c>
      <c r="H164" t="str">
        <f>IF(VLOOKUP(C164,Customers!A:E,5,FALSE)&gt;=1000,"YES","NO")</f>
        <v>YES</v>
      </c>
      <c r="I164">
        <f t="shared" si="2"/>
        <v>87</v>
      </c>
      <c r="J164">
        <f>(I164 - VLOOKUP(E164,Desserts!A:D,4,FALSE)) * F164</f>
        <v>88</v>
      </c>
    </row>
    <row r="165" spans="1:10" x14ac:dyDescent="0.3">
      <c r="A165" t="s">
        <v>925</v>
      </c>
      <c r="B165" t="s">
        <v>739</v>
      </c>
      <c r="C165" t="s">
        <v>341</v>
      </c>
      <c r="D165" t="s">
        <v>88</v>
      </c>
      <c r="E165" t="s">
        <v>593</v>
      </c>
      <c r="F165">
        <v>1</v>
      </c>
      <c r="G165">
        <v>227</v>
      </c>
      <c r="H165" t="str">
        <f>IF(VLOOKUP(C165,Customers!A:E,5,FALSE)&gt;=1000,"YES","NO")</f>
        <v>YES</v>
      </c>
      <c r="I165">
        <f t="shared" si="2"/>
        <v>113.5</v>
      </c>
      <c r="J165">
        <f>(I165 - VLOOKUP(E165,Desserts!A:D,4,FALSE)) * F165</f>
        <v>59.5</v>
      </c>
    </row>
    <row r="166" spans="1:10" x14ac:dyDescent="0.3">
      <c r="A166" t="s">
        <v>926</v>
      </c>
      <c r="B166" t="s">
        <v>761</v>
      </c>
      <c r="C166" t="s">
        <v>371</v>
      </c>
      <c r="D166" t="s">
        <v>205</v>
      </c>
      <c r="E166" t="s">
        <v>549</v>
      </c>
      <c r="F166">
        <v>1</v>
      </c>
      <c r="G166">
        <v>216</v>
      </c>
      <c r="H166" t="str">
        <f>IF(VLOOKUP(C166,Customers!A:E,5,FALSE)&gt;=1000,"YES","NO")</f>
        <v>NO</v>
      </c>
      <c r="I166">
        <f t="shared" si="2"/>
        <v>216</v>
      </c>
      <c r="J166">
        <f>(I166 - VLOOKUP(E166,Desserts!A:D,4,FALSE)) * F166</f>
        <v>137</v>
      </c>
    </row>
    <row r="167" spans="1:10" x14ac:dyDescent="0.3">
      <c r="A167" t="s">
        <v>927</v>
      </c>
      <c r="B167" t="s">
        <v>928</v>
      </c>
      <c r="C167" t="s">
        <v>507</v>
      </c>
      <c r="D167" t="s">
        <v>289</v>
      </c>
      <c r="E167" t="s">
        <v>553</v>
      </c>
      <c r="F167">
        <v>2</v>
      </c>
      <c r="G167">
        <v>245</v>
      </c>
      <c r="H167" t="str">
        <f>IF(VLOOKUP(C167,Customers!A:E,5,FALSE)&gt;=1000,"YES","NO")</f>
        <v>NO</v>
      </c>
      <c r="I167">
        <f t="shared" si="2"/>
        <v>245</v>
      </c>
      <c r="J167">
        <f>(I167 - VLOOKUP(E167,Desserts!A:D,4,FALSE)) * F167</f>
        <v>370</v>
      </c>
    </row>
    <row r="168" spans="1:10" x14ac:dyDescent="0.3">
      <c r="A168" t="s">
        <v>929</v>
      </c>
      <c r="B168" t="s">
        <v>873</v>
      </c>
      <c r="C168" t="s">
        <v>443</v>
      </c>
      <c r="D168" t="s">
        <v>202</v>
      </c>
      <c r="E168" t="s">
        <v>533</v>
      </c>
      <c r="F168">
        <v>2</v>
      </c>
      <c r="G168">
        <v>236</v>
      </c>
      <c r="H168" t="str">
        <f>IF(VLOOKUP(C168,Customers!A:E,5,FALSE)&gt;=1000,"YES","NO")</f>
        <v>YES</v>
      </c>
      <c r="I168">
        <f t="shared" si="2"/>
        <v>118</v>
      </c>
      <c r="J168">
        <f>(I168 - VLOOKUP(E168,Desserts!A:D,4,FALSE)) * F168</f>
        <v>102</v>
      </c>
    </row>
    <row r="169" spans="1:10" x14ac:dyDescent="0.3">
      <c r="A169" t="s">
        <v>930</v>
      </c>
      <c r="B169" t="s">
        <v>749</v>
      </c>
      <c r="C169" t="s">
        <v>427</v>
      </c>
      <c r="D169" t="s">
        <v>286</v>
      </c>
      <c r="E169" t="s">
        <v>557</v>
      </c>
      <c r="F169">
        <v>5</v>
      </c>
      <c r="G169">
        <v>123</v>
      </c>
      <c r="H169" t="str">
        <f>IF(VLOOKUP(C169,Customers!A:E,5,FALSE)&gt;=1000,"YES","NO")</f>
        <v>NO</v>
      </c>
      <c r="I169">
        <f t="shared" si="2"/>
        <v>123</v>
      </c>
      <c r="J169">
        <f>(I169 - VLOOKUP(E169,Desserts!A:D,4,FALSE)) * F169</f>
        <v>195</v>
      </c>
    </row>
    <row r="170" spans="1:10" x14ac:dyDescent="0.3">
      <c r="A170" t="s">
        <v>931</v>
      </c>
      <c r="B170" t="s">
        <v>932</v>
      </c>
      <c r="C170" t="s">
        <v>321</v>
      </c>
      <c r="D170" t="s">
        <v>109</v>
      </c>
      <c r="E170" t="s">
        <v>547</v>
      </c>
      <c r="F170">
        <v>4</v>
      </c>
      <c r="G170">
        <v>105</v>
      </c>
      <c r="H170" t="str">
        <f>IF(VLOOKUP(C170,Customers!A:E,5,FALSE)&gt;=1000,"YES","NO")</f>
        <v>NO</v>
      </c>
      <c r="I170">
        <f t="shared" si="2"/>
        <v>105</v>
      </c>
      <c r="J170">
        <f>(I170 - VLOOKUP(E170,Desserts!A:D,4,FALSE)) * F170</f>
        <v>220</v>
      </c>
    </row>
    <row r="171" spans="1:10" x14ac:dyDescent="0.3">
      <c r="A171" t="s">
        <v>933</v>
      </c>
      <c r="B171" t="s">
        <v>659</v>
      </c>
      <c r="C171" t="s">
        <v>511</v>
      </c>
      <c r="D171" t="s">
        <v>57</v>
      </c>
      <c r="E171" t="s">
        <v>555</v>
      </c>
      <c r="F171">
        <v>2</v>
      </c>
      <c r="G171">
        <v>235</v>
      </c>
      <c r="H171" t="str">
        <f>IF(VLOOKUP(C171,Customers!A:E,5,FALSE)&gt;=1000,"YES","NO")</f>
        <v>YES</v>
      </c>
      <c r="I171">
        <f t="shared" si="2"/>
        <v>117.5</v>
      </c>
      <c r="J171">
        <f>(I171 - VLOOKUP(E171,Desserts!A:D,4,FALSE)) * F171</f>
        <v>85</v>
      </c>
    </row>
    <row r="172" spans="1:10" x14ac:dyDescent="0.3">
      <c r="A172" t="s">
        <v>934</v>
      </c>
      <c r="B172" t="s">
        <v>842</v>
      </c>
      <c r="C172" t="s">
        <v>393</v>
      </c>
      <c r="D172" t="s">
        <v>24</v>
      </c>
      <c r="E172" t="s">
        <v>561</v>
      </c>
      <c r="F172">
        <v>3</v>
      </c>
      <c r="G172">
        <v>212</v>
      </c>
      <c r="H172" t="str">
        <f>IF(VLOOKUP(C172,Customers!A:E,5,FALSE)&gt;=1000,"YES","NO")</f>
        <v>YES</v>
      </c>
      <c r="I172">
        <f t="shared" si="2"/>
        <v>106</v>
      </c>
      <c r="J172">
        <f>(I172 - VLOOKUP(E172,Desserts!A:D,4,FALSE)) * F172</f>
        <v>129</v>
      </c>
    </row>
    <row r="173" spans="1:10" x14ac:dyDescent="0.3">
      <c r="A173" t="s">
        <v>935</v>
      </c>
      <c r="B173" t="s">
        <v>936</v>
      </c>
      <c r="C173" t="s">
        <v>515</v>
      </c>
      <c r="D173" t="s">
        <v>154</v>
      </c>
      <c r="E173" t="s">
        <v>593</v>
      </c>
      <c r="F173">
        <v>2</v>
      </c>
      <c r="G173">
        <v>140</v>
      </c>
      <c r="H173" t="str">
        <f>IF(VLOOKUP(C173,Customers!A:E,5,FALSE)&gt;=1000,"YES","NO")</f>
        <v>YES</v>
      </c>
      <c r="I173">
        <f t="shared" si="2"/>
        <v>70</v>
      </c>
      <c r="J173">
        <f>(I173 - VLOOKUP(E173,Desserts!A:D,4,FALSE)) * F173</f>
        <v>32</v>
      </c>
    </row>
    <row r="174" spans="1:10" x14ac:dyDescent="0.3">
      <c r="A174" t="s">
        <v>937</v>
      </c>
      <c r="B174" t="s">
        <v>938</v>
      </c>
      <c r="C174" t="s">
        <v>507</v>
      </c>
      <c r="D174" t="s">
        <v>85</v>
      </c>
      <c r="E174" t="s">
        <v>521</v>
      </c>
      <c r="F174">
        <v>1</v>
      </c>
      <c r="G174">
        <v>186</v>
      </c>
      <c r="H174" t="str">
        <f>IF(VLOOKUP(C174,Customers!A:E,5,FALSE)&gt;=1000,"YES","NO")</f>
        <v>NO</v>
      </c>
      <c r="I174">
        <f t="shared" si="2"/>
        <v>186</v>
      </c>
      <c r="J174">
        <f>(I174 - VLOOKUP(E174,Desserts!A:D,4,FALSE)) * F174</f>
        <v>122</v>
      </c>
    </row>
    <row r="175" spans="1:10" x14ac:dyDescent="0.3">
      <c r="A175" t="s">
        <v>939</v>
      </c>
      <c r="B175" t="s">
        <v>940</v>
      </c>
      <c r="C175" t="s">
        <v>439</v>
      </c>
      <c r="D175" t="s">
        <v>166</v>
      </c>
      <c r="E175" t="s">
        <v>557</v>
      </c>
      <c r="F175">
        <v>1</v>
      </c>
      <c r="G175">
        <v>109</v>
      </c>
      <c r="H175" t="str">
        <f>IF(VLOOKUP(C175,Customers!A:E,5,FALSE)&gt;=1000,"YES","NO")</f>
        <v>YES</v>
      </c>
      <c r="I175">
        <f t="shared" si="2"/>
        <v>54.5</v>
      </c>
      <c r="J175">
        <f>(I175 - VLOOKUP(E175,Desserts!A:D,4,FALSE)) * F175</f>
        <v>-29.5</v>
      </c>
    </row>
    <row r="176" spans="1:10" x14ac:dyDescent="0.3">
      <c r="A176" t="s">
        <v>941</v>
      </c>
      <c r="B176" t="s">
        <v>942</v>
      </c>
      <c r="C176" t="s">
        <v>491</v>
      </c>
      <c r="D176" t="s">
        <v>151</v>
      </c>
      <c r="E176" t="s">
        <v>617</v>
      </c>
      <c r="F176">
        <v>2</v>
      </c>
      <c r="G176">
        <v>197</v>
      </c>
      <c r="H176" t="str">
        <f>IF(VLOOKUP(C176,Customers!A:E,5,FALSE)&gt;=1000,"YES","NO")</f>
        <v>NO</v>
      </c>
      <c r="I176">
        <f t="shared" si="2"/>
        <v>197</v>
      </c>
      <c r="J176">
        <f>(I176 - VLOOKUP(E176,Desserts!A:D,4,FALSE)) * F176</f>
        <v>312</v>
      </c>
    </row>
    <row r="177" spans="1:10" x14ac:dyDescent="0.3">
      <c r="A177" t="s">
        <v>943</v>
      </c>
      <c r="B177" t="s">
        <v>810</v>
      </c>
      <c r="C177" t="s">
        <v>391</v>
      </c>
      <c r="D177" t="s">
        <v>232</v>
      </c>
      <c r="E177" t="s">
        <v>531</v>
      </c>
      <c r="F177">
        <v>5</v>
      </c>
      <c r="G177">
        <v>193</v>
      </c>
      <c r="H177" t="str">
        <f>IF(VLOOKUP(C177,Customers!A:E,5,FALSE)&gt;=1000,"YES","NO")</f>
        <v>YES</v>
      </c>
      <c r="I177">
        <f t="shared" si="2"/>
        <v>96.5</v>
      </c>
      <c r="J177">
        <f>(I177 - VLOOKUP(E177,Desserts!A:D,4,FALSE)) * F177</f>
        <v>57.5</v>
      </c>
    </row>
    <row r="178" spans="1:10" x14ac:dyDescent="0.3">
      <c r="A178" t="s">
        <v>944</v>
      </c>
      <c r="B178" t="s">
        <v>773</v>
      </c>
      <c r="C178" t="s">
        <v>433</v>
      </c>
      <c r="D178" t="s">
        <v>214</v>
      </c>
      <c r="E178" t="s">
        <v>543</v>
      </c>
      <c r="F178">
        <v>4</v>
      </c>
      <c r="G178">
        <v>164</v>
      </c>
      <c r="H178" t="str">
        <f>IF(VLOOKUP(C178,Customers!A:E,5,FALSE)&gt;=1000,"YES","NO")</f>
        <v>YES</v>
      </c>
      <c r="I178">
        <f t="shared" si="2"/>
        <v>82</v>
      </c>
      <c r="J178">
        <f>(I178 - VLOOKUP(E178,Desserts!A:D,4,FALSE)) * F178</f>
        <v>36</v>
      </c>
    </row>
    <row r="179" spans="1:10" x14ac:dyDescent="0.3">
      <c r="A179" t="s">
        <v>945</v>
      </c>
      <c r="B179" t="s">
        <v>946</v>
      </c>
      <c r="C179" t="s">
        <v>401</v>
      </c>
      <c r="D179" t="s">
        <v>154</v>
      </c>
      <c r="E179" t="s">
        <v>533</v>
      </c>
      <c r="F179">
        <v>2</v>
      </c>
      <c r="G179">
        <v>129</v>
      </c>
      <c r="H179" t="str">
        <f>IF(VLOOKUP(C179,Customers!A:E,5,FALSE)&gt;=1000,"YES","NO")</f>
        <v>YES</v>
      </c>
      <c r="I179">
        <f t="shared" si="2"/>
        <v>64.5</v>
      </c>
      <c r="J179">
        <f>(I179 - VLOOKUP(E179,Desserts!A:D,4,FALSE)) * F179</f>
        <v>-5</v>
      </c>
    </row>
    <row r="180" spans="1:10" x14ac:dyDescent="0.3">
      <c r="A180" t="s">
        <v>947</v>
      </c>
      <c r="B180" t="s">
        <v>948</v>
      </c>
      <c r="C180" t="s">
        <v>497</v>
      </c>
      <c r="D180" t="s">
        <v>181</v>
      </c>
      <c r="E180" t="s">
        <v>601</v>
      </c>
      <c r="F180">
        <v>5</v>
      </c>
      <c r="G180">
        <v>208</v>
      </c>
      <c r="H180" t="str">
        <f>IF(VLOOKUP(C180,Customers!A:E,5,FALSE)&gt;=1000,"YES","NO")</f>
        <v>NO</v>
      </c>
      <c r="I180">
        <f t="shared" si="2"/>
        <v>208</v>
      </c>
      <c r="J180">
        <f>(I180 - VLOOKUP(E180,Desserts!A:D,4,FALSE)) * F180</f>
        <v>765</v>
      </c>
    </row>
    <row r="181" spans="1:10" x14ac:dyDescent="0.3">
      <c r="A181" t="s">
        <v>949</v>
      </c>
      <c r="B181" t="s">
        <v>950</v>
      </c>
      <c r="C181" t="s">
        <v>367</v>
      </c>
      <c r="D181" t="s">
        <v>178</v>
      </c>
      <c r="E181" t="s">
        <v>545</v>
      </c>
      <c r="F181">
        <v>3</v>
      </c>
      <c r="G181">
        <v>138</v>
      </c>
      <c r="H181" t="str">
        <f>IF(VLOOKUP(C181,Customers!A:E,5,FALSE)&gt;=1000,"YES","NO")</f>
        <v>NO</v>
      </c>
      <c r="I181">
        <f t="shared" si="2"/>
        <v>138</v>
      </c>
      <c r="J181">
        <f>(I181 - VLOOKUP(E181,Desserts!A:D,4,FALSE)) * F181</f>
        <v>279</v>
      </c>
    </row>
    <row r="182" spans="1:10" x14ac:dyDescent="0.3">
      <c r="A182" t="s">
        <v>951</v>
      </c>
      <c r="B182" t="s">
        <v>952</v>
      </c>
      <c r="C182" t="s">
        <v>481</v>
      </c>
      <c r="D182" t="s">
        <v>151</v>
      </c>
      <c r="E182" t="s">
        <v>577</v>
      </c>
      <c r="F182">
        <v>1</v>
      </c>
      <c r="G182">
        <v>240</v>
      </c>
      <c r="H182" t="str">
        <f>IF(VLOOKUP(C182,Customers!A:E,5,FALSE)&gt;=1000,"YES","NO")</f>
        <v>YES</v>
      </c>
      <c r="I182">
        <f t="shared" si="2"/>
        <v>120</v>
      </c>
      <c r="J182">
        <f>(I182 - VLOOKUP(E182,Desserts!A:D,4,FALSE)) * F182</f>
        <v>50</v>
      </c>
    </row>
    <row r="183" spans="1:10" x14ac:dyDescent="0.3">
      <c r="A183" t="s">
        <v>953</v>
      </c>
      <c r="B183" t="s">
        <v>713</v>
      </c>
      <c r="C183" t="s">
        <v>401</v>
      </c>
      <c r="D183" t="s">
        <v>157</v>
      </c>
      <c r="E183" t="s">
        <v>543</v>
      </c>
      <c r="F183">
        <v>5</v>
      </c>
      <c r="G183">
        <v>209</v>
      </c>
      <c r="H183" t="str">
        <f>IF(VLOOKUP(C183,Customers!A:E,5,FALSE)&gt;=1000,"YES","NO")</f>
        <v>YES</v>
      </c>
      <c r="I183">
        <f t="shared" si="2"/>
        <v>104.5</v>
      </c>
      <c r="J183">
        <f>(I183 - VLOOKUP(E183,Desserts!A:D,4,FALSE)) * F183</f>
        <v>157.5</v>
      </c>
    </row>
    <row r="184" spans="1:10" x14ac:dyDescent="0.3">
      <c r="A184" t="s">
        <v>954</v>
      </c>
      <c r="B184" t="s">
        <v>955</v>
      </c>
      <c r="C184" t="s">
        <v>439</v>
      </c>
      <c r="D184" t="s">
        <v>202</v>
      </c>
      <c r="E184" t="s">
        <v>547</v>
      </c>
      <c r="F184">
        <v>5</v>
      </c>
      <c r="G184">
        <v>122</v>
      </c>
      <c r="H184" t="str">
        <f>IF(VLOOKUP(C184,Customers!A:E,5,FALSE)&gt;=1000,"YES","NO")</f>
        <v>YES</v>
      </c>
      <c r="I184">
        <f t="shared" si="2"/>
        <v>61</v>
      </c>
      <c r="J184">
        <f>(I184 - VLOOKUP(E184,Desserts!A:D,4,FALSE)) * F184</f>
        <v>55</v>
      </c>
    </row>
    <row r="185" spans="1:10" x14ac:dyDescent="0.3">
      <c r="A185" t="s">
        <v>956</v>
      </c>
      <c r="B185" t="s">
        <v>957</v>
      </c>
      <c r="C185" t="s">
        <v>329</v>
      </c>
      <c r="D185" t="s">
        <v>130</v>
      </c>
      <c r="E185" t="s">
        <v>607</v>
      </c>
      <c r="F185">
        <v>2</v>
      </c>
      <c r="G185">
        <v>106</v>
      </c>
      <c r="H185" t="str">
        <f>IF(VLOOKUP(C185,Customers!A:E,5,FALSE)&gt;=1000,"YES","NO")</f>
        <v>YES</v>
      </c>
      <c r="I185">
        <f t="shared" si="2"/>
        <v>53</v>
      </c>
      <c r="J185">
        <f>(I185 - VLOOKUP(E185,Desserts!A:D,4,FALSE)) * F185</f>
        <v>-34</v>
      </c>
    </row>
    <row r="186" spans="1:10" x14ac:dyDescent="0.3">
      <c r="A186" t="s">
        <v>958</v>
      </c>
      <c r="B186" t="s">
        <v>959</v>
      </c>
      <c r="C186" t="s">
        <v>369</v>
      </c>
      <c r="D186" t="s">
        <v>72</v>
      </c>
      <c r="E186" t="s">
        <v>531</v>
      </c>
      <c r="F186">
        <v>5</v>
      </c>
      <c r="G186">
        <v>219</v>
      </c>
      <c r="H186" t="str">
        <f>IF(VLOOKUP(C186,Customers!A:E,5,FALSE)&gt;=1000,"YES","NO")</f>
        <v>YES</v>
      </c>
      <c r="I186">
        <f t="shared" si="2"/>
        <v>109.5</v>
      </c>
      <c r="J186">
        <f>(I186 - VLOOKUP(E186,Desserts!A:D,4,FALSE)) * F186</f>
        <v>122.5</v>
      </c>
    </row>
    <row r="187" spans="1:10" x14ac:dyDescent="0.3">
      <c r="A187" t="s">
        <v>960</v>
      </c>
      <c r="B187" t="s">
        <v>701</v>
      </c>
      <c r="C187" t="s">
        <v>435</v>
      </c>
      <c r="D187" t="s">
        <v>51</v>
      </c>
      <c r="E187" t="s">
        <v>543</v>
      </c>
      <c r="F187">
        <v>3</v>
      </c>
      <c r="G187">
        <v>130</v>
      </c>
      <c r="H187" t="str">
        <f>IF(VLOOKUP(C187,Customers!A:E,5,FALSE)&gt;=1000,"YES","NO")</f>
        <v>NO</v>
      </c>
      <c r="I187">
        <f t="shared" si="2"/>
        <v>130</v>
      </c>
      <c r="J187">
        <f>(I187 - VLOOKUP(E187,Desserts!A:D,4,FALSE)) * F187</f>
        <v>171</v>
      </c>
    </row>
    <row r="188" spans="1:10" x14ac:dyDescent="0.3">
      <c r="A188" t="s">
        <v>961</v>
      </c>
      <c r="B188" t="s">
        <v>962</v>
      </c>
      <c r="C188" t="s">
        <v>415</v>
      </c>
      <c r="D188" t="s">
        <v>148</v>
      </c>
      <c r="E188" t="s">
        <v>521</v>
      </c>
      <c r="F188">
        <v>4</v>
      </c>
      <c r="G188">
        <v>171</v>
      </c>
      <c r="H188" t="str">
        <f>IF(VLOOKUP(C188,Customers!A:E,5,FALSE)&gt;=1000,"YES","NO")</f>
        <v>YES</v>
      </c>
      <c r="I188">
        <f t="shared" si="2"/>
        <v>85.5</v>
      </c>
      <c r="J188">
        <f>(I188 - VLOOKUP(E188,Desserts!A:D,4,FALSE)) * F188</f>
        <v>86</v>
      </c>
    </row>
    <row r="189" spans="1:10" x14ac:dyDescent="0.3">
      <c r="A189" t="s">
        <v>963</v>
      </c>
      <c r="B189" t="s">
        <v>741</v>
      </c>
      <c r="C189" t="s">
        <v>379</v>
      </c>
      <c r="D189" t="s">
        <v>47</v>
      </c>
      <c r="E189" t="s">
        <v>555</v>
      </c>
      <c r="F189">
        <v>5</v>
      </c>
      <c r="G189">
        <v>233</v>
      </c>
      <c r="H189" t="str">
        <f>IF(VLOOKUP(C189,Customers!A:E,5,FALSE)&gt;=1000,"YES","NO")</f>
        <v>NO</v>
      </c>
      <c r="I189">
        <f t="shared" si="2"/>
        <v>233</v>
      </c>
      <c r="J189">
        <f>(I189 - VLOOKUP(E189,Desserts!A:D,4,FALSE)) * F189</f>
        <v>790</v>
      </c>
    </row>
    <row r="190" spans="1:10" x14ac:dyDescent="0.3">
      <c r="A190" t="s">
        <v>964</v>
      </c>
      <c r="B190" t="s">
        <v>965</v>
      </c>
      <c r="C190" t="s">
        <v>395</v>
      </c>
      <c r="D190" t="s">
        <v>63</v>
      </c>
      <c r="E190" t="s">
        <v>603</v>
      </c>
      <c r="F190">
        <v>3</v>
      </c>
      <c r="G190">
        <v>171</v>
      </c>
      <c r="H190" t="str">
        <f>IF(VLOOKUP(C190,Customers!A:E,5,FALSE)&gt;=1000,"YES","NO")</f>
        <v>NO</v>
      </c>
      <c r="I190">
        <f t="shared" si="2"/>
        <v>171</v>
      </c>
      <c r="J190">
        <f>(I190 - VLOOKUP(E190,Desserts!A:D,4,FALSE)) * F190</f>
        <v>246</v>
      </c>
    </row>
    <row r="191" spans="1:10" x14ac:dyDescent="0.3">
      <c r="A191" t="s">
        <v>966</v>
      </c>
      <c r="B191" t="s">
        <v>901</v>
      </c>
      <c r="C191" t="s">
        <v>403</v>
      </c>
      <c r="D191" t="s">
        <v>220</v>
      </c>
      <c r="E191" t="s">
        <v>593</v>
      </c>
      <c r="F191">
        <v>3</v>
      </c>
      <c r="G191">
        <v>137</v>
      </c>
      <c r="H191" t="str">
        <f>IF(VLOOKUP(C191,Customers!A:E,5,FALSE)&gt;=1000,"YES","NO")</f>
        <v>NO</v>
      </c>
      <c r="I191">
        <f t="shared" si="2"/>
        <v>137</v>
      </c>
      <c r="J191">
        <f>(I191 - VLOOKUP(E191,Desserts!A:D,4,FALSE)) * F191</f>
        <v>249</v>
      </c>
    </row>
    <row r="192" spans="1:10" x14ac:dyDescent="0.3">
      <c r="A192" t="s">
        <v>967</v>
      </c>
      <c r="B192" t="s">
        <v>968</v>
      </c>
      <c r="C192" t="s">
        <v>433</v>
      </c>
      <c r="D192" t="s">
        <v>178</v>
      </c>
      <c r="E192" t="s">
        <v>547</v>
      </c>
      <c r="F192">
        <v>1</v>
      </c>
      <c r="G192">
        <v>227</v>
      </c>
      <c r="H192" t="str">
        <f>IF(VLOOKUP(C192,Customers!A:E,5,FALSE)&gt;=1000,"YES","NO")</f>
        <v>YES</v>
      </c>
      <c r="I192">
        <f t="shared" si="2"/>
        <v>113.5</v>
      </c>
      <c r="J192">
        <f>(I192 - VLOOKUP(E192,Desserts!A:D,4,FALSE)) * F192</f>
        <v>63.5</v>
      </c>
    </row>
    <row r="193" spans="1:10" x14ac:dyDescent="0.3">
      <c r="A193" t="s">
        <v>969</v>
      </c>
      <c r="B193" t="s">
        <v>970</v>
      </c>
      <c r="C193" t="s">
        <v>451</v>
      </c>
      <c r="D193" t="s">
        <v>166</v>
      </c>
      <c r="E193" t="s">
        <v>569</v>
      </c>
      <c r="F193">
        <v>2</v>
      </c>
      <c r="G193">
        <v>146</v>
      </c>
      <c r="H193" t="str">
        <f>IF(VLOOKUP(C193,Customers!A:E,5,FALSE)&gt;=1000,"YES","NO")</f>
        <v>NO</v>
      </c>
      <c r="I193">
        <f t="shared" si="2"/>
        <v>146</v>
      </c>
      <c r="J193">
        <f>(I193 - VLOOKUP(E193,Desserts!A:D,4,FALSE)) * F193</f>
        <v>138</v>
      </c>
    </row>
    <row r="194" spans="1:10" x14ac:dyDescent="0.3">
      <c r="A194" t="s">
        <v>971</v>
      </c>
      <c r="B194" t="s">
        <v>972</v>
      </c>
      <c r="C194" t="s">
        <v>373</v>
      </c>
      <c r="D194" t="s">
        <v>184</v>
      </c>
      <c r="E194" t="s">
        <v>547</v>
      </c>
      <c r="F194">
        <v>2</v>
      </c>
      <c r="G194">
        <v>189</v>
      </c>
      <c r="H194" t="str">
        <f>IF(VLOOKUP(C194,Customers!A:E,5,FALSE)&gt;=1000,"YES","NO")</f>
        <v>NO</v>
      </c>
      <c r="I194">
        <f t="shared" ref="I194:I257" si="3">IF(H194="YES",G194*0.5,G194)</f>
        <v>189</v>
      </c>
      <c r="J194">
        <f>(I194 - VLOOKUP(E194,Desserts!A:D,4,FALSE)) * F194</f>
        <v>278</v>
      </c>
    </row>
    <row r="195" spans="1:10" x14ac:dyDescent="0.3">
      <c r="A195" t="s">
        <v>973</v>
      </c>
      <c r="B195" t="s">
        <v>974</v>
      </c>
      <c r="C195" t="s">
        <v>509</v>
      </c>
      <c r="D195" t="s">
        <v>66</v>
      </c>
      <c r="E195" t="s">
        <v>563</v>
      </c>
      <c r="F195">
        <v>3</v>
      </c>
      <c r="G195">
        <v>240</v>
      </c>
      <c r="H195" t="str">
        <f>IF(VLOOKUP(C195,Customers!A:E,5,FALSE)&gt;=1000,"YES","NO")</f>
        <v>NO</v>
      </c>
      <c r="I195">
        <f t="shared" si="3"/>
        <v>240</v>
      </c>
      <c r="J195">
        <f>(I195 - VLOOKUP(E195,Desserts!A:D,4,FALSE)) * F195</f>
        <v>525</v>
      </c>
    </row>
    <row r="196" spans="1:10" x14ac:dyDescent="0.3">
      <c r="A196" t="s">
        <v>975</v>
      </c>
      <c r="B196" t="s">
        <v>976</v>
      </c>
      <c r="C196" t="s">
        <v>493</v>
      </c>
      <c r="D196" t="s">
        <v>235</v>
      </c>
      <c r="E196" t="s">
        <v>593</v>
      </c>
      <c r="F196">
        <v>5</v>
      </c>
      <c r="G196">
        <v>127</v>
      </c>
      <c r="H196" t="str">
        <f>IF(VLOOKUP(C196,Customers!A:E,5,FALSE)&gt;=1000,"YES","NO")</f>
        <v>NO</v>
      </c>
      <c r="I196">
        <f t="shared" si="3"/>
        <v>127</v>
      </c>
      <c r="J196">
        <f>(I196 - VLOOKUP(E196,Desserts!A:D,4,FALSE)) * F196</f>
        <v>365</v>
      </c>
    </row>
    <row r="197" spans="1:10" x14ac:dyDescent="0.3">
      <c r="A197" t="s">
        <v>977</v>
      </c>
      <c r="B197" t="s">
        <v>978</v>
      </c>
      <c r="C197" t="s">
        <v>347</v>
      </c>
      <c r="D197" t="s">
        <v>280</v>
      </c>
      <c r="E197" t="s">
        <v>581</v>
      </c>
      <c r="F197">
        <v>5</v>
      </c>
      <c r="G197">
        <v>215</v>
      </c>
      <c r="H197" t="str">
        <f>IF(VLOOKUP(C197,Customers!A:E,5,FALSE)&gt;=1000,"YES","NO")</f>
        <v>YES</v>
      </c>
      <c r="I197">
        <f t="shared" si="3"/>
        <v>107.5</v>
      </c>
      <c r="J197">
        <f>(I197 - VLOOKUP(E197,Desserts!A:D,4,FALSE)) * F197</f>
        <v>92.5</v>
      </c>
    </row>
    <row r="198" spans="1:10" x14ac:dyDescent="0.3">
      <c r="A198" t="s">
        <v>979</v>
      </c>
      <c r="B198" t="s">
        <v>796</v>
      </c>
      <c r="C198" t="s">
        <v>459</v>
      </c>
      <c r="D198" t="s">
        <v>214</v>
      </c>
      <c r="E198" t="s">
        <v>563</v>
      </c>
      <c r="F198">
        <v>3</v>
      </c>
      <c r="G198">
        <v>224</v>
      </c>
      <c r="H198" t="str">
        <f>IF(VLOOKUP(C198,Customers!A:E,5,FALSE)&gt;=1000,"YES","NO")</f>
        <v>NO</v>
      </c>
      <c r="I198">
        <f t="shared" si="3"/>
        <v>224</v>
      </c>
      <c r="J198">
        <f>(I198 - VLOOKUP(E198,Desserts!A:D,4,FALSE)) * F198</f>
        <v>477</v>
      </c>
    </row>
    <row r="199" spans="1:10" x14ac:dyDescent="0.3">
      <c r="A199" t="s">
        <v>980</v>
      </c>
      <c r="B199" t="s">
        <v>981</v>
      </c>
      <c r="C199" t="s">
        <v>389</v>
      </c>
      <c r="D199" t="s">
        <v>30</v>
      </c>
      <c r="E199" t="s">
        <v>589</v>
      </c>
      <c r="F199">
        <v>5</v>
      </c>
      <c r="G199">
        <v>135</v>
      </c>
      <c r="H199" t="str">
        <f>IF(VLOOKUP(C199,Customers!A:E,5,FALSE)&gt;=1000,"YES","NO")</f>
        <v>YES</v>
      </c>
      <c r="I199">
        <f t="shared" si="3"/>
        <v>67.5</v>
      </c>
      <c r="J199">
        <f>(I199 - VLOOKUP(E199,Desserts!A:D,4,FALSE)) * F199</f>
        <v>-17.5</v>
      </c>
    </row>
    <row r="200" spans="1:10" x14ac:dyDescent="0.3">
      <c r="A200" t="s">
        <v>982</v>
      </c>
      <c r="B200" t="s">
        <v>634</v>
      </c>
      <c r="C200" t="s">
        <v>323</v>
      </c>
      <c r="D200" t="s">
        <v>54</v>
      </c>
      <c r="E200" t="s">
        <v>577</v>
      </c>
      <c r="F200">
        <v>3</v>
      </c>
      <c r="G200">
        <v>180</v>
      </c>
      <c r="H200" t="str">
        <f>IF(VLOOKUP(C200,Customers!A:E,5,FALSE)&gt;=1000,"YES","NO")</f>
        <v>NO</v>
      </c>
      <c r="I200">
        <f t="shared" si="3"/>
        <v>180</v>
      </c>
      <c r="J200">
        <f>(I200 - VLOOKUP(E200,Desserts!A:D,4,FALSE)) * F200</f>
        <v>330</v>
      </c>
    </row>
    <row r="201" spans="1:10" x14ac:dyDescent="0.3">
      <c r="A201" t="s">
        <v>983</v>
      </c>
      <c r="B201" t="s">
        <v>878</v>
      </c>
      <c r="C201" t="s">
        <v>329</v>
      </c>
      <c r="D201" t="s">
        <v>256</v>
      </c>
      <c r="E201" t="s">
        <v>529</v>
      </c>
      <c r="F201">
        <v>5</v>
      </c>
      <c r="G201">
        <v>211</v>
      </c>
      <c r="H201" t="str">
        <f>IF(VLOOKUP(C201,Customers!A:E,5,FALSE)&gt;=1000,"YES","NO")</f>
        <v>YES</v>
      </c>
      <c r="I201">
        <f t="shared" si="3"/>
        <v>105.5</v>
      </c>
      <c r="J201">
        <f>(I201 - VLOOKUP(E201,Desserts!A:D,4,FALSE)) * F201</f>
        <v>187.5</v>
      </c>
    </row>
    <row r="202" spans="1:10" x14ac:dyDescent="0.3">
      <c r="A202" t="s">
        <v>984</v>
      </c>
      <c r="B202" t="s">
        <v>985</v>
      </c>
      <c r="C202" t="s">
        <v>405</v>
      </c>
      <c r="D202" t="s">
        <v>262</v>
      </c>
      <c r="E202" t="s">
        <v>589</v>
      </c>
      <c r="F202">
        <v>4</v>
      </c>
      <c r="G202">
        <v>153</v>
      </c>
      <c r="H202" t="str">
        <f>IF(VLOOKUP(C202,Customers!A:E,5,FALSE)&gt;=1000,"YES","NO")</f>
        <v>YES</v>
      </c>
      <c r="I202">
        <f t="shared" si="3"/>
        <v>76.5</v>
      </c>
      <c r="J202">
        <f>(I202 - VLOOKUP(E202,Desserts!A:D,4,FALSE)) * F202</f>
        <v>22</v>
      </c>
    </row>
    <row r="203" spans="1:10" x14ac:dyDescent="0.3">
      <c r="A203" t="s">
        <v>986</v>
      </c>
      <c r="B203" t="s">
        <v>834</v>
      </c>
      <c r="C203" t="s">
        <v>349</v>
      </c>
      <c r="D203" t="s">
        <v>220</v>
      </c>
      <c r="E203" t="s">
        <v>591</v>
      </c>
      <c r="F203">
        <v>1</v>
      </c>
      <c r="G203">
        <v>250</v>
      </c>
      <c r="H203" t="str">
        <f>IF(VLOOKUP(C203,Customers!A:E,5,FALSE)&gt;=1000,"YES","NO")</f>
        <v>NO</v>
      </c>
      <c r="I203">
        <f t="shared" si="3"/>
        <v>250</v>
      </c>
      <c r="J203">
        <f>(I203 - VLOOKUP(E203,Desserts!A:D,4,FALSE)) * F203</f>
        <v>188</v>
      </c>
    </row>
    <row r="204" spans="1:10" x14ac:dyDescent="0.3">
      <c r="A204" t="s">
        <v>987</v>
      </c>
      <c r="B204" t="s">
        <v>988</v>
      </c>
      <c r="C204" t="s">
        <v>437</v>
      </c>
      <c r="D204" t="s">
        <v>109</v>
      </c>
      <c r="E204" t="s">
        <v>551</v>
      </c>
      <c r="F204">
        <v>1</v>
      </c>
      <c r="G204">
        <v>112</v>
      </c>
      <c r="H204" t="str">
        <f>IF(VLOOKUP(C204,Customers!A:E,5,FALSE)&gt;=1000,"YES","NO")</f>
        <v>NO</v>
      </c>
      <c r="I204">
        <f t="shared" si="3"/>
        <v>112</v>
      </c>
      <c r="J204">
        <f>(I204 - VLOOKUP(E204,Desserts!A:D,4,FALSE)) * F204</f>
        <v>43</v>
      </c>
    </row>
    <row r="205" spans="1:10" x14ac:dyDescent="0.3">
      <c r="A205" t="s">
        <v>989</v>
      </c>
      <c r="B205" t="s">
        <v>990</v>
      </c>
      <c r="C205" t="s">
        <v>413</v>
      </c>
      <c r="D205" t="s">
        <v>88</v>
      </c>
      <c r="E205" t="s">
        <v>563</v>
      </c>
      <c r="F205">
        <v>2</v>
      </c>
      <c r="G205">
        <v>138</v>
      </c>
      <c r="H205" t="str">
        <f>IF(VLOOKUP(C205,Customers!A:E,5,FALSE)&gt;=1000,"YES","NO")</f>
        <v>YES</v>
      </c>
      <c r="I205">
        <f t="shared" si="3"/>
        <v>69</v>
      </c>
      <c r="J205">
        <f>(I205 - VLOOKUP(E205,Desserts!A:D,4,FALSE)) * F205</f>
        <v>8</v>
      </c>
    </row>
    <row r="206" spans="1:10" x14ac:dyDescent="0.3">
      <c r="A206" t="s">
        <v>991</v>
      </c>
      <c r="B206" t="s">
        <v>992</v>
      </c>
      <c r="C206" t="s">
        <v>507</v>
      </c>
      <c r="D206" t="s">
        <v>115</v>
      </c>
      <c r="E206" t="s">
        <v>589</v>
      </c>
      <c r="F206">
        <v>3</v>
      </c>
      <c r="G206">
        <v>128</v>
      </c>
      <c r="H206" t="str">
        <f>IF(VLOOKUP(C206,Customers!A:E,5,FALSE)&gt;=1000,"YES","NO")</f>
        <v>NO</v>
      </c>
      <c r="I206">
        <f t="shared" si="3"/>
        <v>128</v>
      </c>
      <c r="J206">
        <f>(I206 - VLOOKUP(E206,Desserts!A:D,4,FALSE)) * F206</f>
        <v>171</v>
      </c>
    </row>
    <row r="207" spans="1:10" x14ac:dyDescent="0.3">
      <c r="A207" t="s">
        <v>993</v>
      </c>
      <c r="B207" t="s">
        <v>994</v>
      </c>
      <c r="C207" t="s">
        <v>391</v>
      </c>
      <c r="D207" t="s">
        <v>133</v>
      </c>
      <c r="E207" t="s">
        <v>521</v>
      </c>
      <c r="F207">
        <v>3</v>
      </c>
      <c r="G207">
        <v>147</v>
      </c>
      <c r="H207" t="str">
        <f>IF(VLOOKUP(C207,Customers!A:E,5,FALSE)&gt;=1000,"YES","NO")</f>
        <v>YES</v>
      </c>
      <c r="I207">
        <f t="shared" si="3"/>
        <v>73.5</v>
      </c>
      <c r="J207">
        <f>(I207 - VLOOKUP(E207,Desserts!A:D,4,FALSE)) * F207</f>
        <v>28.5</v>
      </c>
    </row>
    <row r="208" spans="1:10" x14ac:dyDescent="0.3">
      <c r="A208" t="s">
        <v>995</v>
      </c>
      <c r="B208" t="s">
        <v>996</v>
      </c>
      <c r="C208" t="s">
        <v>449</v>
      </c>
      <c r="D208" t="s">
        <v>250</v>
      </c>
      <c r="E208" t="s">
        <v>569</v>
      </c>
      <c r="F208">
        <v>2</v>
      </c>
      <c r="G208">
        <v>188</v>
      </c>
      <c r="H208" t="str">
        <f>IF(VLOOKUP(C208,Customers!A:E,5,FALSE)&gt;=1000,"YES","NO")</f>
        <v>YES</v>
      </c>
      <c r="I208">
        <f t="shared" si="3"/>
        <v>94</v>
      </c>
      <c r="J208">
        <f>(I208 - VLOOKUP(E208,Desserts!A:D,4,FALSE)) * F208</f>
        <v>34</v>
      </c>
    </row>
    <row r="209" spans="1:10" x14ac:dyDescent="0.3">
      <c r="A209" t="s">
        <v>997</v>
      </c>
      <c r="B209" t="s">
        <v>998</v>
      </c>
      <c r="C209" t="s">
        <v>515</v>
      </c>
      <c r="D209" t="s">
        <v>175</v>
      </c>
      <c r="E209" t="s">
        <v>527</v>
      </c>
      <c r="F209">
        <v>3</v>
      </c>
      <c r="G209">
        <v>223</v>
      </c>
      <c r="H209" t="str">
        <f>IF(VLOOKUP(C209,Customers!A:E,5,FALSE)&gt;=1000,"YES","NO")</f>
        <v>YES</v>
      </c>
      <c r="I209">
        <f t="shared" si="3"/>
        <v>111.5</v>
      </c>
      <c r="J209">
        <f>(I209 - VLOOKUP(E209,Desserts!A:D,4,FALSE)) * F209</f>
        <v>205.5</v>
      </c>
    </row>
    <row r="210" spans="1:10" x14ac:dyDescent="0.3">
      <c r="A210" t="s">
        <v>999</v>
      </c>
      <c r="B210" t="s">
        <v>1000</v>
      </c>
      <c r="C210" t="s">
        <v>329</v>
      </c>
      <c r="D210" t="s">
        <v>190</v>
      </c>
      <c r="E210" t="s">
        <v>591</v>
      </c>
      <c r="F210">
        <v>3</v>
      </c>
      <c r="G210">
        <v>145</v>
      </c>
      <c r="H210" t="str">
        <f>IF(VLOOKUP(C210,Customers!A:E,5,FALSE)&gt;=1000,"YES","NO")</f>
        <v>YES</v>
      </c>
      <c r="I210">
        <f t="shared" si="3"/>
        <v>72.5</v>
      </c>
      <c r="J210">
        <f>(I210 - VLOOKUP(E210,Desserts!A:D,4,FALSE)) * F210</f>
        <v>31.5</v>
      </c>
    </row>
    <row r="211" spans="1:10" x14ac:dyDescent="0.3">
      <c r="A211" t="s">
        <v>1001</v>
      </c>
      <c r="B211" t="s">
        <v>683</v>
      </c>
      <c r="C211" t="s">
        <v>437</v>
      </c>
      <c r="D211" t="s">
        <v>60</v>
      </c>
      <c r="E211" t="s">
        <v>527</v>
      </c>
      <c r="F211">
        <v>1</v>
      </c>
      <c r="G211">
        <v>128</v>
      </c>
      <c r="H211" t="str">
        <f>IF(VLOOKUP(C211,Customers!A:E,5,FALSE)&gt;=1000,"YES","NO")</f>
        <v>NO</v>
      </c>
      <c r="I211">
        <f t="shared" si="3"/>
        <v>128</v>
      </c>
      <c r="J211">
        <f>(I211 - VLOOKUP(E211,Desserts!A:D,4,FALSE)) * F211</f>
        <v>85</v>
      </c>
    </row>
    <row r="212" spans="1:10" x14ac:dyDescent="0.3">
      <c r="A212" t="s">
        <v>1002</v>
      </c>
      <c r="B212" t="s">
        <v>655</v>
      </c>
      <c r="C212" t="s">
        <v>323</v>
      </c>
      <c r="D212" t="s">
        <v>40</v>
      </c>
      <c r="E212" t="s">
        <v>533</v>
      </c>
      <c r="F212">
        <v>3</v>
      </c>
      <c r="G212">
        <v>108</v>
      </c>
      <c r="H212" t="str">
        <f>IF(VLOOKUP(C212,Customers!A:E,5,FALSE)&gt;=1000,"YES","NO")</f>
        <v>NO</v>
      </c>
      <c r="I212">
        <f t="shared" si="3"/>
        <v>108</v>
      </c>
      <c r="J212">
        <f>(I212 - VLOOKUP(E212,Desserts!A:D,4,FALSE)) * F212</f>
        <v>123</v>
      </c>
    </row>
    <row r="213" spans="1:10" x14ac:dyDescent="0.3">
      <c r="A213" t="s">
        <v>1003</v>
      </c>
      <c r="B213" t="s">
        <v>1004</v>
      </c>
      <c r="C213" t="s">
        <v>335</v>
      </c>
      <c r="D213" t="s">
        <v>214</v>
      </c>
      <c r="E213" t="s">
        <v>599</v>
      </c>
      <c r="F213">
        <v>3</v>
      </c>
      <c r="G213">
        <v>143</v>
      </c>
      <c r="H213" t="str">
        <f>IF(VLOOKUP(C213,Customers!A:E,5,FALSE)&gt;=1000,"YES","NO")</f>
        <v>NO</v>
      </c>
      <c r="I213">
        <f t="shared" si="3"/>
        <v>143</v>
      </c>
      <c r="J213">
        <f>(I213 - VLOOKUP(E213,Desserts!A:D,4,FALSE)) * F213</f>
        <v>189</v>
      </c>
    </row>
    <row r="214" spans="1:10" x14ac:dyDescent="0.3">
      <c r="A214" t="s">
        <v>1005</v>
      </c>
      <c r="B214" t="s">
        <v>1006</v>
      </c>
      <c r="C214" t="s">
        <v>487</v>
      </c>
      <c r="D214" t="s">
        <v>142</v>
      </c>
      <c r="E214" t="s">
        <v>549</v>
      </c>
      <c r="F214">
        <v>1</v>
      </c>
      <c r="G214">
        <v>231</v>
      </c>
      <c r="H214" t="str">
        <f>IF(VLOOKUP(C214,Customers!A:E,5,FALSE)&gt;=1000,"YES","NO")</f>
        <v>NO</v>
      </c>
      <c r="I214">
        <f t="shared" si="3"/>
        <v>231</v>
      </c>
      <c r="J214">
        <f>(I214 - VLOOKUP(E214,Desserts!A:D,4,FALSE)) * F214</f>
        <v>152</v>
      </c>
    </row>
    <row r="215" spans="1:10" x14ac:dyDescent="0.3">
      <c r="A215" t="s">
        <v>1007</v>
      </c>
      <c r="B215" t="s">
        <v>1008</v>
      </c>
      <c r="C215" t="s">
        <v>343</v>
      </c>
      <c r="D215" t="s">
        <v>43</v>
      </c>
      <c r="E215" t="s">
        <v>585</v>
      </c>
      <c r="F215">
        <v>2</v>
      </c>
      <c r="G215">
        <v>232</v>
      </c>
      <c r="H215" t="str">
        <f>IF(VLOOKUP(C215,Customers!A:E,5,FALSE)&gt;=1000,"YES","NO")</f>
        <v>YES</v>
      </c>
      <c r="I215">
        <f t="shared" si="3"/>
        <v>116</v>
      </c>
      <c r="J215">
        <f>(I215 - VLOOKUP(E215,Desserts!A:D,4,FALSE)) * F215</f>
        <v>138</v>
      </c>
    </row>
    <row r="216" spans="1:10" x14ac:dyDescent="0.3">
      <c r="A216" t="s">
        <v>1009</v>
      </c>
      <c r="B216" t="s">
        <v>646</v>
      </c>
      <c r="C216" t="s">
        <v>413</v>
      </c>
      <c r="D216" t="s">
        <v>193</v>
      </c>
      <c r="E216" t="s">
        <v>593</v>
      </c>
      <c r="F216">
        <v>4</v>
      </c>
      <c r="G216">
        <v>228</v>
      </c>
      <c r="H216" t="str">
        <f>IF(VLOOKUP(C216,Customers!A:E,5,FALSE)&gt;=1000,"YES","NO")</f>
        <v>YES</v>
      </c>
      <c r="I216">
        <f t="shared" si="3"/>
        <v>114</v>
      </c>
      <c r="J216">
        <f>(I216 - VLOOKUP(E216,Desserts!A:D,4,FALSE)) * F216</f>
        <v>240</v>
      </c>
    </row>
    <row r="217" spans="1:10" x14ac:dyDescent="0.3">
      <c r="A217" t="s">
        <v>1010</v>
      </c>
      <c r="B217" t="s">
        <v>626</v>
      </c>
      <c r="C217" t="s">
        <v>457</v>
      </c>
      <c r="D217" t="s">
        <v>250</v>
      </c>
      <c r="E217" t="s">
        <v>589</v>
      </c>
      <c r="F217">
        <v>4</v>
      </c>
      <c r="G217">
        <v>202</v>
      </c>
      <c r="H217" t="str">
        <f>IF(VLOOKUP(C217,Customers!A:E,5,FALSE)&gt;=1000,"YES","NO")</f>
        <v>YES</v>
      </c>
      <c r="I217">
        <f t="shared" si="3"/>
        <v>101</v>
      </c>
      <c r="J217">
        <f>(I217 - VLOOKUP(E217,Desserts!A:D,4,FALSE)) * F217</f>
        <v>120</v>
      </c>
    </row>
    <row r="218" spans="1:10" x14ac:dyDescent="0.3">
      <c r="A218" t="s">
        <v>1011</v>
      </c>
      <c r="B218" t="s">
        <v>864</v>
      </c>
      <c r="C218" t="s">
        <v>369</v>
      </c>
      <c r="D218" t="s">
        <v>301</v>
      </c>
      <c r="E218" t="s">
        <v>567</v>
      </c>
      <c r="F218">
        <v>2</v>
      </c>
      <c r="G218">
        <v>228</v>
      </c>
      <c r="H218" t="str">
        <f>IF(VLOOKUP(C218,Customers!A:E,5,FALSE)&gt;=1000,"YES","NO")</f>
        <v>YES</v>
      </c>
      <c r="I218">
        <f t="shared" si="3"/>
        <v>114</v>
      </c>
      <c r="J218">
        <f>(I218 - VLOOKUP(E218,Desserts!A:D,4,FALSE)) * F218</f>
        <v>116</v>
      </c>
    </row>
    <row r="219" spans="1:10" x14ac:dyDescent="0.3">
      <c r="A219" t="s">
        <v>1012</v>
      </c>
      <c r="B219" t="s">
        <v>1013</v>
      </c>
      <c r="C219" t="s">
        <v>459</v>
      </c>
      <c r="D219" t="s">
        <v>307</v>
      </c>
      <c r="E219" t="s">
        <v>529</v>
      </c>
      <c r="F219">
        <v>3</v>
      </c>
      <c r="G219">
        <v>175</v>
      </c>
      <c r="H219" t="str">
        <f>IF(VLOOKUP(C219,Customers!A:E,5,FALSE)&gt;=1000,"YES","NO")</f>
        <v>NO</v>
      </c>
      <c r="I219">
        <f t="shared" si="3"/>
        <v>175</v>
      </c>
      <c r="J219">
        <f>(I219 - VLOOKUP(E219,Desserts!A:D,4,FALSE)) * F219</f>
        <v>321</v>
      </c>
    </row>
    <row r="220" spans="1:10" x14ac:dyDescent="0.3">
      <c r="A220" t="s">
        <v>1014</v>
      </c>
      <c r="B220" t="s">
        <v>796</v>
      </c>
      <c r="C220" t="s">
        <v>441</v>
      </c>
      <c r="D220" t="s">
        <v>262</v>
      </c>
      <c r="E220" t="s">
        <v>555</v>
      </c>
      <c r="F220">
        <v>4</v>
      </c>
      <c r="G220">
        <v>138</v>
      </c>
      <c r="H220" t="str">
        <f>IF(VLOOKUP(C220,Customers!A:E,5,FALSE)&gt;=1000,"YES","NO")</f>
        <v>NO</v>
      </c>
      <c r="I220">
        <f t="shared" si="3"/>
        <v>138</v>
      </c>
      <c r="J220">
        <f>(I220 - VLOOKUP(E220,Desserts!A:D,4,FALSE)) * F220</f>
        <v>252</v>
      </c>
    </row>
    <row r="221" spans="1:10" x14ac:dyDescent="0.3">
      <c r="A221" t="s">
        <v>1015</v>
      </c>
      <c r="B221" t="s">
        <v>1016</v>
      </c>
      <c r="C221" t="s">
        <v>319</v>
      </c>
      <c r="D221" t="s">
        <v>295</v>
      </c>
      <c r="E221" t="s">
        <v>573</v>
      </c>
      <c r="F221">
        <v>3</v>
      </c>
      <c r="G221">
        <v>210</v>
      </c>
      <c r="H221" t="str">
        <f>IF(VLOOKUP(C221,Customers!A:E,5,FALSE)&gt;=1000,"YES","NO")</f>
        <v>YES</v>
      </c>
      <c r="I221">
        <f t="shared" si="3"/>
        <v>105</v>
      </c>
      <c r="J221">
        <f>(I221 - VLOOKUP(E221,Desserts!A:D,4,FALSE)) * F221</f>
        <v>165</v>
      </c>
    </row>
    <row r="222" spans="1:10" x14ac:dyDescent="0.3">
      <c r="A222" t="s">
        <v>1017</v>
      </c>
      <c r="B222" t="s">
        <v>812</v>
      </c>
      <c r="C222" t="s">
        <v>321</v>
      </c>
      <c r="D222" t="s">
        <v>9</v>
      </c>
      <c r="E222" t="s">
        <v>613</v>
      </c>
      <c r="F222">
        <v>5</v>
      </c>
      <c r="G222">
        <v>170</v>
      </c>
      <c r="H222" t="str">
        <f>IF(VLOOKUP(C222,Customers!A:E,5,FALSE)&gt;=1000,"YES","NO")</f>
        <v>NO</v>
      </c>
      <c r="I222">
        <f t="shared" si="3"/>
        <v>170</v>
      </c>
      <c r="J222">
        <f>(I222 - VLOOKUP(E222,Desserts!A:D,4,FALSE)) * F222</f>
        <v>425</v>
      </c>
    </row>
    <row r="223" spans="1:10" x14ac:dyDescent="0.3">
      <c r="A223" t="s">
        <v>1018</v>
      </c>
      <c r="B223" t="s">
        <v>1019</v>
      </c>
      <c r="C223" t="s">
        <v>513</v>
      </c>
      <c r="D223" t="s">
        <v>54</v>
      </c>
      <c r="E223" t="s">
        <v>617</v>
      </c>
      <c r="F223">
        <v>5</v>
      </c>
      <c r="G223">
        <v>140</v>
      </c>
      <c r="H223" t="str">
        <f>IF(VLOOKUP(C223,Customers!A:E,5,FALSE)&gt;=1000,"YES","NO")</f>
        <v>YES</v>
      </c>
      <c r="I223">
        <f t="shared" si="3"/>
        <v>70</v>
      </c>
      <c r="J223">
        <f>(I223 - VLOOKUP(E223,Desserts!A:D,4,FALSE)) * F223</f>
        <v>145</v>
      </c>
    </row>
    <row r="224" spans="1:10" x14ac:dyDescent="0.3">
      <c r="A224" t="s">
        <v>1020</v>
      </c>
      <c r="B224" t="s">
        <v>1021</v>
      </c>
      <c r="C224" t="s">
        <v>509</v>
      </c>
      <c r="D224" t="s">
        <v>208</v>
      </c>
      <c r="E224" t="s">
        <v>615</v>
      </c>
      <c r="F224">
        <v>1</v>
      </c>
      <c r="G224">
        <v>184</v>
      </c>
      <c r="H224" t="str">
        <f>IF(VLOOKUP(C224,Customers!A:E,5,FALSE)&gt;=1000,"YES","NO")</f>
        <v>NO</v>
      </c>
      <c r="I224">
        <f t="shared" si="3"/>
        <v>184</v>
      </c>
      <c r="J224">
        <f>(I224 - VLOOKUP(E224,Desserts!A:D,4,FALSE)) * F224</f>
        <v>142</v>
      </c>
    </row>
    <row r="225" spans="1:10" x14ac:dyDescent="0.3">
      <c r="A225" t="s">
        <v>1022</v>
      </c>
      <c r="B225" t="s">
        <v>1023</v>
      </c>
      <c r="C225" t="s">
        <v>357</v>
      </c>
      <c r="D225" t="s">
        <v>217</v>
      </c>
      <c r="E225" t="s">
        <v>605</v>
      </c>
      <c r="F225">
        <v>4</v>
      </c>
      <c r="G225">
        <v>164</v>
      </c>
      <c r="H225" t="str">
        <f>IF(VLOOKUP(C225,Customers!A:E,5,FALSE)&gt;=1000,"YES","NO")</f>
        <v>NO</v>
      </c>
      <c r="I225">
        <f t="shared" si="3"/>
        <v>164</v>
      </c>
      <c r="J225">
        <f>(I225 - VLOOKUP(E225,Desserts!A:D,4,FALSE)) * F225</f>
        <v>408</v>
      </c>
    </row>
    <row r="226" spans="1:10" x14ac:dyDescent="0.3">
      <c r="A226" t="s">
        <v>1024</v>
      </c>
      <c r="B226" t="s">
        <v>1025</v>
      </c>
      <c r="C226" t="s">
        <v>499</v>
      </c>
      <c r="D226" t="s">
        <v>259</v>
      </c>
      <c r="E226" t="s">
        <v>575</v>
      </c>
      <c r="F226">
        <v>2</v>
      </c>
      <c r="G226">
        <v>141</v>
      </c>
      <c r="H226" t="str">
        <f>IF(VLOOKUP(C226,Customers!A:E,5,FALSE)&gt;=1000,"YES","NO")</f>
        <v>NO</v>
      </c>
      <c r="I226">
        <f t="shared" si="3"/>
        <v>141</v>
      </c>
      <c r="J226">
        <f>(I226 - VLOOKUP(E226,Desserts!A:D,4,FALSE)) * F226</f>
        <v>132</v>
      </c>
    </row>
    <row r="227" spans="1:10" x14ac:dyDescent="0.3">
      <c r="A227" t="s">
        <v>1026</v>
      </c>
      <c r="B227" t="s">
        <v>985</v>
      </c>
      <c r="C227" t="s">
        <v>349</v>
      </c>
      <c r="D227" t="s">
        <v>208</v>
      </c>
      <c r="E227" t="s">
        <v>557</v>
      </c>
      <c r="F227">
        <v>3</v>
      </c>
      <c r="G227">
        <v>144</v>
      </c>
      <c r="H227" t="str">
        <f>IF(VLOOKUP(C227,Customers!A:E,5,FALSE)&gt;=1000,"YES","NO")</f>
        <v>NO</v>
      </c>
      <c r="I227">
        <f t="shared" si="3"/>
        <v>144</v>
      </c>
      <c r="J227">
        <f>(I227 - VLOOKUP(E227,Desserts!A:D,4,FALSE)) * F227</f>
        <v>180</v>
      </c>
    </row>
    <row r="228" spans="1:10" x14ac:dyDescent="0.3">
      <c r="A228" t="s">
        <v>1027</v>
      </c>
      <c r="B228" t="s">
        <v>789</v>
      </c>
      <c r="C228" t="s">
        <v>431</v>
      </c>
      <c r="D228" t="s">
        <v>220</v>
      </c>
      <c r="E228" t="s">
        <v>607</v>
      </c>
      <c r="F228">
        <v>2</v>
      </c>
      <c r="G228">
        <v>175</v>
      </c>
      <c r="H228" t="str">
        <f>IF(VLOOKUP(C228,Customers!A:E,5,FALSE)&gt;=1000,"YES","NO")</f>
        <v>YES</v>
      </c>
      <c r="I228">
        <f t="shared" si="3"/>
        <v>87.5</v>
      </c>
      <c r="J228">
        <f>(I228 - VLOOKUP(E228,Desserts!A:D,4,FALSE)) * F228</f>
        <v>35</v>
      </c>
    </row>
    <row r="229" spans="1:10" x14ac:dyDescent="0.3">
      <c r="A229" t="s">
        <v>1028</v>
      </c>
      <c r="B229" t="s">
        <v>1029</v>
      </c>
      <c r="C229" t="s">
        <v>349</v>
      </c>
      <c r="D229" t="s">
        <v>202</v>
      </c>
      <c r="E229" t="s">
        <v>559</v>
      </c>
      <c r="F229">
        <v>2</v>
      </c>
      <c r="G229">
        <v>186</v>
      </c>
      <c r="H229" t="str">
        <f>IF(VLOOKUP(C229,Customers!A:E,5,FALSE)&gt;=1000,"YES","NO")</f>
        <v>NO</v>
      </c>
      <c r="I229">
        <f t="shared" si="3"/>
        <v>186</v>
      </c>
      <c r="J229">
        <f>(I229 - VLOOKUP(E229,Desserts!A:D,4,FALSE)) * F229</f>
        <v>262</v>
      </c>
    </row>
    <row r="230" spans="1:10" x14ac:dyDescent="0.3">
      <c r="A230" t="s">
        <v>1030</v>
      </c>
      <c r="B230" t="s">
        <v>1031</v>
      </c>
      <c r="C230" t="s">
        <v>427</v>
      </c>
      <c r="D230" t="s">
        <v>286</v>
      </c>
      <c r="E230" t="s">
        <v>601</v>
      </c>
      <c r="F230">
        <v>1</v>
      </c>
      <c r="G230">
        <v>166</v>
      </c>
      <c r="H230" t="str">
        <f>IF(VLOOKUP(C230,Customers!A:E,5,FALSE)&gt;=1000,"YES","NO")</f>
        <v>NO</v>
      </c>
      <c r="I230">
        <f t="shared" si="3"/>
        <v>166</v>
      </c>
      <c r="J230">
        <f>(I230 - VLOOKUP(E230,Desserts!A:D,4,FALSE)) * F230</f>
        <v>111</v>
      </c>
    </row>
    <row r="231" spans="1:10" x14ac:dyDescent="0.3">
      <c r="A231" t="s">
        <v>1032</v>
      </c>
      <c r="B231" t="s">
        <v>781</v>
      </c>
      <c r="C231" t="s">
        <v>515</v>
      </c>
      <c r="D231" t="s">
        <v>118</v>
      </c>
      <c r="E231" t="s">
        <v>533</v>
      </c>
      <c r="F231">
        <v>5</v>
      </c>
      <c r="G231">
        <v>167</v>
      </c>
      <c r="H231" t="str">
        <f>IF(VLOOKUP(C231,Customers!A:E,5,FALSE)&gt;=1000,"YES","NO")</f>
        <v>YES</v>
      </c>
      <c r="I231">
        <f t="shared" si="3"/>
        <v>83.5</v>
      </c>
      <c r="J231">
        <f>(I231 - VLOOKUP(E231,Desserts!A:D,4,FALSE)) * F231</f>
        <v>82.5</v>
      </c>
    </row>
    <row r="232" spans="1:10" x14ac:dyDescent="0.3">
      <c r="A232" t="s">
        <v>1033</v>
      </c>
      <c r="B232" t="s">
        <v>1034</v>
      </c>
      <c r="C232" t="s">
        <v>507</v>
      </c>
      <c r="D232" t="s">
        <v>214</v>
      </c>
      <c r="E232" t="s">
        <v>543</v>
      </c>
      <c r="F232">
        <v>2</v>
      </c>
      <c r="G232">
        <v>216</v>
      </c>
      <c r="H232" t="str">
        <f>IF(VLOOKUP(C232,Customers!A:E,5,FALSE)&gt;=1000,"YES","NO")</f>
        <v>NO</v>
      </c>
      <c r="I232">
        <f t="shared" si="3"/>
        <v>216</v>
      </c>
      <c r="J232">
        <f>(I232 - VLOOKUP(E232,Desserts!A:D,4,FALSE)) * F232</f>
        <v>286</v>
      </c>
    </row>
    <row r="233" spans="1:10" x14ac:dyDescent="0.3">
      <c r="A233" t="s">
        <v>1035</v>
      </c>
      <c r="B233" t="s">
        <v>1036</v>
      </c>
      <c r="C233" t="s">
        <v>433</v>
      </c>
      <c r="D233" t="s">
        <v>253</v>
      </c>
      <c r="E233" t="s">
        <v>565</v>
      </c>
      <c r="F233">
        <v>3</v>
      </c>
      <c r="G233">
        <v>160</v>
      </c>
      <c r="H233" t="str">
        <f>IF(VLOOKUP(C233,Customers!A:E,5,FALSE)&gt;=1000,"YES","NO")</f>
        <v>YES</v>
      </c>
      <c r="I233">
        <f t="shared" si="3"/>
        <v>80</v>
      </c>
      <c r="J233">
        <f>(I233 - VLOOKUP(E233,Desserts!A:D,4,FALSE)) * F233</f>
        <v>117</v>
      </c>
    </row>
    <row r="234" spans="1:10" x14ac:dyDescent="0.3">
      <c r="A234" t="s">
        <v>1037</v>
      </c>
      <c r="B234" t="s">
        <v>1038</v>
      </c>
      <c r="C234" t="s">
        <v>401</v>
      </c>
      <c r="D234" t="s">
        <v>235</v>
      </c>
      <c r="E234" t="s">
        <v>593</v>
      </c>
      <c r="F234">
        <v>4</v>
      </c>
      <c r="G234">
        <v>110</v>
      </c>
      <c r="H234" t="str">
        <f>IF(VLOOKUP(C234,Customers!A:E,5,FALSE)&gt;=1000,"YES","NO")</f>
        <v>YES</v>
      </c>
      <c r="I234">
        <f t="shared" si="3"/>
        <v>55</v>
      </c>
      <c r="J234">
        <f>(I234 - VLOOKUP(E234,Desserts!A:D,4,FALSE)) * F234</f>
        <v>4</v>
      </c>
    </row>
    <row r="235" spans="1:10" x14ac:dyDescent="0.3">
      <c r="A235" t="s">
        <v>1039</v>
      </c>
      <c r="B235" t="s">
        <v>659</v>
      </c>
      <c r="C235" t="s">
        <v>331</v>
      </c>
      <c r="D235" t="s">
        <v>190</v>
      </c>
      <c r="E235" t="s">
        <v>561</v>
      </c>
      <c r="F235">
        <v>3</v>
      </c>
      <c r="G235">
        <v>103</v>
      </c>
      <c r="H235" t="str">
        <f>IF(VLOOKUP(C235,Customers!A:E,5,FALSE)&gt;=1000,"YES","NO")</f>
        <v>YES</v>
      </c>
      <c r="I235">
        <f t="shared" si="3"/>
        <v>51.5</v>
      </c>
      <c r="J235">
        <f>(I235 - VLOOKUP(E235,Desserts!A:D,4,FALSE)) * F235</f>
        <v>-34.5</v>
      </c>
    </row>
    <row r="236" spans="1:10" x14ac:dyDescent="0.3">
      <c r="A236" t="s">
        <v>1040</v>
      </c>
      <c r="B236" t="s">
        <v>1021</v>
      </c>
      <c r="C236" t="s">
        <v>499</v>
      </c>
      <c r="D236" t="s">
        <v>166</v>
      </c>
      <c r="E236" t="s">
        <v>595</v>
      </c>
      <c r="F236">
        <v>1</v>
      </c>
      <c r="G236">
        <v>207</v>
      </c>
      <c r="H236" t="str">
        <f>IF(VLOOKUP(C236,Customers!A:E,5,FALSE)&gt;=1000,"YES","NO")</f>
        <v>NO</v>
      </c>
      <c r="I236">
        <f t="shared" si="3"/>
        <v>207</v>
      </c>
      <c r="J236">
        <f>(I236 - VLOOKUP(E236,Desserts!A:D,4,FALSE)) * F236</f>
        <v>137</v>
      </c>
    </row>
    <row r="237" spans="1:10" x14ac:dyDescent="0.3">
      <c r="A237" t="s">
        <v>1041</v>
      </c>
      <c r="B237" t="s">
        <v>1023</v>
      </c>
      <c r="C237" t="s">
        <v>411</v>
      </c>
      <c r="D237" t="s">
        <v>202</v>
      </c>
      <c r="E237" t="s">
        <v>553</v>
      </c>
      <c r="F237">
        <v>5</v>
      </c>
      <c r="G237">
        <v>145</v>
      </c>
      <c r="H237" t="str">
        <f>IF(VLOOKUP(C237,Customers!A:E,5,FALSE)&gt;=1000,"YES","NO")</f>
        <v>NO</v>
      </c>
      <c r="I237">
        <f t="shared" si="3"/>
        <v>145</v>
      </c>
      <c r="J237">
        <f>(I237 - VLOOKUP(E237,Desserts!A:D,4,FALSE)) * F237</f>
        <v>425</v>
      </c>
    </row>
    <row r="238" spans="1:10" x14ac:dyDescent="0.3">
      <c r="A238" t="s">
        <v>1042</v>
      </c>
      <c r="B238" t="s">
        <v>1043</v>
      </c>
      <c r="C238" t="s">
        <v>437</v>
      </c>
      <c r="D238" t="s">
        <v>139</v>
      </c>
      <c r="E238" t="s">
        <v>541</v>
      </c>
      <c r="F238">
        <v>1</v>
      </c>
      <c r="G238">
        <v>179</v>
      </c>
      <c r="H238" t="str">
        <f>IF(VLOOKUP(C238,Customers!A:E,5,FALSE)&gt;=1000,"YES","NO")</f>
        <v>NO</v>
      </c>
      <c r="I238">
        <f t="shared" si="3"/>
        <v>179</v>
      </c>
      <c r="J238">
        <f>(I238 - VLOOKUP(E238,Desserts!A:D,4,FALSE)) * F238</f>
        <v>122</v>
      </c>
    </row>
    <row r="239" spans="1:10" x14ac:dyDescent="0.3">
      <c r="A239" t="s">
        <v>1044</v>
      </c>
      <c r="B239" t="s">
        <v>632</v>
      </c>
      <c r="C239" t="s">
        <v>495</v>
      </c>
      <c r="D239" t="s">
        <v>208</v>
      </c>
      <c r="E239" t="s">
        <v>557</v>
      </c>
      <c r="F239">
        <v>4</v>
      </c>
      <c r="G239">
        <v>243</v>
      </c>
      <c r="H239" t="str">
        <f>IF(VLOOKUP(C239,Customers!A:E,5,FALSE)&gt;=1000,"YES","NO")</f>
        <v>NO</v>
      </c>
      <c r="I239">
        <f t="shared" si="3"/>
        <v>243</v>
      </c>
      <c r="J239">
        <f>(I239 - VLOOKUP(E239,Desserts!A:D,4,FALSE)) * F239</f>
        <v>636</v>
      </c>
    </row>
    <row r="240" spans="1:10" x14ac:dyDescent="0.3">
      <c r="A240" t="s">
        <v>1045</v>
      </c>
      <c r="B240" t="s">
        <v>915</v>
      </c>
      <c r="C240" t="s">
        <v>501</v>
      </c>
      <c r="D240" t="s">
        <v>211</v>
      </c>
      <c r="E240" t="s">
        <v>617</v>
      </c>
      <c r="F240">
        <v>3</v>
      </c>
      <c r="G240">
        <v>242</v>
      </c>
      <c r="H240" t="str">
        <f>IF(VLOOKUP(C240,Customers!A:E,5,FALSE)&gt;=1000,"YES","NO")</f>
        <v>YES</v>
      </c>
      <c r="I240">
        <f t="shared" si="3"/>
        <v>121</v>
      </c>
      <c r="J240">
        <f>(I240 - VLOOKUP(E240,Desserts!A:D,4,FALSE)) * F240</f>
        <v>240</v>
      </c>
    </row>
    <row r="241" spans="1:10" x14ac:dyDescent="0.3">
      <c r="A241" t="s">
        <v>1046</v>
      </c>
      <c r="B241" t="s">
        <v>1047</v>
      </c>
      <c r="C241" t="s">
        <v>399</v>
      </c>
      <c r="D241" t="s">
        <v>178</v>
      </c>
      <c r="E241" t="s">
        <v>563</v>
      </c>
      <c r="F241">
        <v>3</v>
      </c>
      <c r="G241">
        <v>238</v>
      </c>
      <c r="H241" t="str">
        <f>IF(VLOOKUP(C241,Customers!A:E,5,FALSE)&gt;=1000,"YES","NO")</f>
        <v>YES</v>
      </c>
      <c r="I241">
        <f t="shared" si="3"/>
        <v>119</v>
      </c>
      <c r="J241">
        <f>(I241 - VLOOKUP(E241,Desserts!A:D,4,FALSE)) * F241</f>
        <v>162</v>
      </c>
    </row>
    <row r="242" spans="1:10" x14ac:dyDescent="0.3">
      <c r="A242" t="s">
        <v>1048</v>
      </c>
      <c r="B242" t="s">
        <v>1049</v>
      </c>
      <c r="C242" t="s">
        <v>451</v>
      </c>
      <c r="D242" t="s">
        <v>187</v>
      </c>
      <c r="E242" t="s">
        <v>541</v>
      </c>
      <c r="F242">
        <v>4</v>
      </c>
      <c r="G242">
        <v>196</v>
      </c>
      <c r="H242" t="str">
        <f>IF(VLOOKUP(C242,Customers!A:E,5,FALSE)&gt;=1000,"YES","NO")</f>
        <v>NO</v>
      </c>
      <c r="I242">
        <f t="shared" si="3"/>
        <v>196</v>
      </c>
      <c r="J242">
        <f>(I242 - VLOOKUP(E242,Desserts!A:D,4,FALSE)) * F242</f>
        <v>556</v>
      </c>
    </row>
    <row r="243" spans="1:10" x14ac:dyDescent="0.3">
      <c r="A243" t="s">
        <v>1050</v>
      </c>
      <c r="B243" t="s">
        <v>1051</v>
      </c>
      <c r="C243" t="s">
        <v>437</v>
      </c>
      <c r="D243" t="s">
        <v>30</v>
      </c>
      <c r="E243" t="s">
        <v>589</v>
      </c>
      <c r="F243">
        <v>3</v>
      </c>
      <c r="G243">
        <v>204</v>
      </c>
      <c r="H243" t="str">
        <f>IF(VLOOKUP(C243,Customers!A:E,5,FALSE)&gt;=1000,"YES","NO")</f>
        <v>NO</v>
      </c>
      <c r="I243">
        <f t="shared" si="3"/>
        <v>204</v>
      </c>
      <c r="J243">
        <f>(I243 - VLOOKUP(E243,Desserts!A:D,4,FALSE)) * F243</f>
        <v>399</v>
      </c>
    </row>
    <row r="244" spans="1:10" x14ac:dyDescent="0.3">
      <c r="A244" t="s">
        <v>1052</v>
      </c>
      <c r="B244" t="s">
        <v>677</v>
      </c>
      <c r="C244" t="s">
        <v>399</v>
      </c>
      <c r="D244" t="s">
        <v>154</v>
      </c>
      <c r="E244" t="s">
        <v>613</v>
      </c>
      <c r="F244">
        <v>1</v>
      </c>
      <c r="G244">
        <v>224</v>
      </c>
      <c r="H244" t="str">
        <f>IF(VLOOKUP(C244,Customers!A:E,5,FALSE)&gt;=1000,"YES","NO")</f>
        <v>YES</v>
      </c>
      <c r="I244">
        <f t="shared" si="3"/>
        <v>112</v>
      </c>
      <c r="J244">
        <f>(I244 - VLOOKUP(E244,Desserts!A:D,4,FALSE)) * F244</f>
        <v>27</v>
      </c>
    </row>
    <row r="245" spans="1:10" x14ac:dyDescent="0.3">
      <c r="A245" t="s">
        <v>1053</v>
      </c>
      <c r="B245" t="s">
        <v>1054</v>
      </c>
      <c r="C245" t="s">
        <v>375</v>
      </c>
      <c r="D245" t="s">
        <v>130</v>
      </c>
      <c r="E245" t="s">
        <v>545</v>
      </c>
      <c r="F245">
        <v>5</v>
      </c>
      <c r="G245">
        <v>232</v>
      </c>
      <c r="H245" t="str">
        <f>IF(VLOOKUP(C245,Customers!A:E,5,FALSE)&gt;=1000,"YES","NO")</f>
        <v>NO</v>
      </c>
      <c r="I245">
        <f t="shared" si="3"/>
        <v>232</v>
      </c>
      <c r="J245">
        <f>(I245 - VLOOKUP(E245,Desserts!A:D,4,FALSE)) * F245</f>
        <v>935</v>
      </c>
    </row>
    <row r="246" spans="1:10" x14ac:dyDescent="0.3">
      <c r="A246" t="s">
        <v>1055</v>
      </c>
      <c r="B246" t="s">
        <v>725</v>
      </c>
      <c r="C246" t="s">
        <v>499</v>
      </c>
      <c r="D246" t="s">
        <v>151</v>
      </c>
      <c r="E246" t="s">
        <v>615</v>
      </c>
      <c r="F246">
        <v>5</v>
      </c>
      <c r="G246">
        <v>141</v>
      </c>
      <c r="H246" t="str">
        <f>IF(VLOOKUP(C246,Customers!A:E,5,FALSE)&gt;=1000,"YES","NO")</f>
        <v>NO</v>
      </c>
      <c r="I246">
        <f t="shared" si="3"/>
        <v>141</v>
      </c>
      <c r="J246">
        <f>(I246 - VLOOKUP(E246,Desserts!A:D,4,FALSE)) * F246</f>
        <v>495</v>
      </c>
    </row>
    <row r="247" spans="1:10" x14ac:dyDescent="0.3">
      <c r="A247" t="s">
        <v>1056</v>
      </c>
      <c r="B247" t="s">
        <v>757</v>
      </c>
      <c r="C247" t="s">
        <v>357</v>
      </c>
      <c r="D247" t="s">
        <v>66</v>
      </c>
      <c r="E247" t="s">
        <v>595</v>
      </c>
      <c r="F247">
        <v>2</v>
      </c>
      <c r="G247">
        <v>179</v>
      </c>
      <c r="H247" t="str">
        <f>IF(VLOOKUP(C247,Customers!A:E,5,FALSE)&gt;=1000,"YES","NO")</f>
        <v>NO</v>
      </c>
      <c r="I247">
        <f t="shared" si="3"/>
        <v>179</v>
      </c>
      <c r="J247">
        <f>(I247 - VLOOKUP(E247,Desserts!A:D,4,FALSE)) * F247</f>
        <v>218</v>
      </c>
    </row>
    <row r="248" spans="1:10" x14ac:dyDescent="0.3">
      <c r="A248" t="s">
        <v>1057</v>
      </c>
      <c r="B248" t="s">
        <v>713</v>
      </c>
      <c r="C248" t="s">
        <v>431</v>
      </c>
      <c r="D248" t="s">
        <v>63</v>
      </c>
      <c r="E248" t="s">
        <v>583</v>
      </c>
      <c r="F248">
        <v>2</v>
      </c>
      <c r="G248">
        <v>156</v>
      </c>
      <c r="H248" t="str">
        <f>IF(VLOOKUP(C248,Customers!A:E,5,FALSE)&gt;=1000,"YES","NO")</f>
        <v>YES</v>
      </c>
      <c r="I248">
        <f t="shared" si="3"/>
        <v>78</v>
      </c>
      <c r="J248">
        <f>(I248 - VLOOKUP(E248,Desserts!A:D,4,FALSE)) * F248</f>
        <v>-10</v>
      </c>
    </row>
    <row r="249" spans="1:10" x14ac:dyDescent="0.3">
      <c r="A249" t="s">
        <v>1058</v>
      </c>
      <c r="B249" t="s">
        <v>1059</v>
      </c>
      <c r="C249" t="s">
        <v>427</v>
      </c>
      <c r="D249" t="s">
        <v>169</v>
      </c>
      <c r="E249" t="s">
        <v>523</v>
      </c>
      <c r="F249">
        <v>3</v>
      </c>
      <c r="G249">
        <v>219</v>
      </c>
      <c r="H249" t="str">
        <f>IF(VLOOKUP(C249,Customers!A:E,5,FALSE)&gt;=1000,"YES","NO")</f>
        <v>NO</v>
      </c>
      <c r="I249">
        <f t="shared" si="3"/>
        <v>219</v>
      </c>
      <c r="J249">
        <f>(I249 - VLOOKUP(E249,Desserts!A:D,4,FALSE)) * F249</f>
        <v>453</v>
      </c>
    </row>
    <row r="250" spans="1:10" x14ac:dyDescent="0.3">
      <c r="A250" t="s">
        <v>1060</v>
      </c>
      <c r="B250" t="s">
        <v>965</v>
      </c>
      <c r="C250" t="s">
        <v>503</v>
      </c>
      <c r="D250" t="s">
        <v>187</v>
      </c>
      <c r="E250" t="s">
        <v>619</v>
      </c>
      <c r="F250">
        <v>4</v>
      </c>
      <c r="G250">
        <v>109</v>
      </c>
      <c r="H250" t="str">
        <f>IF(VLOOKUP(C250,Customers!A:E,5,FALSE)&gt;=1000,"YES","NO")</f>
        <v>NO</v>
      </c>
      <c r="I250">
        <f t="shared" si="3"/>
        <v>109</v>
      </c>
      <c r="J250">
        <f>(I250 - VLOOKUP(E250,Desserts!A:D,4,FALSE)) * F250</f>
        <v>112</v>
      </c>
    </row>
    <row r="251" spans="1:10" x14ac:dyDescent="0.3">
      <c r="A251" t="s">
        <v>1061</v>
      </c>
      <c r="B251" t="s">
        <v>1062</v>
      </c>
      <c r="C251" t="s">
        <v>471</v>
      </c>
      <c r="D251" t="s">
        <v>223</v>
      </c>
      <c r="E251" t="s">
        <v>551</v>
      </c>
      <c r="F251">
        <v>3</v>
      </c>
      <c r="G251">
        <v>103</v>
      </c>
      <c r="H251" t="str">
        <f>IF(VLOOKUP(C251,Customers!A:E,5,FALSE)&gt;=1000,"YES","NO")</f>
        <v>NO</v>
      </c>
      <c r="I251">
        <f t="shared" si="3"/>
        <v>103</v>
      </c>
      <c r="J251">
        <f>(I251 - VLOOKUP(E251,Desserts!A:D,4,FALSE)) * F251</f>
        <v>102</v>
      </c>
    </row>
    <row r="252" spans="1:10" x14ac:dyDescent="0.3">
      <c r="A252" t="s">
        <v>1063</v>
      </c>
      <c r="B252" t="s">
        <v>1064</v>
      </c>
      <c r="C252" t="s">
        <v>503</v>
      </c>
      <c r="D252" t="s">
        <v>27</v>
      </c>
      <c r="E252" t="s">
        <v>553</v>
      </c>
      <c r="F252">
        <v>1</v>
      </c>
      <c r="G252">
        <v>223</v>
      </c>
      <c r="H252" t="str">
        <f>IF(VLOOKUP(C252,Customers!A:E,5,FALSE)&gt;=1000,"YES","NO")</f>
        <v>NO</v>
      </c>
      <c r="I252">
        <f t="shared" si="3"/>
        <v>223</v>
      </c>
      <c r="J252">
        <f>(I252 - VLOOKUP(E252,Desserts!A:D,4,FALSE)) * F252</f>
        <v>163</v>
      </c>
    </row>
    <row r="253" spans="1:10" x14ac:dyDescent="0.3">
      <c r="A253" t="s">
        <v>1065</v>
      </c>
      <c r="B253" t="s">
        <v>1066</v>
      </c>
      <c r="C253" t="s">
        <v>397</v>
      </c>
      <c r="D253" t="s">
        <v>199</v>
      </c>
      <c r="E253" t="s">
        <v>527</v>
      </c>
      <c r="F253">
        <v>2</v>
      </c>
      <c r="G253">
        <v>101</v>
      </c>
      <c r="H253" t="str">
        <f>IF(VLOOKUP(C253,Customers!A:E,5,FALSE)&gt;=1000,"YES","NO")</f>
        <v>NO</v>
      </c>
      <c r="I253">
        <f t="shared" si="3"/>
        <v>101</v>
      </c>
      <c r="J253">
        <f>(I253 - VLOOKUP(E253,Desserts!A:D,4,FALSE)) * F253</f>
        <v>116</v>
      </c>
    </row>
    <row r="254" spans="1:10" x14ac:dyDescent="0.3">
      <c r="A254" t="s">
        <v>1067</v>
      </c>
      <c r="B254" t="s">
        <v>1068</v>
      </c>
      <c r="C254" t="s">
        <v>367</v>
      </c>
      <c r="D254" t="s">
        <v>196</v>
      </c>
      <c r="E254" t="s">
        <v>575</v>
      </c>
      <c r="F254">
        <v>1</v>
      </c>
      <c r="G254">
        <v>160</v>
      </c>
      <c r="H254" t="str">
        <f>IF(VLOOKUP(C254,Customers!A:E,5,FALSE)&gt;=1000,"YES","NO")</f>
        <v>NO</v>
      </c>
      <c r="I254">
        <f t="shared" si="3"/>
        <v>160</v>
      </c>
      <c r="J254">
        <f>(I254 - VLOOKUP(E254,Desserts!A:D,4,FALSE)) * F254</f>
        <v>85</v>
      </c>
    </row>
    <row r="255" spans="1:10" x14ac:dyDescent="0.3">
      <c r="A255" t="s">
        <v>1069</v>
      </c>
      <c r="B255" t="s">
        <v>968</v>
      </c>
      <c r="C255" t="s">
        <v>359</v>
      </c>
      <c r="D255" t="s">
        <v>151</v>
      </c>
      <c r="E255" t="s">
        <v>597</v>
      </c>
      <c r="F255">
        <v>4</v>
      </c>
      <c r="G255">
        <v>110</v>
      </c>
      <c r="H255" t="str">
        <f>IF(VLOOKUP(C255,Customers!A:E,5,FALSE)&gt;=1000,"YES","NO")</f>
        <v>YES</v>
      </c>
      <c r="I255">
        <f t="shared" si="3"/>
        <v>55</v>
      </c>
      <c r="J255">
        <f>(I255 - VLOOKUP(E255,Desserts!A:D,4,FALSE)) * F255</f>
        <v>40</v>
      </c>
    </row>
    <row r="256" spans="1:10" x14ac:dyDescent="0.3">
      <c r="A256" t="s">
        <v>1070</v>
      </c>
      <c r="B256" t="s">
        <v>1071</v>
      </c>
      <c r="C256" t="s">
        <v>389</v>
      </c>
      <c r="D256" t="s">
        <v>187</v>
      </c>
      <c r="E256" t="s">
        <v>605</v>
      </c>
      <c r="F256">
        <v>5</v>
      </c>
      <c r="G256">
        <v>155</v>
      </c>
      <c r="H256" t="str">
        <f>IF(VLOOKUP(C256,Customers!A:E,5,FALSE)&gt;=1000,"YES","NO")</f>
        <v>YES</v>
      </c>
      <c r="I256">
        <f t="shared" si="3"/>
        <v>77.5</v>
      </c>
      <c r="J256">
        <f>(I256 - VLOOKUP(E256,Desserts!A:D,4,FALSE)) * F256</f>
        <v>77.5</v>
      </c>
    </row>
    <row r="257" spans="1:10" x14ac:dyDescent="0.3">
      <c r="A257" t="s">
        <v>1072</v>
      </c>
      <c r="B257" t="s">
        <v>1073</v>
      </c>
      <c r="C257" t="s">
        <v>507</v>
      </c>
      <c r="D257" t="s">
        <v>91</v>
      </c>
      <c r="E257" t="s">
        <v>599</v>
      </c>
      <c r="F257">
        <v>3</v>
      </c>
      <c r="G257">
        <v>236</v>
      </c>
      <c r="H257" t="str">
        <f>IF(VLOOKUP(C257,Customers!A:E,5,FALSE)&gt;=1000,"YES","NO")</f>
        <v>NO</v>
      </c>
      <c r="I257">
        <f t="shared" si="3"/>
        <v>236</v>
      </c>
      <c r="J257">
        <f>(I257 - VLOOKUP(E257,Desserts!A:D,4,FALSE)) * F257</f>
        <v>468</v>
      </c>
    </row>
    <row r="258" spans="1:10" x14ac:dyDescent="0.3">
      <c r="A258" t="s">
        <v>1074</v>
      </c>
      <c r="B258" t="s">
        <v>1075</v>
      </c>
      <c r="C258" t="s">
        <v>405</v>
      </c>
      <c r="D258" t="s">
        <v>166</v>
      </c>
      <c r="E258" t="s">
        <v>531</v>
      </c>
      <c r="F258">
        <v>1</v>
      </c>
      <c r="G258">
        <v>186</v>
      </c>
      <c r="H258" t="str">
        <f>IF(VLOOKUP(C258,Customers!A:E,5,FALSE)&gt;=1000,"YES","NO")</f>
        <v>YES</v>
      </c>
      <c r="I258">
        <f t="shared" ref="I258:I321" si="4">IF(H258="YES",G258*0.5,G258)</f>
        <v>93</v>
      </c>
      <c r="J258">
        <f>(I258 - VLOOKUP(E258,Desserts!A:D,4,FALSE)) * F258</f>
        <v>8</v>
      </c>
    </row>
    <row r="259" spans="1:10" x14ac:dyDescent="0.3">
      <c r="A259" t="s">
        <v>1076</v>
      </c>
      <c r="B259" t="s">
        <v>731</v>
      </c>
      <c r="C259" t="s">
        <v>501</v>
      </c>
      <c r="D259" t="s">
        <v>301</v>
      </c>
      <c r="E259" t="s">
        <v>567</v>
      </c>
      <c r="F259">
        <v>4</v>
      </c>
      <c r="G259">
        <v>153</v>
      </c>
      <c r="H259" t="str">
        <f>IF(VLOOKUP(C259,Customers!A:E,5,FALSE)&gt;=1000,"YES","NO")</f>
        <v>YES</v>
      </c>
      <c r="I259">
        <f t="shared" si="4"/>
        <v>76.5</v>
      </c>
      <c r="J259">
        <f>(I259 - VLOOKUP(E259,Desserts!A:D,4,FALSE)) * F259</f>
        <v>82</v>
      </c>
    </row>
    <row r="260" spans="1:10" x14ac:dyDescent="0.3">
      <c r="A260" t="s">
        <v>1077</v>
      </c>
      <c r="B260" t="s">
        <v>1078</v>
      </c>
      <c r="C260" t="s">
        <v>501</v>
      </c>
      <c r="D260" t="s">
        <v>250</v>
      </c>
      <c r="E260" t="s">
        <v>543</v>
      </c>
      <c r="F260">
        <v>2</v>
      </c>
      <c r="G260">
        <v>185</v>
      </c>
      <c r="H260" t="str">
        <f>IF(VLOOKUP(C260,Customers!A:E,5,FALSE)&gt;=1000,"YES","NO")</f>
        <v>YES</v>
      </c>
      <c r="I260">
        <f t="shared" si="4"/>
        <v>92.5</v>
      </c>
      <c r="J260">
        <f>(I260 - VLOOKUP(E260,Desserts!A:D,4,FALSE)) * F260</f>
        <v>39</v>
      </c>
    </row>
    <row r="261" spans="1:10" x14ac:dyDescent="0.3">
      <c r="A261" t="s">
        <v>1079</v>
      </c>
      <c r="B261" t="s">
        <v>952</v>
      </c>
      <c r="C261" t="s">
        <v>391</v>
      </c>
      <c r="D261" t="s">
        <v>193</v>
      </c>
      <c r="E261" t="s">
        <v>615</v>
      </c>
      <c r="F261">
        <v>5</v>
      </c>
      <c r="G261">
        <v>110</v>
      </c>
      <c r="H261" t="str">
        <f>IF(VLOOKUP(C261,Customers!A:E,5,FALSE)&gt;=1000,"YES","NO")</f>
        <v>YES</v>
      </c>
      <c r="I261">
        <f t="shared" si="4"/>
        <v>55</v>
      </c>
      <c r="J261">
        <f>(I261 - VLOOKUP(E261,Desserts!A:D,4,FALSE)) * F261</f>
        <v>65</v>
      </c>
    </row>
    <row r="262" spans="1:10" x14ac:dyDescent="0.3">
      <c r="A262" t="s">
        <v>1080</v>
      </c>
      <c r="B262" t="s">
        <v>1081</v>
      </c>
      <c r="C262" t="s">
        <v>455</v>
      </c>
      <c r="D262" t="s">
        <v>298</v>
      </c>
      <c r="E262" t="s">
        <v>525</v>
      </c>
      <c r="F262">
        <v>5</v>
      </c>
      <c r="G262">
        <v>164</v>
      </c>
      <c r="H262" t="str">
        <f>IF(VLOOKUP(C262,Customers!A:E,5,FALSE)&gt;=1000,"YES","NO")</f>
        <v>YES</v>
      </c>
      <c r="I262">
        <f t="shared" si="4"/>
        <v>82</v>
      </c>
      <c r="J262">
        <f>(I262 - VLOOKUP(E262,Desserts!A:D,4,FALSE)) * F262</f>
        <v>-10</v>
      </c>
    </row>
    <row r="263" spans="1:10" x14ac:dyDescent="0.3">
      <c r="A263" t="s">
        <v>1082</v>
      </c>
      <c r="B263" t="s">
        <v>901</v>
      </c>
      <c r="C263" t="s">
        <v>455</v>
      </c>
      <c r="D263" t="s">
        <v>57</v>
      </c>
      <c r="E263" t="s">
        <v>575</v>
      </c>
      <c r="F263">
        <v>5</v>
      </c>
      <c r="G263">
        <v>232</v>
      </c>
      <c r="H263" t="str">
        <f>IF(VLOOKUP(C263,Customers!A:E,5,FALSE)&gt;=1000,"YES","NO")</f>
        <v>YES</v>
      </c>
      <c r="I263">
        <f t="shared" si="4"/>
        <v>116</v>
      </c>
      <c r="J263">
        <f>(I263 - VLOOKUP(E263,Desserts!A:D,4,FALSE)) * F263</f>
        <v>205</v>
      </c>
    </row>
    <row r="264" spans="1:10" x14ac:dyDescent="0.3">
      <c r="A264" t="s">
        <v>1083</v>
      </c>
      <c r="B264" t="s">
        <v>1073</v>
      </c>
      <c r="C264" t="s">
        <v>379</v>
      </c>
      <c r="D264" t="s">
        <v>13</v>
      </c>
      <c r="E264" t="s">
        <v>569</v>
      </c>
      <c r="F264">
        <v>3</v>
      </c>
      <c r="G264">
        <v>227</v>
      </c>
      <c r="H264" t="str">
        <f>IF(VLOOKUP(C264,Customers!A:E,5,FALSE)&gt;=1000,"YES","NO")</f>
        <v>NO</v>
      </c>
      <c r="I264">
        <f t="shared" si="4"/>
        <v>227</v>
      </c>
      <c r="J264">
        <f>(I264 - VLOOKUP(E264,Desserts!A:D,4,FALSE)) * F264</f>
        <v>450</v>
      </c>
    </row>
    <row r="265" spans="1:10" x14ac:dyDescent="0.3">
      <c r="A265" t="s">
        <v>1084</v>
      </c>
      <c r="B265" t="s">
        <v>1085</v>
      </c>
      <c r="C265" t="s">
        <v>357</v>
      </c>
      <c r="D265" t="s">
        <v>5</v>
      </c>
      <c r="E265" t="s">
        <v>617</v>
      </c>
      <c r="F265">
        <v>3</v>
      </c>
      <c r="G265">
        <v>248</v>
      </c>
      <c r="H265" t="str">
        <f>IF(VLOOKUP(C265,Customers!A:E,5,FALSE)&gt;=1000,"YES","NO")</f>
        <v>NO</v>
      </c>
      <c r="I265">
        <f t="shared" si="4"/>
        <v>248</v>
      </c>
      <c r="J265">
        <f>(I265 - VLOOKUP(E265,Desserts!A:D,4,FALSE)) * F265</f>
        <v>621</v>
      </c>
    </row>
    <row r="266" spans="1:10" x14ac:dyDescent="0.3">
      <c r="A266" t="s">
        <v>1086</v>
      </c>
      <c r="B266" t="s">
        <v>864</v>
      </c>
      <c r="C266" t="s">
        <v>439</v>
      </c>
      <c r="D266" t="s">
        <v>196</v>
      </c>
      <c r="E266" t="s">
        <v>567</v>
      </c>
      <c r="F266">
        <v>2</v>
      </c>
      <c r="G266">
        <v>136</v>
      </c>
      <c r="H266" t="str">
        <f>IF(VLOOKUP(C266,Customers!A:E,5,FALSE)&gt;=1000,"YES","NO")</f>
        <v>YES</v>
      </c>
      <c r="I266">
        <f t="shared" si="4"/>
        <v>68</v>
      </c>
      <c r="J266">
        <f>(I266 - VLOOKUP(E266,Desserts!A:D,4,FALSE)) * F266</f>
        <v>24</v>
      </c>
    </row>
    <row r="267" spans="1:10" x14ac:dyDescent="0.3">
      <c r="A267" t="s">
        <v>1087</v>
      </c>
      <c r="B267" t="s">
        <v>719</v>
      </c>
      <c r="C267" t="s">
        <v>351</v>
      </c>
      <c r="D267" t="s">
        <v>256</v>
      </c>
      <c r="E267" t="s">
        <v>617</v>
      </c>
      <c r="F267">
        <v>5</v>
      </c>
      <c r="G267">
        <v>181</v>
      </c>
      <c r="H267" t="str">
        <f>IF(VLOOKUP(C267,Customers!A:E,5,FALSE)&gt;=1000,"YES","NO")</f>
        <v>NO</v>
      </c>
      <c r="I267">
        <f t="shared" si="4"/>
        <v>181</v>
      </c>
      <c r="J267">
        <f>(I267 - VLOOKUP(E267,Desserts!A:D,4,FALSE)) * F267</f>
        <v>700</v>
      </c>
    </row>
    <row r="268" spans="1:10" x14ac:dyDescent="0.3">
      <c r="A268" t="s">
        <v>1088</v>
      </c>
      <c r="B268" t="s">
        <v>938</v>
      </c>
      <c r="C268" t="s">
        <v>511</v>
      </c>
      <c r="D268" t="s">
        <v>151</v>
      </c>
      <c r="E268" t="s">
        <v>585</v>
      </c>
      <c r="F268">
        <v>4</v>
      </c>
      <c r="G268">
        <v>128</v>
      </c>
      <c r="H268" t="str">
        <f>IF(VLOOKUP(C268,Customers!A:E,5,FALSE)&gt;=1000,"YES","NO")</f>
        <v>YES</v>
      </c>
      <c r="I268">
        <f t="shared" si="4"/>
        <v>64</v>
      </c>
      <c r="J268">
        <f>(I268 - VLOOKUP(E268,Desserts!A:D,4,FALSE)) * F268</f>
        <v>68</v>
      </c>
    </row>
    <row r="269" spans="1:10" x14ac:dyDescent="0.3">
      <c r="A269" t="s">
        <v>1089</v>
      </c>
      <c r="B269" t="s">
        <v>1090</v>
      </c>
      <c r="C269" t="s">
        <v>445</v>
      </c>
      <c r="D269" t="s">
        <v>145</v>
      </c>
      <c r="E269" t="s">
        <v>581</v>
      </c>
      <c r="F269">
        <v>5</v>
      </c>
      <c r="G269">
        <v>145</v>
      </c>
      <c r="H269" t="str">
        <f>IF(VLOOKUP(C269,Customers!A:E,5,FALSE)&gt;=1000,"YES","NO")</f>
        <v>NO</v>
      </c>
      <c r="I269">
        <f t="shared" si="4"/>
        <v>145</v>
      </c>
      <c r="J269">
        <f>(I269 - VLOOKUP(E269,Desserts!A:D,4,FALSE)) * F269</f>
        <v>280</v>
      </c>
    </row>
    <row r="270" spans="1:10" x14ac:dyDescent="0.3">
      <c r="A270" t="s">
        <v>1091</v>
      </c>
      <c r="B270" t="s">
        <v>675</v>
      </c>
      <c r="C270" t="s">
        <v>469</v>
      </c>
      <c r="D270" t="s">
        <v>51</v>
      </c>
      <c r="E270" t="s">
        <v>597</v>
      </c>
      <c r="F270">
        <v>5</v>
      </c>
      <c r="G270">
        <v>196</v>
      </c>
      <c r="H270" t="str">
        <f>IF(VLOOKUP(C270,Customers!A:E,5,FALSE)&gt;=1000,"YES","NO")</f>
        <v>NO</v>
      </c>
      <c r="I270">
        <f t="shared" si="4"/>
        <v>196</v>
      </c>
      <c r="J270">
        <f>(I270 - VLOOKUP(E270,Desserts!A:D,4,FALSE)) * F270</f>
        <v>755</v>
      </c>
    </row>
    <row r="271" spans="1:10" x14ac:dyDescent="0.3">
      <c r="A271" t="s">
        <v>1092</v>
      </c>
      <c r="B271" t="s">
        <v>1016</v>
      </c>
      <c r="C271" t="s">
        <v>509</v>
      </c>
      <c r="D271" t="s">
        <v>27</v>
      </c>
      <c r="E271" t="s">
        <v>529</v>
      </c>
      <c r="F271">
        <v>4</v>
      </c>
      <c r="G271">
        <v>182</v>
      </c>
      <c r="H271" t="str">
        <f>IF(VLOOKUP(C271,Customers!A:E,5,FALSE)&gt;=1000,"YES","NO")</f>
        <v>NO</v>
      </c>
      <c r="I271">
        <f t="shared" si="4"/>
        <v>182</v>
      </c>
      <c r="J271">
        <f>(I271 - VLOOKUP(E271,Desserts!A:D,4,FALSE)) * F271</f>
        <v>456</v>
      </c>
    </row>
    <row r="272" spans="1:10" x14ac:dyDescent="0.3">
      <c r="A272" t="s">
        <v>1093</v>
      </c>
      <c r="B272" t="s">
        <v>1094</v>
      </c>
      <c r="C272" t="s">
        <v>447</v>
      </c>
      <c r="D272" t="s">
        <v>136</v>
      </c>
      <c r="E272" t="s">
        <v>583</v>
      </c>
      <c r="F272">
        <v>3</v>
      </c>
      <c r="G272">
        <v>187</v>
      </c>
      <c r="H272" t="str">
        <f>IF(VLOOKUP(C272,Customers!A:E,5,FALSE)&gt;=1000,"YES","NO")</f>
        <v>YES</v>
      </c>
      <c r="I272">
        <f t="shared" si="4"/>
        <v>93.5</v>
      </c>
      <c r="J272">
        <f>(I272 - VLOOKUP(E272,Desserts!A:D,4,FALSE)) * F272</f>
        <v>31.5</v>
      </c>
    </row>
    <row r="273" spans="1:10" x14ac:dyDescent="0.3">
      <c r="A273" t="s">
        <v>1095</v>
      </c>
      <c r="B273" t="s">
        <v>1096</v>
      </c>
      <c r="C273" t="s">
        <v>427</v>
      </c>
      <c r="D273" t="s">
        <v>199</v>
      </c>
      <c r="E273" t="s">
        <v>615</v>
      </c>
      <c r="F273">
        <v>5</v>
      </c>
      <c r="G273">
        <v>185</v>
      </c>
      <c r="H273" t="str">
        <f>IF(VLOOKUP(C273,Customers!A:E,5,FALSE)&gt;=1000,"YES","NO")</f>
        <v>NO</v>
      </c>
      <c r="I273">
        <f t="shared" si="4"/>
        <v>185</v>
      </c>
      <c r="J273">
        <f>(I273 - VLOOKUP(E273,Desserts!A:D,4,FALSE)) * F273</f>
        <v>715</v>
      </c>
    </row>
    <row r="274" spans="1:10" x14ac:dyDescent="0.3">
      <c r="A274" t="s">
        <v>1097</v>
      </c>
      <c r="B274" t="s">
        <v>1098</v>
      </c>
      <c r="C274" t="s">
        <v>329</v>
      </c>
      <c r="D274" t="s">
        <v>187</v>
      </c>
      <c r="E274" t="s">
        <v>593</v>
      </c>
      <c r="F274">
        <v>4</v>
      </c>
      <c r="G274">
        <v>185</v>
      </c>
      <c r="H274" t="str">
        <f>IF(VLOOKUP(C274,Customers!A:E,5,FALSE)&gt;=1000,"YES","NO")</f>
        <v>YES</v>
      </c>
      <c r="I274">
        <f t="shared" si="4"/>
        <v>92.5</v>
      </c>
      <c r="J274">
        <f>(I274 - VLOOKUP(E274,Desserts!A:D,4,FALSE)) * F274</f>
        <v>154</v>
      </c>
    </row>
    <row r="275" spans="1:10" x14ac:dyDescent="0.3">
      <c r="A275" t="s">
        <v>1099</v>
      </c>
      <c r="B275" t="s">
        <v>1094</v>
      </c>
      <c r="C275" t="s">
        <v>417</v>
      </c>
      <c r="D275" t="s">
        <v>76</v>
      </c>
      <c r="E275" t="s">
        <v>559</v>
      </c>
      <c r="F275">
        <v>5</v>
      </c>
      <c r="G275">
        <v>218</v>
      </c>
      <c r="H275" t="str">
        <f>IF(VLOOKUP(C275,Customers!A:E,5,FALSE)&gt;=1000,"YES","NO")</f>
        <v>YES</v>
      </c>
      <c r="I275">
        <f t="shared" si="4"/>
        <v>109</v>
      </c>
      <c r="J275">
        <f>(I275 - VLOOKUP(E275,Desserts!A:D,4,FALSE)) * F275</f>
        <v>270</v>
      </c>
    </row>
    <row r="276" spans="1:10" x14ac:dyDescent="0.3">
      <c r="A276" t="s">
        <v>1100</v>
      </c>
      <c r="B276" t="s">
        <v>640</v>
      </c>
      <c r="C276" t="s">
        <v>445</v>
      </c>
      <c r="D276" t="s">
        <v>79</v>
      </c>
      <c r="E276" t="s">
        <v>609</v>
      </c>
      <c r="F276">
        <v>5</v>
      </c>
      <c r="G276">
        <v>195</v>
      </c>
      <c r="H276" t="str">
        <f>IF(VLOOKUP(C276,Customers!A:E,5,FALSE)&gt;=1000,"YES","NO")</f>
        <v>NO</v>
      </c>
      <c r="I276">
        <f t="shared" si="4"/>
        <v>195</v>
      </c>
      <c r="J276">
        <f>(I276 - VLOOKUP(E276,Desserts!A:D,4,FALSE)) * F276</f>
        <v>655</v>
      </c>
    </row>
    <row r="277" spans="1:10" x14ac:dyDescent="0.3">
      <c r="A277" t="s">
        <v>1101</v>
      </c>
      <c r="B277" t="s">
        <v>1102</v>
      </c>
      <c r="C277" t="s">
        <v>451</v>
      </c>
      <c r="D277" t="s">
        <v>5</v>
      </c>
      <c r="E277" t="s">
        <v>571</v>
      </c>
      <c r="F277">
        <v>1</v>
      </c>
      <c r="G277">
        <v>244</v>
      </c>
      <c r="H277" t="str">
        <f>IF(VLOOKUP(C277,Customers!A:E,5,FALSE)&gt;=1000,"YES","NO")</f>
        <v>NO</v>
      </c>
      <c r="I277">
        <f t="shared" si="4"/>
        <v>244</v>
      </c>
      <c r="J277">
        <f>(I277 - VLOOKUP(E277,Desserts!A:D,4,FALSE)) * F277</f>
        <v>203</v>
      </c>
    </row>
    <row r="278" spans="1:10" x14ac:dyDescent="0.3">
      <c r="A278" t="s">
        <v>1103</v>
      </c>
      <c r="B278" t="s">
        <v>1104</v>
      </c>
      <c r="C278" t="s">
        <v>445</v>
      </c>
      <c r="D278" t="s">
        <v>88</v>
      </c>
      <c r="E278" t="s">
        <v>601</v>
      </c>
      <c r="F278">
        <v>3</v>
      </c>
      <c r="G278">
        <v>247</v>
      </c>
      <c r="H278" t="str">
        <f>IF(VLOOKUP(C278,Customers!A:E,5,FALSE)&gt;=1000,"YES","NO")</f>
        <v>NO</v>
      </c>
      <c r="I278">
        <f t="shared" si="4"/>
        <v>247</v>
      </c>
      <c r="J278">
        <f>(I278 - VLOOKUP(E278,Desserts!A:D,4,FALSE)) * F278</f>
        <v>576</v>
      </c>
    </row>
    <row r="279" spans="1:10" x14ac:dyDescent="0.3">
      <c r="A279" t="s">
        <v>1105</v>
      </c>
      <c r="B279" t="s">
        <v>878</v>
      </c>
      <c r="C279" t="s">
        <v>407</v>
      </c>
      <c r="D279" t="s">
        <v>106</v>
      </c>
      <c r="E279" t="s">
        <v>547</v>
      </c>
      <c r="F279">
        <v>2</v>
      </c>
      <c r="G279">
        <v>115</v>
      </c>
      <c r="H279" t="str">
        <f>IF(VLOOKUP(C279,Customers!A:E,5,FALSE)&gt;=1000,"YES","NO")</f>
        <v>YES</v>
      </c>
      <c r="I279">
        <f t="shared" si="4"/>
        <v>57.5</v>
      </c>
      <c r="J279">
        <f>(I279 - VLOOKUP(E279,Desserts!A:D,4,FALSE)) * F279</f>
        <v>15</v>
      </c>
    </row>
    <row r="280" spans="1:10" x14ac:dyDescent="0.3">
      <c r="A280" t="s">
        <v>1106</v>
      </c>
      <c r="B280" t="s">
        <v>1107</v>
      </c>
      <c r="C280" t="s">
        <v>505</v>
      </c>
      <c r="D280" t="s">
        <v>136</v>
      </c>
      <c r="E280" t="s">
        <v>585</v>
      </c>
      <c r="F280">
        <v>1</v>
      </c>
      <c r="G280">
        <v>240</v>
      </c>
      <c r="H280" t="str">
        <f>IF(VLOOKUP(C280,Customers!A:E,5,FALSE)&gt;=1000,"YES","NO")</f>
        <v>YES</v>
      </c>
      <c r="I280">
        <f t="shared" si="4"/>
        <v>120</v>
      </c>
      <c r="J280">
        <f>(I280 - VLOOKUP(E280,Desserts!A:D,4,FALSE)) * F280</f>
        <v>73</v>
      </c>
    </row>
    <row r="281" spans="1:10" x14ac:dyDescent="0.3">
      <c r="A281" t="s">
        <v>1108</v>
      </c>
      <c r="B281" t="s">
        <v>899</v>
      </c>
      <c r="C281" t="s">
        <v>327</v>
      </c>
      <c r="D281" t="s">
        <v>166</v>
      </c>
      <c r="E281" t="s">
        <v>609</v>
      </c>
      <c r="F281">
        <v>5</v>
      </c>
      <c r="G281">
        <v>215</v>
      </c>
      <c r="H281" t="str">
        <f>IF(VLOOKUP(C281,Customers!A:E,5,FALSE)&gt;=1000,"YES","NO")</f>
        <v>YES</v>
      </c>
      <c r="I281">
        <f t="shared" si="4"/>
        <v>107.5</v>
      </c>
      <c r="J281">
        <f>(I281 - VLOOKUP(E281,Desserts!A:D,4,FALSE)) * F281</f>
        <v>217.5</v>
      </c>
    </row>
    <row r="282" spans="1:10" x14ac:dyDescent="0.3">
      <c r="A282" t="s">
        <v>1109</v>
      </c>
      <c r="B282" t="s">
        <v>1110</v>
      </c>
      <c r="C282" t="s">
        <v>429</v>
      </c>
      <c r="D282" t="s">
        <v>69</v>
      </c>
      <c r="E282" t="s">
        <v>575</v>
      </c>
      <c r="F282">
        <v>4</v>
      </c>
      <c r="G282">
        <v>220</v>
      </c>
      <c r="H282" t="str">
        <f>IF(VLOOKUP(C282,Customers!A:E,5,FALSE)&gt;=1000,"YES","NO")</f>
        <v>YES</v>
      </c>
      <c r="I282">
        <f t="shared" si="4"/>
        <v>110</v>
      </c>
      <c r="J282">
        <f>(I282 - VLOOKUP(E282,Desserts!A:D,4,FALSE)) * F282</f>
        <v>140</v>
      </c>
    </row>
    <row r="283" spans="1:10" x14ac:dyDescent="0.3">
      <c r="A283" t="s">
        <v>1111</v>
      </c>
      <c r="B283" t="s">
        <v>644</v>
      </c>
      <c r="C283" t="s">
        <v>515</v>
      </c>
      <c r="D283" t="s">
        <v>181</v>
      </c>
      <c r="E283" t="s">
        <v>545</v>
      </c>
      <c r="F283">
        <v>5</v>
      </c>
      <c r="G283">
        <v>168</v>
      </c>
      <c r="H283" t="str">
        <f>IF(VLOOKUP(C283,Customers!A:E,5,FALSE)&gt;=1000,"YES","NO")</f>
        <v>YES</v>
      </c>
      <c r="I283">
        <f t="shared" si="4"/>
        <v>84</v>
      </c>
      <c r="J283">
        <f>(I283 - VLOOKUP(E283,Desserts!A:D,4,FALSE)) * F283</f>
        <v>195</v>
      </c>
    </row>
    <row r="284" spans="1:10" x14ac:dyDescent="0.3">
      <c r="A284" t="s">
        <v>1112</v>
      </c>
      <c r="B284" t="s">
        <v>1113</v>
      </c>
      <c r="C284" t="s">
        <v>413</v>
      </c>
      <c r="D284" t="s">
        <v>91</v>
      </c>
      <c r="E284" t="s">
        <v>559</v>
      </c>
      <c r="F284">
        <v>2</v>
      </c>
      <c r="G284">
        <v>115</v>
      </c>
      <c r="H284" t="str">
        <f>IF(VLOOKUP(C284,Customers!A:E,5,FALSE)&gt;=1000,"YES","NO")</f>
        <v>YES</v>
      </c>
      <c r="I284">
        <f t="shared" si="4"/>
        <v>57.5</v>
      </c>
      <c r="J284">
        <f>(I284 - VLOOKUP(E284,Desserts!A:D,4,FALSE)) * F284</f>
        <v>5</v>
      </c>
    </row>
    <row r="285" spans="1:10" x14ac:dyDescent="0.3">
      <c r="A285" t="s">
        <v>1114</v>
      </c>
      <c r="B285" t="s">
        <v>830</v>
      </c>
      <c r="C285" t="s">
        <v>411</v>
      </c>
      <c r="D285" t="s">
        <v>217</v>
      </c>
      <c r="E285" t="s">
        <v>537</v>
      </c>
      <c r="F285">
        <v>4</v>
      </c>
      <c r="G285">
        <v>127</v>
      </c>
      <c r="H285" t="str">
        <f>IF(VLOOKUP(C285,Customers!A:E,5,FALSE)&gt;=1000,"YES","NO")</f>
        <v>NO</v>
      </c>
      <c r="I285">
        <f t="shared" si="4"/>
        <v>127</v>
      </c>
      <c r="J285">
        <f>(I285 - VLOOKUP(E285,Desserts!A:D,4,FALSE)) * F285</f>
        <v>172</v>
      </c>
    </row>
    <row r="286" spans="1:10" x14ac:dyDescent="0.3">
      <c r="A286" t="s">
        <v>1115</v>
      </c>
      <c r="B286" t="s">
        <v>839</v>
      </c>
      <c r="C286" t="s">
        <v>505</v>
      </c>
      <c r="D286" t="s">
        <v>208</v>
      </c>
      <c r="E286" t="s">
        <v>577</v>
      </c>
      <c r="F286">
        <v>5</v>
      </c>
      <c r="G286">
        <v>192</v>
      </c>
      <c r="H286" t="str">
        <f>IF(VLOOKUP(C286,Customers!A:E,5,FALSE)&gt;=1000,"YES","NO")</f>
        <v>YES</v>
      </c>
      <c r="I286">
        <f t="shared" si="4"/>
        <v>96</v>
      </c>
      <c r="J286">
        <f>(I286 - VLOOKUP(E286,Desserts!A:D,4,FALSE)) * F286</f>
        <v>130</v>
      </c>
    </row>
    <row r="287" spans="1:10" x14ac:dyDescent="0.3">
      <c r="A287" t="s">
        <v>1116</v>
      </c>
      <c r="B287" t="s">
        <v>1117</v>
      </c>
      <c r="C287" t="s">
        <v>345</v>
      </c>
      <c r="D287" t="s">
        <v>271</v>
      </c>
      <c r="E287" t="s">
        <v>547</v>
      </c>
      <c r="F287">
        <v>2</v>
      </c>
      <c r="G287">
        <v>244</v>
      </c>
      <c r="H287" t="str">
        <f>IF(VLOOKUP(C287,Customers!A:E,5,FALSE)&gt;=1000,"YES","NO")</f>
        <v>YES</v>
      </c>
      <c r="I287">
        <f t="shared" si="4"/>
        <v>122</v>
      </c>
      <c r="J287">
        <f>(I287 - VLOOKUP(E287,Desserts!A:D,4,FALSE)) * F287</f>
        <v>144</v>
      </c>
    </row>
    <row r="288" spans="1:10" x14ac:dyDescent="0.3">
      <c r="A288" t="s">
        <v>1118</v>
      </c>
      <c r="B288" t="s">
        <v>636</v>
      </c>
      <c r="C288" t="s">
        <v>401</v>
      </c>
      <c r="D288" t="s">
        <v>226</v>
      </c>
      <c r="E288" t="s">
        <v>551</v>
      </c>
      <c r="F288">
        <v>2</v>
      </c>
      <c r="G288">
        <v>207</v>
      </c>
      <c r="H288" t="str">
        <f>IF(VLOOKUP(C288,Customers!A:E,5,FALSE)&gt;=1000,"YES","NO")</f>
        <v>YES</v>
      </c>
      <c r="I288">
        <f t="shared" si="4"/>
        <v>103.5</v>
      </c>
      <c r="J288">
        <f>(I288 - VLOOKUP(E288,Desserts!A:D,4,FALSE)) * F288</f>
        <v>69</v>
      </c>
    </row>
    <row r="289" spans="1:10" x14ac:dyDescent="0.3">
      <c r="A289" t="s">
        <v>1119</v>
      </c>
      <c r="B289" t="s">
        <v>919</v>
      </c>
      <c r="C289" t="s">
        <v>383</v>
      </c>
      <c r="D289" t="s">
        <v>57</v>
      </c>
      <c r="E289" t="s">
        <v>561</v>
      </c>
      <c r="F289">
        <v>1</v>
      </c>
      <c r="G289">
        <v>176</v>
      </c>
      <c r="H289" t="str">
        <f>IF(VLOOKUP(C289,Customers!A:E,5,FALSE)&gt;=1000,"YES","NO")</f>
        <v>NO</v>
      </c>
      <c r="I289">
        <f t="shared" si="4"/>
        <v>176</v>
      </c>
      <c r="J289">
        <f>(I289 - VLOOKUP(E289,Desserts!A:D,4,FALSE)) * F289</f>
        <v>113</v>
      </c>
    </row>
    <row r="290" spans="1:10" x14ac:dyDescent="0.3">
      <c r="A290" t="s">
        <v>1120</v>
      </c>
      <c r="B290" t="s">
        <v>1121</v>
      </c>
      <c r="C290" t="s">
        <v>345</v>
      </c>
      <c r="D290" t="s">
        <v>66</v>
      </c>
      <c r="E290" t="s">
        <v>533</v>
      </c>
      <c r="F290">
        <v>2</v>
      </c>
      <c r="G290">
        <v>172</v>
      </c>
      <c r="H290" t="str">
        <f>IF(VLOOKUP(C290,Customers!A:E,5,FALSE)&gt;=1000,"YES","NO")</f>
        <v>YES</v>
      </c>
      <c r="I290">
        <f t="shared" si="4"/>
        <v>86</v>
      </c>
      <c r="J290">
        <f>(I290 - VLOOKUP(E290,Desserts!A:D,4,FALSE)) * F290</f>
        <v>38</v>
      </c>
    </row>
    <row r="291" spans="1:10" x14ac:dyDescent="0.3">
      <c r="A291" t="s">
        <v>1122</v>
      </c>
      <c r="B291" t="s">
        <v>769</v>
      </c>
      <c r="C291" t="s">
        <v>441</v>
      </c>
      <c r="D291" t="s">
        <v>112</v>
      </c>
      <c r="E291" t="s">
        <v>561</v>
      </c>
      <c r="F291">
        <v>3</v>
      </c>
      <c r="G291">
        <v>125</v>
      </c>
      <c r="H291" t="str">
        <f>IF(VLOOKUP(C291,Customers!A:E,5,FALSE)&gt;=1000,"YES","NO")</f>
        <v>NO</v>
      </c>
      <c r="I291">
        <f t="shared" si="4"/>
        <v>125</v>
      </c>
      <c r="J291">
        <f>(I291 - VLOOKUP(E291,Desserts!A:D,4,FALSE)) * F291</f>
        <v>186</v>
      </c>
    </row>
    <row r="292" spans="1:10" x14ac:dyDescent="0.3">
      <c r="A292" t="s">
        <v>1123</v>
      </c>
      <c r="B292" t="s">
        <v>1124</v>
      </c>
      <c r="C292" t="s">
        <v>441</v>
      </c>
      <c r="D292" t="s">
        <v>295</v>
      </c>
      <c r="E292" t="s">
        <v>597</v>
      </c>
      <c r="F292">
        <v>2</v>
      </c>
      <c r="G292">
        <v>169</v>
      </c>
      <c r="H292" t="str">
        <f>IF(VLOOKUP(C292,Customers!A:E,5,FALSE)&gt;=1000,"YES","NO")</f>
        <v>NO</v>
      </c>
      <c r="I292">
        <f t="shared" si="4"/>
        <v>169</v>
      </c>
      <c r="J292">
        <f>(I292 - VLOOKUP(E292,Desserts!A:D,4,FALSE)) * F292</f>
        <v>248</v>
      </c>
    </row>
    <row r="293" spans="1:10" x14ac:dyDescent="0.3">
      <c r="A293" t="s">
        <v>1125</v>
      </c>
      <c r="B293" t="s">
        <v>957</v>
      </c>
      <c r="C293" t="s">
        <v>347</v>
      </c>
      <c r="D293" t="s">
        <v>277</v>
      </c>
      <c r="E293" t="s">
        <v>535</v>
      </c>
      <c r="F293">
        <v>1</v>
      </c>
      <c r="G293">
        <v>157</v>
      </c>
      <c r="H293" t="str">
        <f>IF(VLOOKUP(C293,Customers!A:E,5,FALSE)&gt;=1000,"YES","NO")</f>
        <v>YES</v>
      </c>
      <c r="I293">
        <f t="shared" si="4"/>
        <v>78.5</v>
      </c>
      <c r="J293">
        <f>(I293 - VLOOKUP(E293,Desserts!A:D,4,FALSE)) * F293</f>
        <v>4.5</v>
      </c>
    </row>
    <row r="294" spans="1:10" x14ac:dyDescent="0.3">
      <c r="A294" t="s">
        <v>1126</v>
      </c>
      <c r="B294" t="s">
        <v>968</v>
      </c>
      <c r="C294" t="s">
        <v>335</v>
      </c>
      <c r="D294" t="s">
        <v>20</v>
      </c>
      <c r="E294" t="s">
        <v>575</v>
      </c>
      <c r="F294">
        <v>1</v>
      </c>
      <c r="G294">
        <v>145</v>
      </c>
      <c r="H294" t="str">
        <f>IF(VLOOKUP(C294,Customers!A:E,5,FALSE)&gt;=1000,"YES","NO")</f>
        <v>NO</v>
      </c>
      <c r="I294">
        <f t="shared" si="4"/>
        <v>145</v>
      </c>
      <c r="J294">
        <f>(I294 - VLOOKUP(E294,Desserts!A:D,4,FALSE)) * F294</f>
        <v>70</v>
      </c>
    </row>
    <row r="295" spans="1:10" x14ac:dyDescent="0.3">
      <c r="A295" t="s">
        <v>1127</v>
      </c>
      <c r="B295" t="s">
        <v>1128</v>
      </c>
      <c r="C295" t="s">
        <v>515</v>
      </c>
      <c r="D295" t="s">
        <v>43</v>
      </c>
      <c r="E295" t="s">
        <v>541</v>
      </c>
      <c r="F295">
        <v>1</v>
      </c>
      <c r="G295">
        <v>221</v>
      </c>
      <c r="H295" t="str">
        <f>IF(VLOOKUP(C295,Customers!A:E,5,FALSE)&gt;=1000,"YES","NO")</f>
        <v>YES</v>
      </c>
      <c r="I295">
        <f t="shared" si="4"/>
        <v>110.5</v>
      </c>
      <c r="J295">
        <f>(I295 - VLOOKUP(E295,Desserts!A:D,4,FALSE)) * F295</f>
        <v>53.5</v>
      </c>
    </row>
    <row r="296" spans="1:10" x14ac:dyDescent="0.3">
      <c r="A296" t="s">
        <v>1129</v>
      </c>
      <c r="B296" t="s">
        <v>988</v>
      </c>
      <c r="C296" t="s">
        <v>483</v>
      </c>
      <c r="D296" t="s">
        <v>51</v>
      </c>
      <c r="E296" t="s">
        <v>521</v>
      </c>
      <c r="F296">
        <v>4</v>
      </c>
      <c r="G296">
        <v>228</v>
      </c>
      <c r="H296" t="str">
        <f>IF(VLOOKUP(C296,Customers!A:E,5,FALSE)&gt;=1000,"YES","NO")</f>
        <v>YES</v>
      </c>
      <c r="I296">
        <f t="shared" si="4"/>
        <v>114</v>
      </c>
      <c r="J296">
        <f>(I296 - VLOOKUP(E296,Desserts!A:D,4,FALSE)) * F296</f>
        <v>200</v>
      </c>
    </row>
    <row r="297" spans="1:10" x14ac:dyDescent="0.3">
      <c r="A297" t="s">
        <v>1130</v>
      </c>
      <c r="B297" t="s">
        <v>675</v>
      </c>
      <c r="C297" t="s">
        <v>429</v>
      </c>
      <c r="D297" t="s">
        <v>244</v>
      </c>
      <c r="E297" t="s">
        <v>597</v>
      </c>
      <c r="F297">
        <v>2</v>
      </c>
      <c r="G297">
        <v>206</v>
      </c>
      <c r="H297" t="str">
        <f>IF(VLOOKUP(C297,Customers!A:E,5,FALSE)&gt;=1000,"YES","NO")</f>
        <v>YES</v>
      </c>
      <c r="I297">
        <f t="shared" si="4"/>
        <v>103</v>
      </c>
      <c r="J297">
        <f>(I297 - VLOOKUP(E297,Desserts!A:D,4,FALSE)) * F297</f>
        <v>116</v>
      </c>
    </row>
    <row r="298" spans="1:10" x14ac:dyDescent="0.3">
      <c r="A298" t="s">
        <v>1131</v>
      </c>
      <c r="B298" t="s">
        <v>1132</v>
      </c>
      <c r="C298" t="s">
        <v>335</v>
      </c>
      <c r="D298" t="s">
        <v>103</v>
      </c>
      <c r="E298" t="s">
        <v>597</v>
      </c>
      <c r="F298">
        <v>2</v>
      </c>
      <c r="G298">
        <v>221</v>
      </c>
      <c r="H298" t="str">
        <f>IF(VLOOKUP(C298,Customers!A:E,5,FALSE)&gt;=1000,"YES","NO")</f>
        <v>NO</v>
      </c>
      <c r="I298">
        <f t="shared" si="4"/>
        <v>221</v>
      </c>
      <c r="J298">
        <f>(I298 - VLOOKUP(E298,Desserts!A:D,4,FALSE)) * F298</f>
        <v>352</v>
      </c>
    </row>
    <row r="299" spans="1:10" x14ac:dyDescent="0.3">
      <c r="A299" t="s">
        <v>1133</v>
      </c>
      <c r="B299" t="s">
        <v>1134</v>
      </c>
      <c r="C299" t="s">
        <v>393</v>
      </c>
      <c r="D299" t="s">
        <v>247</v>
      </c>
      <c r="E299" t="s">
        <v>613</v>
      </c>
      <c r="F299">
        <v>2</v>
      </c>
      <c r="G299">
        <v>149</v>
      </c>
      <c r="H299" t="str">
        <f>IF(VLOOKUP(C299,Customers!A:E,5,FALSE)&gt;=1000,"YES","NO")</f>
        <v>YES</v>
      </c>
      <c r="I299">
        <f t="shared" si="4"/>
        <v>74.5</v>
      </c>
      <c r="J299">
        <f>(I299 - VLOOKUP(E299,Desserts!A:D,4,FALSE)) * F299</f>
        <v>-21</v>
      </c>
    </row>
    <row r="300" spans="1:10" x14ac:dyDescent="0.3">
      <c r="A300" t="s">
        <v>1135</v>
      </c>
      <c r="B300" t="s">
        <v>1136</v>
      </c>
      <c r="C300" t="s">
        <v>461</v>
      </c>
      <c r="D300" t="s">
        <v>106</v>
      </c>
      <c r="E300" t="s">
        <v>603</v>
      </c>
      <c r="F300">
        <v>3</v>
      </c>
      <c r="G300">
        <v>110</v>
      </c>
      <c r="H300" t="str">
        <f>IF(VLOOKUP(C300,Customers!A:E,5,FALSE)&gt;=1000,"YES","NO")</f>
        <v>YES</v>
      </c>
      <c r="I300">
        <f t="shared" si="4"/>
        <v>55</v>
      </c>
      <c r="J300">
        <f>(I300 - VLOOKUP(E300,Desserts!A:D,4,FALSE)) * F300</f>
        <v>-102</v>
      </c>
    </row>
    <row r="301" spans="1:10" x14ac:dyDescent="0.3">
      <c r="A301" t="s">
        <v>1137</v>
      </c>
      <c r="B301" t="s">
        <v>1138</v>
      </c>
      <c r="C301" t="s">
        <v>467</v>
      </c>
      <c r="D301" t="s">
        <v>106</v>
      </c>
      <c r="E301" t="s">
        <v>603</v>
      </c>
      <c r="F301">
        <v>2</v>
      </c>
      <c r="G301">
        <v>224</v>
      </c>
      <c r="H301" t="str">
        <f>IF(VLOOKUP(C301,Customers!A:E,5,FALSE)&gt;=1000,"YES","NO")</f>
        <v>YES</v>
      </c>
      <c r="I301">
        <f t="shared" si="4"/>
        <v>112</v>
      </c>
      <c r="J301">
        <f>(I301 - VLOOKUP(E301,Desserts!A:D,4,FALSE)) * F301</f>
        <v>46</v>
      </c>
    </row>
    <row r="302" spans="1:10" x14ac:dyDescent="0.3">
      <c r="A302" t="s">
        <v>1139</v>
      </c>
      <c r="B302" t="s">
        <v>1140</v>
      </c>
      <c r="C302" t="s">
        <v>389</v>
      </c>
      <c r="D302" t="s">
        <v>214</v>
      </c>
      <c r="E302" t="s">
        <v>589</v>
      </c>
      <c r="F302">
        <v>5</v>
      </c>
      <c r="G302">
        <v>189</v>
      </c>
      <c r="H302" t="str">
        <f>IF(VLOOKUP(C302,Customers!A:E,5,FALSE)&gt;=1000,"YES","NO")</f>
        <v>YES</v>
      </c>
      <c r="I302">
        <f t="shared" si="4"/>
        <v>94.5</v>
      </c>
      <c r="J302">
        <f>(I302 - VLOOKUP(E302,Desserts!A:D,4,FALSE)) * F302</f>
        <v>117.5</v>
      </c>
    </row>
    <row r="303" spans="1:10" x14ac:dyDescent="0.3">
      <c r="A303" t="s">
        <v>1141</v>
      </c>
      <c r="B303" t="s">
        <v>1142</v>
      </c>
      <c r="C303" t="s">
        <v>501</v>
      </c>
      <c r="D303" t="s">
        <v>115</v>
      </c>
      <c r="E303" t="s">
        <v>573</v>
      </c>
      <c r="F303">
        <v>2</v>
      </c>
      <c r="G303">
        <v>237</v>
      </c>
      <c r="H303" t="str">
        <f>IF(VLOOKUP(C303,Customers!A:E,5,FALSE)&gt;=1000,"YES","NO")</f>
        <v>YES</v>
      </c>
      <c r="I303">
        <f t="shared" si="4"/>
        <v>118.5</v>
      </c>
      <c r="J303">
        <f>(I303 - VLOOKUP(E303,Desserts!A:D,4,FALSE)) * F303</f>
        <v>137</v>
      </c>
    </row>
    <row r="304" spans="1:10" x14ac:dyDescent="0.3">
      <c r="A304" t="s">
        <v>1143</v>
      </c>
      <c r="B304" t="s">
        <v>988</v>
      </c>
      <c r="C304" t="s">
        <v>337</v>
      </c>
      <c r="D304" t="s">
        <v>136</v>
      </c>
      <c r="E304" t="s">
        <v>553</v>
      </c>
      <c r="F304">
        <v>4</v>
      </c>
      <c r="G304">
        <v>180</v>
      </c>
      <c r="H304" t="str">
        <f>IF(VLOOKUP(C304,Customers!A:E,5,FALSE)&gt;=1000,"YES","NO")</f>
        <v>NO</v>
      </c>
      <c r="I304">
        <f t="shared" si="4"/>
        <v>180</v>
      </c>
      <c r="J304">
        <f>(I304 - VLOOKUP(E304,Desserts!A:D,4,FALSE)) * F304</f>
        <v>480</v>
      </c>
    </row>
    <row r="305" spans="1:10" x14ac:dyDescent="0.3">
      <c r="A305" t="s">
        <v>1144</v>
      </c>
      <c r="B305" t="s">
        <v>1145</v>
      </c>
      <c r="C305" t="s">
        <v>387</v>
      </c>
      <c r="D305" t="s">
        <v>208</v>
      </c>
      <c r="E305" t="s">
        <v>549</v>
      </c>
      <c r="F305">
        <v>3</v>
      </c>
      <c r="G305">
        <v>162</v>
      </c>
      <c r="H305" t="str">
        <f>IF(VLOOKUP(C305,Customers!A:E,5,FALSE)&gt;=1000,"YES","NO")</f>
        <v>NO</v>
      </c>
      <c r="I305">
        <f t="shared" si="4"/>
        <v>162</v>
      </c>
      <c r="J305">
        <f>(I305 - VLOOKUP(E305,Desserts!A:D,4,FALSE)) * F305</f>
        <v>249</v>
      </c>
    </row>
    <row r="306" spans="1:10" x14ac:dyDescent="0.3">
      <c r="A306" t="s">
        <v>1146</v>
      </c>
      <c r="B306" t="s">
        <v>1147</v>
      </c>
      <c r="C306" t="s">
        <v>335</v>
      </c>
      <c r="D306" t="s">
        <v>214</v>
      </c>
      <c r="E306" t="s">
        <v>607</v>
      </c>
      <c r="F306">
        <v>4</v>
      </c>
      <c r="G306">
        <v>138</v>
      </c>
      <c r="H306" t="str">
        <f>IF(VLOOKUP(C306,Customers!A:E,5,FALSE)&gt;=1000,"YES","NO")</f>
        <v>NO</v>
      </c>
      <c r="I306">
        <f t="shared" si="4"/>
        <v>138</v>
      </c>
      <c r="J306">
        <f>(I306 - VLOOKUP(E306,Desserts!A:D,4,FALSE)) * F306</f>
        <v>272</v>
      </c>
    </row>
    <row r="307" spans="1:10" x14ac:dyDescent="0.3">
      <c r="A307" t="s">
        <v>1148</v>
      </c>
      <c r="B307" t="s">
        <v>1149</v>
      </c>
      <c r="C307" t="s">
        <v>319</v>
      </c>
      <c r="D307" t="s">
        <v>115</v>
      </c>
      <c r="E307" t="s">
        <v>603</v>
      </c>
      <c r="F307">
        <v>3</v>
      </c>
      <c r="G307">
        <v>174</v>
      </c>
      <c r="H307" t="str">
        <f>IF(VLOOKUP(C307,Customers!A:E,5,FALSE)&gt;=1000,"YES","NO")</f>
        <v>YES</v>
      </c>
      <c r="I307">
        <f t="shared" si="4"/>
        <v>87</v>
      </c>
      <c r="J307">
        <f>(I307 - VLOOKUP(E307,Desserts!A:D,4,FALSE)) * F307</f>
        <v>-6</v>
      </c>
    </row>
    <row r="308" spans="1:10" x14ac:dyDescent="0.3">
      <c r="A308" t="s">
        <v>1150</v>
      </c>
      <c r="B308" t="s">
        <v>1151</v>
      </c>
      <c r="C308" t="s">
        <v>491</v>
      </c>
      <c r="D308" t="s">
        <v>301</v>
      </c>
      <c r="E308" t="s">
        <v>613</v>
      </c>
      <c r="F308">
        <v>3</v>
      </c>
      <c r="G308">
        <v>119</v>
      </c>
      <c r="H308" t="str">
        <f>IF(VLOOKUP(C308,Customers!A:E,5,FALSE)&gt;=1000,"YES","NO")</f>
        <v>NO</v>
      </c>
      <c r="I308">
        <f t="shared" si="4"/>
        <v>119</v>
      </c>
      <c r="J308">
        <f>(I308 - VLOOKUP(E308,Desserts!A:D,4,FALSE)) * F308</f>
        <v>102</v>
      </c>
    </row>
    <row r="309" spans="1:10" x14ac:dyDescent="0.3">
      <c r="A309" t="s">
        <v>1152</v>
      </c>
      <c r="B309" t="s">
        <v>1153</v>
      </c>
      <c r="C309" t="s">
        <v>503</v>
      </c>
      <c r="D309" t="s">
        <v>193</v>
      </c>
      <c r="E309" t="s">
        <v>611</v>
      </c>
      <c r="F309">
        <v>5</v>
      </c>
      <c r="G309">
        <v>111</v>
      </c>
      <c r="H309" t="str">
        <f>IF(VLOOKUP(C309,Customers!A:E,5,FALSE)&gt;=1000,"YES","NO")</f>
        <v>NO</v>
      </c>
      <c r="I309">
        <f t="shared" si="4"/>
        <v>111</v>
      </c>
      <c r="J309">
        <f>(I309 - VLOOKUP(E309,Desserts!A:D,4,FALSE)) * F309</f>
        <v>340</v>
      </c>
    </row>
    <row r="310" spans="1:10" x14ac:dyDescent="0.3">
      <c r="A310" t="s">
        <v>1154</v>
      </c>
      <c r="B310" t="s">
        <v>1155</v>
      </c>
      <c r="C310" t="s">
        <v>389</v>
      </c>
      <c r="D310" t="s">
        <v>133</v>
      </c>
      <c r="E310" t="s">
        <v>609</v>
      </c>
      <c r="F310">
        <v>2</v>
      </c>
      <c r="G310">
        <v>147</v>
      </c>
      <c r="H310" t="str">
        <f>IF(VLOOKUP(C310,Customers!A:E,5,FALSE)&gt;=1000,"YES","NO")</f>
        <v>YES</v>
      </c>
      <c r="I310">
        <f t="shared" si="4"/>
        <v>73.5</v>
      </c>
      <c r="J310">
        <f>(I310 - VLOOKUP(E310,Desserts!A:D,4,FALSE)) * F310</f>
        <v>19</v>
      </c>
    </row>
    <row r="311" spans="1:10" x14ac:dyDescent="0.3">
      <c r="A311" t="s">
        <v>1156</v>
      </c>
      <c r="B311" t="s">
        <v>761</v>
      </c>
      <c r="C311" t="s">
        <v>379</v>
      </c>
      <c r="D311" t="s">
        <v>118</v>
      </c>
      <c r="E311" t="s">
        <v>615</v>
      </c>
      <c r="F311">
        <v>4</v>
      </c>
      <c r="G311">
        <v>156</v>
      </c>
      <c r="H311" t="str">
        <f>IF(VLOOKUP(C311,Customers!A:E,5,FALSE)&gt;=1000,"YES","NO")</f>
        <v>NO</v>
      </c>
      <c r="I311">
        <f t="shared" si="4"/>
        <v>156</v>
      </c>
      <c r="J311">
        <f>(I311 - VLOOKUP(E311,Desserts!A:D,4,FALSE)) * F311</f>
        <v>456</v>
      </c>
    </row>
    <row r="312" spans="1:10" x14ac:dyDescent="0.3">
      <c r="A312" t="s">
        <v>1157</v>
      </c>
      <c r="B312" t="s">
        <v>1158</v>
      </c>
      <c r="C312" t="s">
        <v>337</v>
      </c>
      <c r="D312" t="s">
        <v>13</v>
      </c>
      <c r="E312" t="s">
        <v>521</v>
      </c>
      <c r="F312">
        <v>1</v>
      </c>
      <c r="G312">
        <v>225</v>
      </c>
      <c r="H312" t="str">
        <f>IF(VLOOKUP(C312,Customers!A:E,5,FALSE)&gt;=1000,"YES","NO")</f>
        <v>NO</v>
      </c>
      <c r="I312">
        <f t="shared" si="4"/>
        <v>225</v>
      </c>
      <c r="J312">
        <f>(I312 - VLOOKUP(E312,Desserts!A:D,4,FALSE)) * F312</f>
        <v>161</v>
      </c>
    </row>
    <row r="313" spans="1:10" x14ac:dyDescent="0.3">
      <c r="A313" t="s">
        <v>1159</v>
      </c>
      <c r="B313" t="s">
        <v>899</v>
      </c>
      <c r="C313" t="s">
        <v>457</v>
      </c>
      <c r="D313" t="s">
        <v>37</v>
      </c>
      <c r="E313" t="s">
        <v>599</v>
      </c>
      <c r="F313">
        <v>2</v>
      </c>
      <c r="G313">
        <v>213</v>
      </c>
      <c r="H313" t="str">
        <f>IF(VLOOKUP(C313,Customers!A:E,5,FALSE)&gt;=1000,"YES","NO")</f>
        <v>YES</v>
      </c>
      <c r="I313">
        <f t="shared" si="4"/>
        <v>106.5</v>
      </c>
      <c r="J313">
        <f>(I313 - VLOOKUP(E313,Desserts!A:D,4,FALSE)) * F313</f>
        <v>53</v>
      </c>
    </row>
    <row r="314" spans="1:10" x14ac:dyDescent="0.3">
      <c r="A314" t="s">
        <v>1160</v>
      </c>
      <c r="B314" t="s">
        <v>1161</v>
      </c>
      <c r="C314" t="s">
        <v>495</v>
      </c>
      <c r="D314" t="s">
        <v>208</v>
      </c>
      <c r="E314" t="s">
        <v>533</v>
      </c>
      <c r="F314">
        <v>1</v>
      </c>
      <c r="G314">
        <v>247</v>
      </c>
      <c r="H314" t="str">
        <f>IF(VLOOKUP(C314,Customers!A:E,5,FALSE)&gt;=1000,"YES","NO")</f>
        <v>NO</v>
      </c>
      <c r="I314">
        <f t="shared" si="4"/>
        <v>247</v>
      </c>
      <c r="J314">
        <f>(I314 - VLOOKUP(E314,Desserts!A:D,4,FALSE)) * F314</f>
        <v>180</v>
      </c>
    </row>
    <row r="315" spans="1:10" x14ac:dyDescent="0.3">
      <c r="A315" t="s">
        <v>1162</v>
      </c>
      <c r="B315" t="s">
        <v>1163</v>
      </c>
      <c r="C315" t="s">
        <v>445</v>
      </c>
      <c r="D315" t="s">
        <v>301</v>
      </c>
      <c r="E315" t="s">
        <v>559</v>
      </c>
      <c r="F315">
        <v>2</v>
      </c>
      <c r="G315">
        <v>245</v>
      </c>
      <c r="H315" t="str">
        <f>IF(VLOOKUP(C315,Customers!A:E,5,FALSE)&gt;=1000,"YES","NO")</f>
        <v>NO</v>
      </c>
      <c r="I315">
        <f t="shared" si="4"/>
        <v>245</v>
      </c>
      <c r="J315">
        <f>(I315 - VLOOKUP(E315,Desserts!A:D,4,FALSE)) * F315</f>
        <v>380</v>
      </c>
    </row>
    <row r="316" spans="1:10" x14ac:dyDescent="0.3">
      <c r="A316" t="s">
        <v>1164</v>
      </c>
      <c r="B316" t="s">
        <v>733</v>
      </c>
      <c r="C316" t="s">
        <v>429</v>
      </c>
      <c r="D316" t="s">
        <v>175</v>
      </c>
      <c r="E316" t="s">
        <v>559</v>
      </c>
      <c r="F316">
        <v>2</v>
      </c>
      <c r="G316">
        <v>130</v>
      </c>
      <c r="H316" t="str">
        <f>IF(VLOOKUP(C316,Customers!A:E,5,FALSE)&gt;=1000,"YES","NO")</f>
        <v>YES</v>
      </c>
      <c r="I316">
        <f t="shared" si="4"/>
        <v>65</v>
      </c>
      <c r="J316">
        <f>(I316 - VLOOKUP(E316,Desserts!A:D,4,FALSE)) * F316</f>
        <v>20</v>
      </c>
    </row>
    <row r="317" spans="1:10" x14ac:dyDescent="0.3">
      <c r="A317" t="s">
        <v>1165</v>
      </c>
      <c r="B317" t="s">
        <v>955</v>
      </c>
      <c r="C317" t="s">
        <v>369</v>
      </c>
      <c r="D317" t="s">
        <v>256</v>
      </c>
      <c r="E317" t="s">
        <v>575</v>
      </c>
      <c r="F317">
        <v>1</v>
      </c>
      <c r="G317">
        <v>200</v>
      </c>
      <c r="H317" t="str">
        <f>IF(VLOOKUP(C317,Customers!A:E,5,FALSE)&gt;=1000,"YES","NO")</f>
        <v>YES</v>
      </c>
      <c r="I317">
        <f t="shared" si="4"/>
        <v>100</v>
      </c>
      <c r="J317">
        <f>(I317 - VLOOKUP(E317,Desserts!A:D,4,FALSE)) * F317</f>
        <v>25</v>
      </c>
    </row>
    <row r="318" spans="1:10" x14ac:dyDescent="0.3">
      <c r="A318" t="s">
        <v>1166</v>
      </c>
      <c r="B318" t="s">
        <v>1167</v>
      </c>
      <c r="C318" t="s">
        <v>385</v>
      </c>
      <c r="D318" t="s">
        <v>214</v>
      </c>
      <c r="E318" t="s">
        <v>575</v>
      </c>
      <c r="F318">
        <v>3</v>
      </c>
      <c r="G318">
        <v>244</v>
      </c>
      <c r="H318" t="str">
        <f>IF(VLOOKUP(C318,Customers!A:E,5,FALSE)&gt;=1000,"YES","NO")</f>
        <v>YES</v>
      </c>
      <c r="I318">
        <f t="shared" si="4"/>
        <v>122</v>
      </c>
      <c r="J318">
        <f>(I318 - VLOOKUP(E318,Desserts!A:D,4,FALSE)) * F318</f>
        <v>141</v>
      </c>
    </row>
    <row r="319" spans="1:10" x14ac:dyDescent="0.3">
      <c r="A319" t="s">
        <v>1168</v>
      </c>
      <c r="B319" t="s">
        <v>1169</v>
      </c>
      <c r="C319" t="s">
        <v>429</v>
      </c>
      <c r="D319" t="s">
        <v>211</v>
      </c>
      <c r="E319" t="s">
        <v>603</v>
      </c>
      <c r="F319">
        <v>5</v>
      </c>
      <c r="G319">
        <v>246</v>
      </c>
      <c r="H319" t="str">
        <f>IF(VLOOKUP(C319,Customers!A:E,5,FALSE)&gt;=1000,"YES","NO")</f>
        <v>YES</v>
      </c>
      <c r="I319">
        <f t="shared" si="4"/>
        <v>123</v>
      </c>
      <c r="J319">
        <f>(I319 - VLOOKUP(E319,Desserts!A:D,4,FALSE)) * F319</f>
        <v>170</v>
      </c>
    </row>
    <row r="320" spans="1:10" x14ac:dyDescent="0.3">
      <c r="A320" t="s">
        <v>1170</v>
      </c>
      <c r="B320" t="s">
        <v>959</v>
      </c>
      <c r="C320" t="s">
        <v>323</v>
      </c>
      <c r="D320" t="s">
        <v>229</v>
      </c>
      <c r="E320" t="s">
        <v>597</v>
      </c>
      <c r="F320">
        <v>4</v>
      </c>
      <c r="G320">
        <v>119</v>
      </c>
      <c r="H320" t="str">
        <f>IF(VLOOKUP(C320,Customers!A:E,5,FALSE)&gt;=1000,"YES","NO")</f>
        <v>NO</v>
      </c>
      <c r="I320">
        <f t="shared" si="4"/>
        <v>119</v>
      </c>
      <c r="J320">
        <f>(I320 - VLOOKUP(E320,Desserts!A:D,4,FALSE)) * F320</f>
        <v>296</v>
      </c>
    </row>
    <row r="321" spans="1:10" x14ac:dyDescent="0.3">
      <c r="A321" t="s">
        <v>1171</v>
      </c>
      <c r="B321" t="s">
        <v>653</v>
      </c>
      <c r="C321" t="s">
        <v>375</v>
      </c>
      <c r="D321" t="s">
        <v>235</v>
      </c>
      <c r="E321" t="s">
        <v>577</v>
      </c>
      <c r="F321">
        <v>4</v>
      </c>
      <c r="G321">
        <v>121</v>
      </c>
      <c r="H321" t="str">
        <f>IF(VLOOKUP(C321,Customers!A:E,5,FALSE)&gt;=1000,"YES","NO")</f>
        <v>NO</v>
      </c>
      <c r="I321">
        <f t="shared" si="4"/>
        <v>121</v>
      </c>
      <c r="J321">
        <f>(I321 - VLOOKUP(E321,Desserts!A:D,4,FALSE)) * F321</f>
        <v>204</v>
      </c>
    </row>
    <row r="322" spans="1:10" x14ac:dyDescent="0.3">
      <c r="A322" t="s">
        <v>1172</v>
      </c>
      <c r="B322" t="s">
        <v>867</v>
      </c>
      <c r="C322" t="s">
        <v>473</v>
      </c>
      <c r="D322" t="s">
        <v>109</v>
      </c>
      <c r="E322" t="s">
        <v>577</v>
      </c>
      <c r="F322">
        <v>3</v>
      </c>
      <c r="G322">
        <v>155</v>
      </c>
      <c r="H322" t="str">
        <f>IF(VLOOKUP(C322,Customers!A:E,5,FALSE)&gt;=1000,"YES","NO")</f>
        <v>NO</v>
      </c>
      <c r="I322">
        <f t="shared" ref="I322:I385" si="5">IF(H322="YES",G322*0.5,G322)</f>
        <v>155</v>
      </c>
      <c r="J322">
        <f>(I322 - VLOOKUP(E322,Desserts!A:D,4,FALSE)) * F322</f>
        <v>255</v>
      </c>
    </row>
    <row r="323" spans="1:10" x14ac:dyDescent="0.3">
      <c r="A323" t="s">
        <v>1173</v>
      </c>
      <c r="B323" t="s">
        <v>1174</v>
      </c>
      <c r="C323" t="s">
        <v>343</v>
      </c>
      <c r="D323" t="s">
        <v>256</v>
      </c>
      <c r="E323" t="s">
        <v>583</v>
      </c>
      <c r="F323">
        <v>2</v>
      </c>
      <c r="G323">
        <v>250</v>
      </c>
      <c r="H323" t="str">
        <f>IF(VLOOKUP(C323,Customers!A:E,5,FALSE)&gt;=1000,"YES","NO")</f>
        <v>YES</v>
      </c>
      <c r="I323">
        <f t="shared" si="5"/>
        <v>125</v>
      </c>
      <c r="J323">
        <f>(I323 - VLOOKUP(E323,Desserts!A:D,4,FALSE)) * F323</f>
        <v>84</v>
      </c>
    </row>
    <row r="324" spans="1:10" x14ac:dyDescent="0.3">
      <c r="A324" t="s">
        <v>1175</v>
      </c>
      <c r="B324" t="s">
        <v>751</v>
      </c>
      <c r="C324" t="s">
        <v>445</v>
      </c>
      <c r="D324" t="s">
        <v>103</v>
      </c>
      <c r="E324" t="s">
        <v>547</v>
      </c>
      <c r="F324">
        <v>5</v>
      </c>
      <c r="G324">
        <v>224</v>
      </c>
      <c r="H324" t="str">
        <f>IF(VLOOKUP(C324,Customers!A:E,5,FALSE)&gt;=1000,"YES","NO")</f>
        <v>NO</v>
      </c>
      <c r="I324">
        <f t="shared" si="5"/>
        <v>224</v>
      </c>
      <c r="J324">
        <f>(I324 - VLOOKUP(E324,Desserts!A:D,4,FALSE)) * F324</f>
        <v>870</v>
      </c>
    </row>
    <row r="325" spans="1:10" x14ac:dyDescent="0.3">
      <c r="A325" t="s">
        <v>1176</v>
      </c>
      <c r="B325" t="s">
        <v>1177</v>
      </c>
      <c r="C325" t="s">
        <v>487</v>
      </c>
      <c r="D325" t="s">
        <v>47</v>
      </c>
      <c r="E325" t="s">
        <v>559</v>
      </c>
      <c r="F325">
        <v>2</v>
      </c>
      <c r="G325">
        <v>203</v>
      </c>
      <c r="H325" t="str">
        <f>IF(VLOOKUP(C325,Customers!A:E,5,FALSE)&gt;=1000,"YES","NO")</f>
        <v>NO</v>
      </c>
      <c r="I325">
        <f t="shared" si="5"/>
        <v>203</v>
      </c>
      <c r="J325">
        <f>(I325 - VLOOKUP(E325,Desserts!A:D,4,FALSE)) * F325</f>
        <v>296</v>
      </c>
    </row>
    <row r="326" spans="1:10" x14ac:dyDescent="0.3">
      <c r="A326" t="s">
        <v>1178</v>
      </c>
      <c r="B326" t="s">
        <v>759</v>
      </c>
      <c r="C326" t="s">
        <v>501</v>
      </c>
      <c r="D326" t="s">
        <v>310</v>
      </c>
      <c r="E326" t="s">
        <v>589</v>
      </c>
      <c r="F326">
        <v>3</v>
      </c>
      <c r="G326">
        <v>159</v>
      </c>
      <c r="H326" t="str">
        <f>IF(VLOOKUP(C326,Customers!A:E,5,FALSE)&gt;=1000,"YES","NO")</f>
        <v>YES</v>
      </c>
      <c r="I326">
        <f t="shared" si="5"/>
        <v>79.5</v>
      </c>
      <c r="J326">
        <f>(I326 - VLOOKUP(E326,Desserts!A:D,4,FALSE)) * F326</f>
        <v>25.5</v>
      </c>
    </row>
    <row r="327" spans="1:10" x14ac:dyDescent="0.3">
      <c r="A327" t="s">
        <v>1179</v>
      </c>
      <c r="B327" t="s">
        <v>998</v>
      </c>
      <c r="C327" t="s">
        <v>515</v>
      </c>
      <c r="D327" t="s">
        <v>169</v>
      </c>
      <c r="E327" t="s">
        <v>607</v>
      </c>
      <c r="F327">
        <v>5</v>
      </c>
      <c r="G327">
        <v>139</v>
      </c>
      <c r="H327" t="str">
        <f>IF(VLOOKUP(C327,Customers!A:E,5,FALSE)&gt;=1000,"YES","NO")</f>
        <v>YES</v>
      </c>
      <c r="I327">
        <f t="shared" si="5"/>
        <v>69.5</v>
      </c>
      <c r="J327">
        <f>(I327 - VLOOKUP(E327,Desserts!A:D,4,FALSE)) * F327</f>
        <v>-2.5</v>
      </c>
    </row>
    <row r="328" spans="1:10" x14ac:dyDescent="0.3">
      <c r="A328" t="s">
        <v>1180</v>
      </c>
      <c r="B328" t="s">
        <v>798</v>
      </c>
      <c r="C328" t="s">
        <v>367</v>
      </c>
      <c r="D328" t="s">
        <v>72</v>
      </c>
      <c r="E328" t="s">
        <v>595</v>
      </c>
      <c r="F328">
        <v>4</v>
      </c>
      <c r="G328">
        <v>177</v>
      </c>
      <c r="H328" t="str">
        <f>IF(VLOOKUP(C328,Customers!A:E,5,FALSE)&gt;=1000,"YES","NO")</f>
        <v>NO</v>
      </c>
      <c r="I328">
        <f t="shared" si="5"/>
        <v>177</v>
      </c>
      <c r="J328">
        <f>(I328 - VLOOKUP(E328,Desserts!A:D,4,FALSE)) * F328</f>
        <v>428</v>
      </c>
    </row>
    <row r="329" spans="1:10" x14ac:dyDescent="0.3">
      <c r="A329" t="s">
        <v>1181</v>
      </c>
      <c r="B329" t="s">
        <v>847</v>
      </c>
      <c r="C329" t="s">
        <v>497</v>
      </c>
      <c r="D329" t="s">
        <v>118</v>
      </c>
      <c r="E329" t="s">
        <v>589</v>
      </c>
      <c r="F329">
        <v>4</v>
      </c>
      <c r="G329">
        <v>224</v>
      </c>
      <c r="H329" t="str">
        <f>IF(VLOOKUP(C329,Customers!A:E,5,FALSE)&gt;=1000,"YES","NO")</f>
        <v>NO</v>
      </c>
      <c r="I329">
        <f t="shared" si="5"/>
        <v>224</v>
      </c>
      <c r="J329">
        <f>(I329 - VLOOKUP(E329,Desserts!A:D,4,FALSE)) * F329</f>
        <v>612</v>
      </c>
    </row>
    <row r="330" spans="1:10" x14ac:dyDescent="0.3">
      <c r="A330" t="s">
        <v>1182</v>
      </c>
      <c r="B330" t="s">
        <v>1183</v>
      </c>
      <c r="C330" t="s">
        <v>375</v>
      </c>
      <c r="D330" t="s">
        <v>256</v>
      </c>
      <c r="E330" t="s">
        <v>583</v>
      </c>
      <c r="F330">
        <v>5</v>
      </c>
      <c r="G330">
        <v>138</v>
      </c>
      <c r="H330" t="str">
        <f>IF(VLOOKUP(C330,Customers!A:E,5,FALSE)&gt;=1000,"YES","NO")</f>
        <v>NO</v>
      </c>
      <c r="I330">
        <f t="shared" si="5"/>
        <v>138</v>
      </c>
      <c r="J330">
        <f>(I330 - VLOOKUP(E330,Desserts!A:D,4,FALSE)) * F330</f>
        <v>275</v>
      </c>
    </row>
    <row r="331" spans="1:10" x14ac:dyDescent="0.3">
      <c r="A331" t="s">
        <v>1184</v>
      </c>
      <c r="B331" t="s">
        <v>1185</v>
      </c>
      <c r="C331" t="s">
        <v>385</v>
      </c>
      <c r="D331" t="s">
        <v>277</v>
      </c>
      <c r="E331" t="s">
        <v>527</v>
      </c>
      <c r="F331">
        <v>2</v>
      </c>
      <c r="G331">
        <v>229</v>
      </c>
      <c r="H331" t="str">
        <f>IF(VLOOKUP(C331,Customers!A:E,5,FALSE)&gt;=1000,"YES","NO")</f>
        <v>YES</v>
      </c>
      <c r="I331">
        <f t="shared" si="5"/>
        <v>114.5</v>
      </c>
      <c r="J331">
        <f>(I331 - VLOOKUP(E331,Desserts!A:D,4,FALSE)) * F331</f>
        <v>143</v>
      </c>
    </row>
    <row r="332" spans="1:10" x14ac:dyDescent="0.3">
      <c r="A332" t="s">
        <v>1186</v>
      </c>
      <c r="B332" t="s">
        <v>1153</v>
      </c>
      <c r="C332" t="s">
        <v>501</v>
      </c>
      <c r="D332" t="s">
        <v>54</v>
      </c>
      <c r="E332" t="s">
        <v>601</v>
      </c>
      <c r="F332">
        <v>4</v>
      </c>
      <c r="G332">
        <v>102</v>
      </c>
      <c r="H332" t="str">
        <f>IF(VLOOKUP(C332,Customers!A:E,5,FALSE)&gt;=1000,"YES","NO")</f>
        <v>YES</v>
      </c>
      <c r="I332">
        <f t="shared" si="5"/>
        <v>51</v>
      </c>
      <c r="J332">
        <f>(I332 - VLOOKUP(E332,Desserts!A:D,4,FALSE)) * F332</f>
        <v>-16</v>
      </c>
    </row>
    <row r="333" spans="1:10" x14ac:dyDescent="0.3">
      <c r="A333" t="s">
        <v>1187</v>
      </c>
      <c r="B333" t="s">
        <v>1188</v>
      </c>
      <c r="C333" t="s">
        <v>369</v>
      </c>
      <c r="D333" t="s">
        <v>289</v>
      </c>
      <c r="E333" t="s">
        <v>535</v>
      </c>
      <c r="F333">
        <v>5</v>
      </c>
      <c r="G333">
        <v>222</v>
      </c>
      <c r="H333" t="str">
        <f>IF(VLOOKUP(C333,Customers!A:E,5,FALSE)&gt;=1000,"YES","NO")</f>
        <v>YES</v>
      </c>
      <c r="I333">
        <f t="shared" si="5"/>
        <v>111</v>
      </c>
      <c r="J333">
        <f>(I333 - VLOOKUP(E333,Desserts!A:D,4,FALSE)) * F333</f>
        <v>185</v>
      </c>
    </row>
    <row r="334" spans="1:10" x14ac:dyDescent="0.3">
      <c r="A334" t="s">
        <v>1189</v>
      </c>
      <c r="B334" t="s">
        <v>1190</v>
      </c>
      <c r="C334" t="s">
        <v>387</v>
      </c>
      <c r="D334" t="s">
        <v>268</v>
      </c>
      <c r="E334" t="s">
        <v>573</v>
      </c>
      <c r="F334">
        <v>3</v>
      </c>
      <c r="G334">
        <v>229</v>
      </c>
      <c r="H334" t="str">
        <f>IF(VLOOKUP(C334,Customers!A:E,5,FALSE)&gt;=1000,"YES","NO")</f>
        <v>NO</v>
      </c>
      <c r="I334">
        <f t="shared" si="5"/>
        <v>229</v>
      </c>
      <c r="J334">
        <f>(I334 - VLOOKUP(E334,Desserts!A:D,4,FALSE)) * F334</f>
        <v>537</v>
      </c>
    </row>
    <row r="335" spans="1:10" x14ac:dyDescent="0.3">
      <c r="A335" t="s">
        <v>1191</v>
      </c>
      <c r="B335" t="s">
        <v>886</v>
      </c>
      <c r="C335" t="s">
        <v>395</v>
      </c>
      <c r="D335" t="s">
        <v>88</v>
      </c>
      <c r="E335" t="s">
        <v>593</v>
      </c>
      <c r="F335">
        <v>2</v>
      </c>
      <c r="G335">
        <v>246</v>
      </c>
      <c r="H335" t="str">
        <f>IF(VLOOKUP(C335,Customers!A:E,5,FALSE)&gt;=1000,"YES","NO")</f>
        <v>NO</v>
      </c>
      <c r="I335">
        <f t="shared" si="5"/>
        <v>246</v>
      </c>
      <c r="J335">
        <f>(I335 - VLOOKUP(E335,Desserts!A:D,4,FALSE)) * F335</f>
        <v>384</v>
      </c>
    </row>
    <row r="336" spans="1:10" x14ac:dyDescent="0.3">
      <c r="A336" t="s">
        <v>1192</v>
      </c>
      <c r="B336" t="s">
        <v>687</v>
      </c>
      <c r="C336" t="s">
        <v>351</v>
      </c>
      <c r="D336" t="s">
        <v>286</v>
      </c>
      <c r="E336" t="s">
        <v>529</v>
      </c>
      <c r="F336">
        <v>5</v>
      </c>
      <c r="G336">
        <v>145</v>
      </c>
      <c r="H336" t="str">
        <f>IF(VLOOKUP(C336,Customers!A:E,5,FALSE)&gt;=1000,"YES","NO")</f>
        <v>NO</v>
      </c>
      <c r="I336">
        <f t="shared" si="5"/>
        <v>145</v>
      </c>
      <c r="J336">
        <f>(I336 - VLOOKUP(E336,Desserts!A:D,4,FALSE)) * F336</f>
        <v>385</v>
      </c>
    </row>
    <row r="337" spans="1:10" x14ac:dyDescent="0.3">
      <c r="A337" t="s">
        <v>1193</v>
      </c>
      <c r="B337" t="s">
        <v>1194</v>
      </c>
      <c r="C337" t="s">
        <v>419</v>
      </c>
      <c r="D337" t="s">
        <v>139</v>
      </c>
      <c r="E337" t="s">
        <v>547</v>
      </c>
      <c r="F337">
        <v>5</v>
      </c>
      <c r="G337">
        <v>222</v>
      </c>
      <c r="H337" t="str">
        <f>IF(VLOOKUP(C337,Customers!A:E,5,FALSE)&gt;=1000,"YES","NO")</f>
        <v>NO</v>
      </c>
      <c r="I337">
        <f t="shared" si="5"/>
        <v>222</v>
      </c>
      <c r="J337">
        <f>(I337 - VLOOKUP(E337,Desserts!A:D,4,FALSE)) * F337</f>
        <v>860</v>
      </c>
    </row>
    <row r="338" spans="1:10" x14ac:dyDescent="0.3">
      <c r="A338" t="s">
        <v>1195</v>
      </c>
      <c r="B338" t="s">
        <v>1196</v>
      </c>
      <c r="C338" t="s">
        <v>479</v>
      </c>
      <c r="D338" t="s">
        <v>5</v>
      </c>
      <c r="E338" t="s">
        <v>557</v>
      </c>
      <c r="F338">
        <v>4</v>
      </c>
      <c r="G338">
        <v>149</v>
      </c>
      <c r="H338" t="str">
        <f>IF(VLOOKUP(C338,Customers!A:E,5,FALSE)&gt;=1000,"YES","NO")</f>
        <v>YES</v>
      </c>
      <c r="I338">
        <f t="shared" si="5"/>
        <v>74.5</v>
      </c>
      <c r="J338">
        <f>(I338 - VLOOKUP(E338,Desserts!A:D,4,FALSE)) * F338</f>
        <v>-38</v>
      </c>
    </row>
    <row r="339" spans="1:10" x14ac:dyDescent="0.3">
      <c r="A339" t="s">
        <v>1197</v>
      </c>
      <c r="B339" t="s">
        <v>1128</v>
      </c>
      <c r="C339" t="s">
        <v>373</v>
      </c>
      <c r="D339" t="s">
        <v>298</v>
      </c>
      <c r="E339" t="s">
        <v>525</v>
      </c>
      <c r="F339">
        <v>5</v>
      </c>
      <c r="G339">
        <v>175</v>
      </c>
      <c r="H339" t="str">
        <f>IF(VLOOKUP(C339,Customers!A:E,5,FALSE)&gt;=1000,"YES","NO")</f>
        <v>NO</v>
      </c>
      <c r="I339">
        <f t="shared" si="5"/>
        <v>175</v>
      </c>
      <c r="J339">
        <f>(I339 - VLOOKUP(E339,Desserts!A:D,4,FALSE)) * F339</f>
        <v>455</v>
      </c>
    </row>
    <row r="340" spans="1:10" x14ac:dyDescent="0.3">
      <c r="A340" t="s">
        <v>1198</v>
      </c>
      <c r="B340" t="s">
        <v>1199</v>
      </c>
      <c r="C340" t="s">
        <v>511</v>
      </c>
      <c r="D340" t="s">
        <v>54</v>
      </c>
      <c r="E340" t="s">
        <v>589</v>
      </c>
      <c r="F340">
        <v>2</v>
      </c>
      <c r="G340">
        <v>116</v>
      </c>
      <c r="H340" t="str">
        <f>IF(VLOOKUP(C340,Customers!A:E,5,FALSE)&gt;=1000,"YES","NO")</f>
        <v>YES</v>
      </c>
      <c r="I340">
        <f t="shared" si="5"/>
        <v>58</v>
      </c>
      <c r="J340">
        <f>(I340 - VLOOKUP(E340,Desserts!A:D,4,FALSE)) * F340</f>
        <v>-26</v>
      </c>
    </row>
    <row r="341" spans="1:10" x14ac:dyDescent="0.3">
      <c r="A341" t="s">
        <v>1200</v>
      </c>
      <c r="B341" t="s">
        <v>976</v>
      </c>
      <c r="C341" t="s">
        <v>329</v>
      </c>
      <c r="D341" t="s">
        <v>5</v>
      </c>
      <c r="E341" t="s">
        <v>561</v>
      </c>
      <c r="F341">
        <v>1</v>
      </c>
      <c r="G341">
        <v>138</v>
      </c>
      <c r="H341" t="str">
        <f>IF(VLOOKUP(C341,Customers!A:E,5,FALSE)&gt;=1000,"YES","NO")</f>
        <v>YES</v>
      </c>
      <c r="I341">
        <f t="shared" si="5"/>
        <v>69</v>
      </c>
      <c r="J341">
        <f>(I341 - VLOOKUP(E341,Desserts!A:D,4,FALSE)) * F341</f>
        <v>6</v>
      </c>
    </row>
    <row r="342" spans="1:10" x14ac:dyDescent="0.3">
      <c r="A342" t="s">
        <v>1201</v>
      </c>
      <c r="B342" t="s">
        <v>721</v>
      </c>
      <c r="C342" t="s">
        <v>361</v>
      </c>
      <c r="D342" t="s">
        <v>193</v>
      </c>
      <c r="E342" t="s">
        <v>599</v>
      </c>
      <c r="F342">
        <v>3</v>
      </c>
      <c r="G342">
        <v>186</v>
      </c>
      <c r="H342" t="str">
        <f>IF(VLOOKUP(C342,Customers!A:E,5,FALSE)&gt;=1000,"YES","NO")</f>
        <v>NO</v>
      </c>
      <c r="I342">
        <f t="shared" si="5"/>
        <v>186</v>
      </c>
      <c r="J342">
        <f>(I342 - VLOOKUP(E342,Desserts!A:D,4,FALSE)) * F342</f>
        <v>318</v>
      </c>
    </row>
    <row r="343" spans="1:10" x14ac:dyDescent="0.3">
      <c r="A343" t="s">
        <v>1202</v>
      </c>
      <c r="B343" t="s">
        <v>1203</v>
      </c>
      <c r="C343" t="s">
        <v>375</v>
      </c>
      <c r="D343" t="s">
        <v>115</v>
      </c>
      <c r="E343" t="s">
        <v>529</v>
      </c>
      <c r="F343">
        <v>1</v>
      </c>
      <c r="G343">
        <v>143</v>
      </c>
      <c r="H343" t="str">
        <f>IF(VLOOKUP(C343,Customers!A:E,5,FALSE)&gt;=1000,"YES","NO")</f>
        <v>NO</v>
      </c>
      <c r="I343">
        <f t="shared" si="5"/>
        <v>143</v>
      </c>
      <c r="J343">
        <f>(I343 - VLOOKUP(E343,Desserts!A:D,4,FALSE)) * F343</f>
        <v>75</v>
      </c>
    </row>
    <row r="344" spans="1:10" x14ac:dyDescent="0.3">
      <c r="A344" t="s">
        <v>1204</v>
      </c>
      <c r="B344" t="s">
        <v>1205</v>
      </c>
      <c r="C344" t="s">
        <v>487</v>
      </c>
      <c r="D344" t="s">
        <v>205</v>
      </c>
      <c r="E344" t="s">
        <v>607</v>
      </c>
      <c r="F344">
        <v>3</v>
      </c>
      <c r="G344">
        <v>130</v>
      </c>
      <c r="H344" t="str">
        <f>IF(VLOOKUP(C344,Customers!A:E,5,FALSE)&gt;=1000,"YES","NO")</f>
        <v>NO</v>
      </c>
      <c r="I344">
        <f t="shared" si="5"/>
        <v>130</v>
      </c>
      <c r="J344">
        <f>(I344 - VLOOKUP(E344,Desserts!A:D,4,FALSE)) * F344</f>
        <v>180</v>
      </c>
    </row>
    <row r="345" spans="1:10" x14ac:dyDescent="0.3">
      <c r="A345" t="s">
        <v>1206</v>
      </c>
      <c r="B345" t="s">
        <v>655</v>
      </c>
      <c r="C345" t="s">
        <v>457</v>
      </c>
      <c r="D345" t="s">
        <v>79</v>
      </c>
      <c r="E345" t="s">
        <v>583</v>
      </c>
      <c r="F345">
        <v>5</v>
      </c>
      <c r="G345">
        <v>207</v>
      </c>
      <c r="H345" t="str">
        <f>IF(VLOOKUP(C345,Customers!A:E,5,FALSE)&gt;=1000,"YES","NO")</f>
        <v>YES</v>
      </c>
      <c r="I345">
        <f t="shared" si="5"/>
        <v>103.5</v>
      </c>
      <c r="J345">
        <f>(I345 - VLOOKUP(E345,Desserts!A:D,4,FALSE)) * F345</f>
        <v>102.5</v>
      </c>
    </row>
    <row r="346" spans="1:10" x14ac:dyDescent="0.3">
      <c r="A346" t="s">
        <v>1207</v>
      </c>
      <c r="B346" t="s">
        <v>1208</v>
      </c>
      <c r="C346" t="s">
        <v>423</v>
      </c>
      <c r="D346" t="s">
        <v>148</v>
      </c>
      <c r="E346" t="s">
        <v>549</v>
      </c>
      <c r="F346">
        <v>3</v>
      </c>
      <c r="G346">
        <v>120</v>
      </c>
      <c r="H346" t="str">
        <f>IF(VLOOKUP(C346,Customers!A:E,5,FALSE)&gt;=1000,"YES","NO")</f>
        <v>NO</v>
      </c>
      <c r="I346">
        <f t="shared" si="5"/>
        <v>120</v>
      </c>
      <c r="J346">
        <f>(I346 - VLOOKUP(E346,Desserts!A:D,4,FALSE)) * F346</f>
        <v>123</v>
      </c>
    </row>
    <row r="347" spans="1:10" x14ac:dyDescent="0.3">
      <c r="A347" t="s">
        <v>1209</v>
      </c>
      <c r="B347" t="s">
        <v>992</v>
      </c>
      <c r="C347" t="s">
        <v>469</v>
      </c>
      <c r="D347" t="s">
        <v>175</v>
      </c>
      <c r="E347" t="s">
        <v>543</v>
      </c>
      <c r="F347">
        <v>4</v>
      </c>
      <c r="G347">
        <v>237</v>
      </c>
      <c r="H347" t="str">
        <f>IF(VLOOKUP(C347,Customers!A:E,5,FALSE)&gt;=1000,"YES","NO")</f>
        <v>NO</v>
      </c>
      <c r="I347">
        <f t="shared" si="5"/>
        <v>237</v>
      </c>
      <c r="J347">
        <f>(I347 - VLOOKUP(E347,Desserts!A:D,4,FALSE)) * F347</f>
        <v>656</v>
      </c>
    </row>
    <row r="348" spans="1:10" x14ac:dyDescent="0.3">
      <c r="A348" t="s">
        <v>1210</v>
      </c>
      <c r="B348" t="s">
        <v>739</v>
      </c>
      <c r="C348" t="s">
        <v>335</v>
      </c>
      <c r="D348" t="s">
        <v>244</v>
      </c>
      <c r="E348" t="s">
        <v>557</v>
      </c>
      <c r="F348">
        <v>2</v>
      </c>
      <c r="G348">
        <v>189</v>
      </c>
      <c r="H348" t="str">
        <f>IF(VLOOKUP(C348,Customers!A:E,5,FALSE)&gt;=1000,"YES","NO")</f>
        <v>NO</v>
      </c>
      <c r="I348">
        <f t="shared" si="5"/>
        <v>189</v>
      </c>
      <c r="J348">
        <f>(I348 - VLOOKUP(E348,Desserts!A:D,4,FALSE)) * F348</f>
        <v>210</v>
      </c>
    </row>
    <row r="349" spans="1:10" x14ac:dyDescent="0.3">
      <c r="A349" t="s">
        <v>1211</v>
      </c>
      <c r="B349" t="s">
        <v>1212</v>
      </c>
      <c r="C349" t="s">
        <v>509</v>
      </c>
      <c r="D349" t="s">
        <v>27</v>
      </c>
      <c r="E349" t="s">
        <v>533</v>
      </c>
      <c r="F349">
        <v>3</v>
      </c>
      <c r="G349">
        <v>204</v>
      </c>
      <c r="H349" t="str">
        <f>IF(VLOOKUP(C349,Customers!A:E,5,FALSE)&gt;=1000,"YES","NO")</f>
        <v>NO</v>
      </c>
      <c r="I349">
        <f t="shared" si="5"/>
        <v>204</v>
      </c>
      <c r="J349">
        <f>(I349 - VLOOKUP(E349,Desserts!A:D,4,FALSE)) * F349</f>
        <v>411</v>
      </c>
    </row>
    <row r="350" spans="1:10" x14ac:dyDescent="0.3">
      <c r="A350" t="s">
        <v>1213</v>
      </c>
      <c r="B350" t="s">
        <v>1078</v>
      </c>
      <c r="C350" t="s">
        <v>491</v>
      </c>
      <c r="D350" t="s">
        <v>157</v>
      </c>
      <c r="E350" t="s">
        <v>579</v>
      </c>
      <c r="F350">
        <v>1</v>
      </c>
      <c r="G350">
        <v>157</v>
      </c>
      <c r="H350" t="str">
        <f>IF(VLOOKUP(C350,Customers!A:E,5,FALSE)&gt;=1000,"YES","NO")</f>
        <v>NO</v>
      </c>
      <c r="I350">
        <f t="shared" si="5"/>
        <v>157</v>
      </c>
      <c r="J350">
        <f>(I350 - VLOOKUP(E350,Desserts!A:D,4,FALSE)) * F350</f>
        <v>95</v>
      </c>
    </row>
    <row r="351" spans="1:10" x14ac:dyDescent="0.3">
      <c r="A351" t="s">
        <v>1214</v>
      </c>
      <c r="B351" t="s">
        <v>1215</v>
      </c>
      <c r="C351" t="s">
        <v>389</v>
      </c>
      <c r="D351" t="s">
        <v>181</v>
      </c>
      <c r="E351" t="s">
        <v>541</v>
      </c>
      <c r="F351">
        <v>5</v>
      </c>
      <c r="G351">
        <v>107</v>
      </c>
      <c r="H351" t="str">
        <f>IF(VLOOKUP(C351,Customers!A:E,5,FALSE)&gt;=1000,"YES","NO")</f>
        <v>YES</v>
      </c>
      <c r="I351">
        <f t="shared" si="5"/>
        <v>53.5</v>
      </c>
      <c r="J351">
        <f>(I351 - VLOOKUP(E351,Desserts!A:D,4,FALSE)) * F351</f>
        <v>-17.5</v>
      </c>
    </row>
    <row r="352" spans="1:10" x14ac:dyDescent="0.3">
      <c r="A352" t="s">
        <v>1216</v>
      </c>
      <c r="B352" t="s">
        <v>1062</v>
      </c>
      <c r="C352" t="s">
        <v>495</v>
      </c>
      <c r="D352" t="s">
        <v>60</v>
      </c>
      <c r="E352" t="s">
        <v>563</v>
      </c>
      <c r="F352">
        <v>3</v>
      </c>
      <c r="G352">
        <v>108</v>
      </c>
      <c r="H352" t="str">
        <f>IF(VLOOKUP(C352,Customers!A:E,5,FALSE)&gt;=1000,"YES","NO")</f>
        <v>NO</v>
      </c>
      <c r="I352">
        <f t="shared" si="5"/>
        <v>108</v>
      </c>
      <c r="J352">
        <f>(I352 - VLOOKUP(E352,Desserts!A:D,4,FALSE)) * F352</f>
        <v>129</v>
      </c>
    </row>
    <row r="353" spans="1:10" x14ac:dyDescent="0.3">
      <c r="A353" t="s">
        <v>1217</v>
      </c>
      <c r="B353" t="s">
        <v>910</v>
      </c>
      <c r="C353" t="s">
        <v>359</v>
      </c>
      <c r="D353" t="s">
        <v>232</v>
      </c>
      <c r="E353" t="s">
        <v>537</v>
      </c>
      <c r="F353">
        <v>1</v>
      </c>
      <c r="G353">
        <v>185</v>
      </c>
      <c r="H353" t="str">
        <f>IF(VLOOKUP(C353,Customers!A:E,5,FALSE)&gt;=1000,"YES","NO")</f>
        <v>YES</v>
      </c>
      <c r="I353">
        <f t="shared" si="5"/>
        <v>92.5</v>
      </c>
      <c r="J353">
        <f>(I353 - VLOOKUP(E353,Desserts!A:D,4,FALSE)) * F353</f>
        <v>8.5</v>
      </c>
    </row>
    <row r="354" spans="1:10" x14ac:dyDescent="0.3">
      <c r="A354" t="s">
        <v>1218</v>
      </c>
      <c r="B354" t="s">
        <v>1219</v>
      </c>
      <c r="C354" t="s">
        <v>497</v>
      </c>
      <c r="D354" t="s">
        <v>33</v>
      </c>
      <c r="E354" t="s">
        <v>581</v>
      </c>
      <c r="F354">
        <v>1</v>
      </c>
      <c r="G354">
        <v>106</v>
      </c>
      <c r="H354" t="str">
        <f>IF(VLOOKUP(C354,Customers!A:E,5,FALSE)&gt;=1000,"YES","NO")</f>
        <v>NO</v>
      </c>
      <c r="I354">
        <f t="shared" si="5"/>
        <v>106</v>
      </c>
      <c r="J354">
        <f>(I354 - VLOOKUP(E354,Desserts!A:D,4,FALSE)) * F354</f>
        <v>17</v>
      </c>
    </row>
    <row r="355" spans="1:10" x14ac:dyDescent="0.3">
      <c r="A355" t="s">
        <v>1220</v>
      </c>
      <c r="B355" t="s">
        <v>996</v>
      </c>
      <c r="C355" t="s">
        <v>411</v>
      </c>
      <c r="D355" t="s">
        <v>229</v>
      </c>
      <c r="E355" t="s">
        <v>547</v>
      </c>
      <c r="F355">
        <v>1</v>
      </c>
      <c r="G355">
        <v>178</v>
      </c>
      <c r="H355" t="str">
        <f>IF(VLOOKUP(C355,Customers!A:E,5,FALSE)&gt;=1000,"YES","NO")</f>
        <v>NO</v>
      </c>
      <c r="I355">
        <f t="shared" si="5"/>
        <v>178</v>
      </c>
      <c r="J355">
        <f>(I355 - VLOOKUP(E355,Desserts!A:D,4,FALSE)) * F355</f>
        <v>128</v>
      </c>
    </row>
    <row r="356" spans="1:10" x14ac:dyDescent="0.3">
      <c r="A356" t="s">
        <v>1221</v>
      </c>
      <c r="B356" t="s">
        <v>1222</v>
      </c>
      <c r="C356" t="s">
        <v>421</v>
      </c>
      <c r="D356" t="s">
        <v>262</v>
      </c>
      <c r="E356" t="s">
        <v>559</v>
      </c>
      <c r="F356">
        <v>3</v>
      </c>
      <c r="G356">
        <v>145</v>
      </c>
      <c r="H356" t="str">
        <f>IF(VLOOKUP(C356,Customers!A:E,5,FALSE)&gt;=1000,"YES","NO")</f>
        <v>YES</v>
      </c>
      <c r="I356">
        <f t="shared" si="5"/>
        <v>72.5</v>
      </c>
      <c r="J356">
        <f>(I356 - VLOOKUP(E356,Desserts!A:D,4,FALSE)) * F356</f>
        <v>52.5</v>
      </c>
    </row>
    <row r="357" spans="1:10" x14ac:dyDescent="0.3">
      <c r="A357" t="s">
        <v>1223</v>
      </c>
      <c r="B357" t="s">
        <v>1224</v>
      </c>
      <c r="C357" t="s">
        <v>401</v>
      </c>
      <c r="D357" t="s">
        <v>115</v>
      </c>
      <c r="E357" t="s">
        <v>591</v>
      </c>
      <c r="F357">
        <v>3</v>
      </c>
      <c r="G357">
        <v>238</v>
      </c>
      <c r="H357" t="str">
        <f>IF(VLOOKUP(C357,Customers!A:E,5,FALSE)&gt;=1000,"YES","NO")</f>
        <v>YES</v>
      </c>
      <c r="I357">
        <f t="shared" si="5"/>
        <v>119</v>
      </c>
      <c r="J357">
        <f>(I357 - VLOOKUP(E357,Desserts!A:D,4,FALSE)) * F357</f>
        <v>171</v>
      </c>
    </row>
    <row r="358" spans="1:10" x14ac:dyDescent="0.3">
      <c r="A358" t="s">
        <v>1225</v>
      </c>
      <c r="B358" t="s">
        <v>1226</v>
      </c>
      <c r="C358" t="s">
        <v>501</v>
      </c>
      <c r="D358" t="s">
        <v>196</v>
      </c>
      <c r="E358" t="s">
        <v>531</v>
      </c>
      <c r="F358">
        <v>1</v>
      </c>
      <c r="G358">
        <v>169</v>
      </c>
      <c r="H358" t="str">
        <f>IF(VLOOKUP(C358,Customers!A:E,5,FALSE)&gt;=1000,"YES","NO")</f>
        <v>YES</v>
      </c>
      <c r="I358">
        <f t="shared" si="5"/>
        <v>84.5</v>
      </c>
      <c r="J358">
        <f>(I358 - VLOOKUP(E358,Desserts!A:D,4,FALSE)) * F358</f>
        <v>-0.5</v>
      </c>
    </row>
    <row r="359" spans="1:10" x14ac:dyDescent="0.3">
      <c r="A359" t="s">
        <v>1227</v>
      </c>
      <c r="B359" t="s">
        <v>1016</v>
      </c>
      <c r="C359" t="s">
        <v>407</v>
      </c>
      <c r="D359" t="s">
        <v>268</v>
      </c>
      <c r="E359" t="s">
        <v>617</v>
      </c>
      <c r="F359">
        <v>1</v>
      </c>
      <c r="G359">
        <v>180</v>
      </c>
      <c r="H359" t="str">
        <f>IF(VLOOKUP(C359,Customers!A:E,5,FALSE)&gt;=1000,"YES","NO")</f>
        <v>YES</v>
      </c>
      <c r="I359">
        <f t="shared" si="5"/>
        <v>90</v>
      </c>
      <c r="J359">
        <f>(I359 - VLOOKUP(E359,Desserts!A:D,4,FALSE)) * F359</f>
        <v>49</v>
      </c>
    </row>
    <row r="360" spans="1:10" x14ac:dyDescent="0.3">
      <c r="A360" t="s">
        <v>1228</v>
      </c>
      <c r="B360" t="s">
        <v>775</v>
      </c>
      <c r="C360" t="s">
        <v>403</v>
      </c>
      <c r="D360" t="s">
        <v>196</v>
      </c>
      <c r="E360" t="s">
        <v>541</v>
      </c>
      <c r="F360">
        <v>4</v>
      </c>
      <c r="G360">
        <v>164</v>
      </c>
      <c r="H360" t="str">
        <f>IF(VLOOKUP(C360,Customers!A:E,5,FALSE)&gt;=1000,"YES","NO")</f>
        <v>NO</v>
      </c>
      <c r="I360">
        <f t="shared" si="5"/>
        <v>164</v>
      </c>
      <c r="J360">
        <f>(I360 - VLOOKUP(E360,Desserts!A:D,4,FALSE)) * F360</f>
        <v>428</v>
      </c>
    </row>
    <row r="361" spans="1:10" x14ac:dyDescent="0.3">
      <c r="A361" t="s">
        <v>1229</v>
      </c>
      <c r="B361" t="s">
        <v>626</v>
      </c>
      <c r="C361" t="s">
        <v>515</v>
      </c>
      <c r="D361" t="s">
        <v>310</v>
      </c>
      <c r="E361" t="s">
        <v>597</v>
      </c>
      <c r="F361">
        <v>1</v>
      </c>
      <c r="G361">
        <v>177</v>
      </c>
      <c r="H361" t="str">
        <f>IF(VLOOKUP(C361,Customers!A:E,5,FALSE)&gt;=1000,"YES","NO")</f>
        <v>YES</v>
      </c>
      <c r="I361">
        <f t="shared" si="5"/>
        <v>88.5</v>
      </c>
      <c r="J361">
        <f>(I361 - VLOOKUP(E361,Desserts!A:D,4,FALSE)) * F361</f>
        <v>43.5</v>
      </c>
    </row>
    <row r="362" spans="1:10" x14ac:dyDescent="0.3">
      <c r="A362" t="s">
        <v>1230</v>
      </c>
      <c r="B362" t="s">
        <v>644</v>
      </c>
      <c r="C362" t="s">
        <v>437</v>
      </c>
      <c r="D362" t="s">
        <v>283</v>
      </c>
      <c r="E362" t="s">
        <v>611</v>
      </c>
      <c r="F362">
        <v>4</v>
      </c>
      <c r="G362">
        <v>153</v>
      </c>
      <c r="H362" t="str">
        <f>IF(VLOOKUP(C362,Customers!A:E,5,FALSE)&gt;=1000,"YES","NO")</f>
        <v>NO</v>
      </c>
      <c r="I362">
        <f t="shared" si="5"/>
        <v>153</v>
      </c>
      <c r="J362">
        <f>(I362 - VLOOKUP(E362,Desserts!A:D,4,FALSE)) * F362</f>
        <v>440</v>
      </c>
    </row>
    <row r="363" spans="1:10" x14ac:dyDescent="0.3">
      <c r="A363" t="s">
        <v>1231</v>
      </c>
      <c r="B363" t="s">
        <v>1098</v>
      </c>
      <c r="C363" t="s">
        <v>499</v>
      </c>
      <c r="D363" t="s">
        <v>310</v>
      </c>
      <c r="E363" t="s">
        <v>615</v>
      </c>
      <c r="F363">
        <v>1</v>
      </c>
      <c r="G363">
        <v>183</v>
      </c>
      <c r="H363" t="str">
        <f>IF(VLOOKUP(C363,Customers!A:E,5,FALSE)&gt;=1000,"YES","NO")</f>
        <v>NO</v>
      </c>
      <c r="I363">
        <f t="shared" si="5"/>
        <v>183</v>
      </c>
      <c r="J363">
        <f>(I363 - VLOOKUP(E363,Desserts!A:D,4,FALSE)) * F363</f>
        <v>141</v>
      </c>
    </row>
    <row r="364" spans="1:10" x14ac:dyDescent="0.3">
      <c r="A364" t="s">
        <v>1232</v>
      </c>
      <c r="B364" t="s">
        <v>1233</v>
      </c>
      <c r="C364" t="s">
        <v>331</v>
      </c>
      <c r="D364" t="s">
        <v>13</v>
      </c>
      <c r="E364" t="s">
        <v>583</v>
      </c>
      <c r="F364">
        <v>1</v>
      </c>
      <c r="G364">
        <v>153</v>
      </c>
      <c r="H364" t="str">
        <f>IF(VLOOKUP(C364,Customers!A:E,5,FALSE)&gt;=1000,"YES","NO")</f>
        <v>YES</v>
      </c>
      <c r="I364">
        <f t="shared" si="5"/>
        <v>76.5</v>
      </c>
      <c r="J364">
        <f>(I364 - VLOOKUP(E364,Desserts!A:D,4,FALSE)) * F364</f>
        <v>-6.5</v>
      </c>
    </row>
    <row r="365" spans="1:10" x14ac:dyDescent="0.3">
      <c r="A365" t="s">
        <v>1234</v>
      </c>
      <c r="B365" t="s">
        <v>1169</v>
      </c>
      <c r="C365" t="s">
        <v>499</v>
      </c>
      <c r="D365" t="s">
        <v>66</v>
      </c>
      <c r="E365" t="s">
        <v>555</v>
      </c>
      <c r="F365">
        <v>2</v>
      </c>
      <c r="G365">
        <v>159</v>
      </c>
      <c r="H365" t="str">
        <f>IF(VLOOKUP(C365,Customers!A:E,5,FALSE)&gt;=1000,"YES","NO")</f>
        <v>NO</v>
      </c>
      <c r="I365">
        <f t="shared" si="5"/>
        <v>159</v>
      </c>
      <c r="J365">
        <f>(I365 - VLOOKUP(E365,Desserts!A:D,4,FALSE)) * F365</f>
        <v>168</v>
      </c>
    </row>
    <row r="366" spans="1:10" x14ac:dyDescent="0.3">
      <c r="A366" t="s">
        <v>1235</v>
      </c>
      <c r="B366" t="s">
        <v>985</v>
      </c>
      <c r="C366" t="s">
        <v>395</v>
      </c>
      <c r="D366" t="s">
        <v>30</v>
      </c>
      <c r="E366" t="s">
        <v>553</v>
      </c>
      <c r="F366">
        <v>1</v>
      </c>
      <c r="G366">
        <v>222</v>
      </c>
      <c r="H366" t="str">
        <f>IF(VLOOKUP(C366,Customers!A:E,5,FALSE)&gt;=1000,"YES","NO")</f>
        <v>NO</v>
      </c>
      <c r="I366">
        <f t="shared" si="5"/>
        <v>222</v>
      </c>
      <c r="J366">
        <f>(I366 - VLOOKUP(E366,Desserts!A:D,4,FALSE)) * F366</f>
        <v>162</v>
      </c>
    </row>
    <row r="367" spans="1:10" x14ac:dyDescent="0.3">
      <c r="A367" t="s">
        <v>1236</v>
      </c>
      <c r="B367" t="s">
        <v>1237</v>
      </c>
      <c r="C367" t="s">
        <v>445</v>
      </c>
      <c r="D367" t="s">
        <v>310</v>
      </c>
      <c r="E367" t="s">
        <v>559</v>
      </c>
      <c r="F367">
        <v>4</v>
      </c>
      <c r="G367">
        <v>119</v>
      </c>
      <c r="H367" t="str">
        <f>IF(VLOOKUP(C367,Customers!A:E,5,FALSE)&gt;=1000,"YES","NO")</f>
        <v>NO</v>
      </c>
      <c r="I367">
        <f t="shared" si="5"/>
        <v>119</v>
      </c>
      <c r="J367">
        <f>(I367 - VLOOKUP(E367,Desserts!A:D,4,FALSE)) * F367</f>
        <v>256</v>
      </c>
    </row>
    <row r="368" spans="1:10" x14ac:dyDescent="0.3">
      <c r="A368" t="s">
        <v>1238</v>
      </c>
      <c r="B368" t="s">
        <v>689</v>
      </c>
      <c r="C368" t="s">
        <v>379</v>
      </c>
      <c r="D368" t="s">
        <v>9</v>
      </c>
      <c r="E368" t="s">
        <v>593</v>
      </c>
      <c r="F368">
        <v>5</v>
      </c>
      <c r="G368">
        <v>216</v>
      </c>
      <c r="H368" t="str">
        <f>IF(VLOOKUP(C368,Customers!A:E,5,FALSE)&gt;=1000,"YES","NO")</f>
        <v>NO</v>
      </c>
      <c r="I368">
        <f t="shared" si="5"/>
        <v>216</v>
      </c>
      <c r="J368">
        <f>(I368 - VLOOKUP(E368,Desserts!A:D,4,FALSE)) * F368</f>
        <v>810</v>
      </c>
    </row>
    <row r="369" spans="1:10" x14ac:dyDescent="0.3">
      <c r="A369" t="s">
        <v>1239</v>
      </c>
      <c r="B369" t="s">
        <v>1240</v>
      </c>
      <c r="C369" t="s">
        <v>513</v>
      </c>
      <c r="D369" t="s">
        <v>145</v>
      </c>
      <c r="E369" t="s">
        <v>523</v>
      </c>
      <c r="F369">
        <v>2</v>
      </c>
      <c r="G369">
        <v>103</v>
      </c>
      <c r="H369" t="str">
        <f>IF(VLOOKUP(C369,Customers!A:E,5,FALSE)&gt;=1000,"YES","NO")</f>
        <v>YES</v>
      </c>
      <c r="I369">
        <f t="shared" si="5"/>
        <v>51.5</v>
      </c>
      <c r="J369">
        <f>(I369 - VLOOKUP(E369,Desserts!A:D,4,FALSE)) * F369</f>
        <v>-33</v>
      </c>
    </row>
    <row r="370" spans="1:10" x14ac:dyDescent="0.3">
      <c r="A370" t="s">
        <v>1241</v>
      </c>
      <c r="B370" t="s">
        <v>1242</v>
      </c>
      <c r="C370" t="s">
        <v>363</v>
      </c>
      <c r="D370" t="s">
        <v>265</v>
      </c>
      <c r="E370" t="s">
        <v>583</v>
      </c>
      <c r="F370">
        <v>4</v>
      </c>
      <c r="G370">
        <v>248</v>
      </c>
      <c r="H370" t="str">
        <f>IF(VLOOKUP(C370,Customers!A:E,5,FALSE)&gt;=1000,"YES","NO")</f>
        <v>YES</v>
      </c>
      <c r="I370">
        <f t="shared" si="5"/>
        <v>124</v>
      </c>
      <c r="J370">
        <f>(I370 - VLOOKUP(E370,Desserts!A:D,4,FALSE)) * F370</f>
        <v>164</v>
      </c>
    </row>
    <row r="371" spans="1:10" x14ac:dyDescent="0.3">
      <c r="A371" t="s">
        <v>1243</v>
      </c>
      <c r="B371" t="s">
        <v>1142</v>
      </c>
      <c r="C371" t="s">
        <v>327</v>
      </c>
      <c r="D371" t="s">
        <v>232</v>
      </c>
      <c r="E371" t="s">
        <v>587</v>
      </c>
      <c r="F371">
        <v>2</v>
      </c>
      <c r="G371">
        <v>248</v>
      </c>
      <c r="H371" t="str">
        <f>IF(VLOOKUP(C371,Customers!A:E,5,FALSE)&gt;=1000,"YES","NO")</f>
        <v>YES</v>
      </c>
      <c r="I371">
        <f t="shared" si="5"/>
        <v>124</v>
      </c>
      <c r="J371">
        <f>(I371 - VLOOKUP(E371,Desserts!A:D,4,FALSE)) * F371</f>
        <v>104</v>
      </c>
    </row>
    <row r="372" spans="1:10" x14ac:dyDescent="0.3">
      <c r="A372" t="s">
        <v>1244</v>
      </c>
      <c r="B372" t="s">
        <v>1245</v>
      </c>
      <c r="C372" t="s">
        <v>513</v>
      </c>
      <c r="D372" t="s">
        <v>241</v>
      </c>
      <c r="E372" t="s">
        <v>599</v>
      </c>
      <c r="F372">
        <v>3</v>
      </c>
      <c r="G372">
        <v>215</v>
      </c>
      <c r="H372" t="str">
        <f>IF(VLOOKUP(C372,Customers!A:E,5,FALSE)&gt;=1000,"YES","NO")</f>
        <v>YES</v>
      </c>
      <c r="I372">
        <f t="shared" si="5"/>
        <v>107.5</v>
      </c>
      <c r="J372">
        <f>(I372 - VLOOKUP(E372,Desserts!A:D,4,FALSE)) * F372</f>
        <v>82.5</v>
      </c>
    </row>
    <row r="373" spans="1:10" x14ac:dyDescent="0.3">
      <c r="A373" t="s">
        <v>1246</v>
      </c>
      <c r="B373" t="s">
        <v>1247</v>
      </c>
      <c r="C373" t="s">
        <v>493</v>
      </c>
      <c r="D373" t="s">
        <v>199</v>
      </c>
      <c r="E373" t="s">
        <v>611</v>
      </c>
      <c r="F373">
        <v>4</v>
      </c>
      <c r="G373">
        <v>185</v>
      </c>
      <c r="H373" t="str">
        <f>IF(VLOOKUP(C373,Customers!A:E,5,FALSE)&gt;=1000,"YES","NO")</f>
        <v>NO</v>
      </c>
      <c r="I373">
        <f t="shared" si="5"/>
        <v>185</v>
      </c>
      <c r="J373">
        <f>(I373 - VLOOKUP(E373,Desserts!A:D,4,FALSE)) * F373</f>
        <v>568</v>
      </c>
    </row>
    <row r="374" spans="1:10" x14ac:dyDescent="0.3">
      <c r="A374" t="s">
        <v>1248</v>
      </c>
      <c r="B374" t="s">
        <v>976</v>
      </c>
      <c r="C374" t="s">
        <v>331</v>
      </c>
      <c r="D374" t="s">
        <v>214</v>
      </c>
      <c r="E374" t="s">
        <v>539</v>
      </c>
      <c r="F374">
        <v>3</v>
      </c>
      <c r="G374">
        <v>122</v>
      </c>
      <c r="H374" t="str">
        <f>IF(VLOOKUP(C374,Customers!A:E,5,FALSE)&gt;=1000,"YES","NO")</f>
        <v>YES</v>
      </c>
      <c r="I374">
        <f t="shared" si="5"/>
        <v>61</v>
      </c>
      <c r="J374">
        <f>(I374 - VLOOKUP(E374,Desserts!A:D,4,FALSE)) * F374</f>
        <v>-3</v>
      </c>
    </row>
    <row r="375" spans="1:10" x14ac:dyDescent="0.3">
      <c r="A375" t="s">
        <v>1249</v>
      </c>
      <c r="B375" t="s">
        <v>1222</v>
      </c>
      <c r="C375" t="s">
        <v>349</v>
      </c>
      <c r="D375" t="s">
        <v>76</v>
      </c>
      <c r="E375" t="s">
        <v>579</v>
      </c>
      <c r="F375">
        <v>5</v>
      </c>
      <c r="G375">
        <v>239</v>
      </c>
      <c r="H375" t="str">
        <f>IF(VLOOKUP(C375,Customers!A:E,5,FALSE)&gt;=1000,"YES","NO")</f>
        <v>NO</v>
      </c>
      <c r="I375">
        <f t="shared" si="5"/>
        <v>239</v>
      </c>
      <c r="J375">
        <f>(I375 - VLOOKUP(E375,Desserts!A:D,4,FALSE)) * F375</f>
        <v>885</v>
      </c>
    </row>
    <row r="376" spans="1:10" x14ac:dyDescent="0.3">
      <c r="A376" t="s">
        <v>1250</v>
      </c>
      <c r="B376" t="s">
        <v>890</v>
      </c>
      <c r="C376" t="s">
        <v>399</v>
      </c>
      <c r="D376" t="s">
        <v>172</v>
      </c>
      <c r="E376" t="s">
        <v>571</v>
      </c>
      <c r="F376">
        <v>4</v>
      </c>
      <c r="G376">
        <v>149</v>
      </c>
      <c r="H376" t="str">
        <f>IF(VLOOKUP(C376,Customers!A:E,5,FALSE)&gt;=1000,"YES","NO")</f>
        <v>YES</v>
      </c>
      <c r="I376">
        <f t="shared" si="5"/>
        <v>74.5</v>
      </c>
      <c r="J376">
        <f>(I376 - VLOOKUP(E376,Desserts!A:D,4,FALSE)) * F376</f>
        <v>134</v>
      </c>
    </row>
    <row r="377" spans="1:10" x14ac:dyDescent="0.3">
      <c r="A377" t="s">
        <v>1251</v>
      </c>
      <c r="B377" t="s">
        <v>735</v>
      </c>
      <c r="C377" t="s">
        <v>475</v>
      </c>
      <c r="D377" t="s">
        <v>214</v>
      </c>
      <c r="E377" t="s">
        <v>539</v>
      </c>
      <c r="F377">
        <v>2</v>
      </c>
      <c r="G377">
        <v>194</v>
      </c>
      <c r="H377" t="str">
        <f>IF(VLOOKUP(C377,Customers!A:E,5,FALSE)&gt;=1000,"YES","NO")</f>
        <v>NO</v>
      </c>
      <c r="I377">
        <f t="shared" si="5"/>
        <v>194</v>
      </c>
      <c r="J377">
        <f>(I377 - VLOOKUP(E377,Desserts!A:D,4,FALSE)) * F377</f>
        <v>264</v>
      </c>
    </row>
    <row r="378" spans="1:10" x14ac:dyDescent="0.3">
      <c r="A378" t="s">
        <v>1252</v>
      </c>
      <c r="B378" t="s">
        <v>1253</v>
      </c>
      <c r="C378" t="s">
        <v>475</v>
      </c>
      <c r="D378" t="s">
        <v>30</v>
      </c>
      <c r="E378" t="s">
        <v>529</v>
      </c>
      <c r="F378">
        <v>5</v>
      </c>
      <c r="G378">
        <v>133</v>
      </c>
      <c r="H378" t="str">
        <f>IF(VLOOKUP(C378,Customers!A:E,5,FALSE)&gt;=1000,"YES","NO")</f>
        <v>NO</v>
      </c>
      <c r="I378">
        <f t="shared" si="5"/>
        <v>133</v>
      </c>
      <c r="J378">
        <f>(I378 - VLOOKUP(E378,Desserts!A:D,4,FALSE)) * F378</f>
        <v>325</v>
      </c>
    </row>
    <row r="379" spans="1:10" x14ac:dyDescent="0.3">
      <c r="A379" t="s">
        <v>1254</v>
      </c>
      <c r="B379" t="s">
        <v>753</v>
      </c>
      <c r="C379" t="s">
        <v>349</v>
      </c>
      <c r="D379" t="s">
        <v>40</v>
      </c>
      <c r="E379" t="s">
        <v>539</v>
      </c>
      <c r="F379">
        <v>3</v>
      </c>
      <c r="G379">
        <v>164</v>
      </c>
      <c r="H379" t="str">
        <f>IF(VLOOKUP(C379,Customers!A:E,5,FALSE)&gt;=1000,"YES","NO")</f>
        <v>NO</v>
      </c>
      <c r="I379">
        <f t="shared" si="5"/>
        <v>164</v>
      </c>
      <c r="J379">
        <f>(I379 - VLOOKUP(E379,Desserts!A:D,4,FALSE)) * F379</f>
        <v>306</v>
      </c>
    </row>
    <row r="380" spans="1:10" x14ac:dyDescent="0.3">
      <c r="A380" t="s">
        <v>1255</v>
      </c>
      <c r="B380" t="s">
        <v>1199</v>
      </c>
      <c r="C380" t="s">
        <v>387</v>
      </c>
      <c r="D380" t="s">
        <v>196</v>
      </c>
      <c r="E380" t="s">
        <v>527</v>
      </c>
      <c r="F380">
        <v>4</v>
      </c>
      <c r="G380">
        <v>139</v>
      </c>
      <c r="H380" t="str">
        <f>IF(VLOOKUP(C380,Customers!A:E,5,FALSE)&gt;=1000,"YES","NO")</f>
        <v>NO</v>
      </c>
      <c r="I380">
        <f t="shared" si="5"/>
        <v>139</v>
      </c>
      <c r="J380">
        <f>(I380 - VLOOKUP(E380,Desserts!A:D,4,FALSE)) * F380</f>
        <v>384</v>
      </c>
    </row>
    <row r="381" spans="1:10" x14ac:dyDescent="0.3">
      <c r="A381" t="s">
        <v>1256</v>
      </c>
      <c r="B381" t="s">
        <v>789</v>
      </c>
      <c r="C381" t="s">
        <v>469</v>
      </c>
      <c r="D381" t="s">
        <v>27</v>
      </c>
      <c r="E381" t="s">
        <v>601</v>
      </c>
      <c r="F381">
        <v>4</v>
      </c>
      <c r="G381">
        <v>226</v>
      </c>
      <c r="H381" t="str">
        <f>IF(VLOOKUP(C381,Customers!A:E,5,FALSE)&gt;=1000,"YES","NO")</f>
        <v>NO</v>
      </c>
      <c r="I381">
        <f t="shared" si="5"/>
        <v>226</v>
      </c>
      <c r="J381">
        <f>(I381 - VLOOKUP(E381,Desserts!A:D,4,FALSE)) * F381</f>
        <v>684</v>
      </c>
    </row>
    <row r="382" spans="1:10" x14ac:dyDescent="0.3">
      <c r="A382" t="s">
        <v>1257</v>
      </c>
      <c r="B382" t="s">
        <v>1258</v>
      </c>
      <c r="C382" t="s">
        <v>381</v>
      </c>
      <c r="D382" t="s">
        <v>43</v>
      </c>
      <c r="E382" t="s">
        <v>521</v>
      </c>
      <c r="F382">
        <v>1</v>
      </c>
      <c r="G382">
        <v>120</v>
      </c>
      <c r="H382" t="str">
        <f>IF(VLOOKUP(C382,Customers!A:E,5,FALSE)&gt;=1000,"YES","NO")</f>
        <v>NO</v>
      </c>
      <c r="I382">
        <f t="shared" si="5"/>
        <v>120</v>
      </c>
      <c r="J382">
        <f>(I382 - VLOOKUP(E382,Desserts!A:D,4,FALSE)) * F382</f>
        <v>56</v>
      </c>
    </row>
    <row r="383" spans="1:10" x14ac:dyDescent="0.3">
      <c r="A383" t="s">
        <v>1259</v>
      </c>
      <c r="B383" t="s">
        <v>675</v>
      </c>
      <c r="C383" t="s">
        <v>333</v>
      </c>
      <c r="D383" t="s">
        <v>66</v>
      </c>
      <c r="E383" t="s">
        <v>529</v>
      </c>
      <c r="F383">
        <v>2</v>
      </c>
      <c r="G383">
        <v>116</v>
      </c>
      <c r="H383" t="str">
        <f>IF(VLOOKUP(C383,Customers!A:E,5,FALSE)&gt;=1000,"YES","NO")</f>
        <v>YES</v>
      </c>
      <c r="I383">
        <f t="shared" si="5"/>
        <v>58</v>
      </c>
      <c r="J383">
        <f>(I383 - VLOOKUP(E383,Desserts!A:D,4,FALSE)) * F383</f>
        <v>-20</v>
      </c>
    </row>
    <row r="384" spans="1:10" x14ac:dyDescent="0.3">
      <c r="A384" t="s">
        <v>1260</v>
      </c>
      <c r="B384" t="s">
        <v>1261</v>
      </c>
      <c r="C384" t="s">
        <v>457</v>
      </c>
      <c r="D384" t="s">
        <v>187</v>
      </c>
      <c r="E384" t="s">
        <v>539</v>
      </c>
      <c r="F384">
        <v>3</v>
      </c>
      <c r="G384">
        <v>121</v>
      </c>
      <c r="H384" t="str">
        <f>IF(VLOOKUP(C384,Customers!A:E,5,FALSE)&gt;=1000,"YES","NO")</f>
        <v>YES</v>
      </c>
      <c r="I384">
        <f t="shared" si="5"/>
        <v>60.5</v>
      </c>
      <c r="J384">
        <f>(I384 - VLOOKUP(E384,Desserts!A:D,4,FALSE)) * F384</f>
        <v>-4.5</v>
      </c>
    </row>
    <row r="385" spans="1:10" x14ac:dyDescent="0.3">
      <c r="A385" t="s">
        <v>1262</v>
      </c>
      <c r="B385" t="s">
        <v>1253</v>
      </c>
      <c r="C385" t="s">
        <v>467</v>
      </c>
      <c r="D385" t="s">
        <v>13</v>
      </c>
      <c r="E385" t="s">
        <v>575</v>
      </c>
      <c r="F385">
        <v>3</v>
      </c>
      <c r="G385">
        <v>221</v>
      </c>
      <c r="H385" t="str">
        <f>IF(VLOOKUP(C385,Customers!A:E,5,FALSE)&gt;=1000,"YES","NO")</f>
        <v>YES</v>
      </c>
      <c r="I385">
        <f t="shared" si="5"/>
        <v>110.5</v>
      </c>
      <c r="J385">
        <f>(I385 - VLOOKUP(E385,Desserts!A:D,4,FALSE)) * F385</f>
        <v>106.5</v>
      </c>
    </row>
    <row r="386" spans="1:10" x14ac:dyDescent="0.3">
      <c r="A386" t="s">
        <v>1263</v>
      </c>
      <c r="B386" t="s">
        <v>1194</v>
      </c>
      <c r="C386" t="s">
        <v>505</v>
      </c>
      <c r="D386" t="s">
        <v>229</v>
      </c>
      <c r="E386" t="s">
        <v>559</v>
      </c>
      <c r="F386">
        <v>3</v>
      </c>
      <c r="G386">
        <v>230</v>
      </c>
      <c r="H386" t="str">
        <f>IF(VLOOKUP(C386,Customers!A:E,5,FALSE)&gt;=1000,"YES","NO")</f>
        <v>YES</v>
      </c>
      <c r="I386">
        <f t="shared" ref="I386:I449" si="6">IF(H386="YES",G386*0.5,G386)</f>
        <v>115</v>
      </c>
      <c r="J386">
        <f>(I386 - VLOOKUP(E386,Desserts!A:D,4,FALSE)) * F386</f>
        <v>180</v>
      </c>
    </row>
    <row r="387" spans="1:10" x14ac:dyDescent="0.3">
      <c r="A387" t="s">
        <v>1264</v>
      </c>
      <c r="B387" t="s">
        <v>1265</v>
      </c>
      <c r="C387" t="s">
        <v>433</v>
      </c>
      <c r="D387" t="s">
        <v>130</v>
      </c>
      <c r="E387" t="s">
        <v>533</v>
      </c>
      <c r="F387">
        <v>1</v>
      </c>
      <c r="G387">
        <v>249</v>
      </c>
      <c r="H387" t="str">
        <f>IF(VLOOKUP(C387,Customers!A:E,5,FALSE)&gt;=1000,"YES","NO")</f>
        <v>YES</v>
      </c>
      <c r="I387">
        <f t="shared" si="6"/>
        <v>124.5</v>
      </c>
      <c r="J387">
        <f>(I387 - VLOOKUP(E387,Desserts!A:D,4,FALSE)) * F387</f>
        <v>57.5</v>
      </c>
    </row>
    <row r="388" spans="1:10" x14ac:dyDescent="0.3">
      <c r="A388" t="s">
        <v>1266</v>
      </c>
      <c r="B388" t="s">
        <v>669</v>
      </c>
      <c r="C388" t="s">
        <v>359</v>
      </c>
      <c r="D388" t="s">
        <v>268</v>
      </c>
      <c r="E388" t="s">
        <v>545</v>
      </c>
      <c r="F388">
        <v>1</v>
      </c>
      <c r="G388">
        <v>195</v>
      </c>
      <c r="H388" t="str">
        <f>IF(VLOOKUP(C388,Customers!A:E,5,FALSE)&gt;=1000,"YES","NO")</f>
        <v>YES</v>
      </c>
      <c r="I388">
        <f t="shared" si="6"/>
        <v>97.5</v>
      </c>
      <c r="J388">
        <f>(I388 - VLOOKUP(E388,Desserts!A:D,4,FALSE)) * F388</f>
        <v>52.5</v>
      </c>
    </row>
    <row r="389" spans="1:10" x14ac:dyDescent="0.3">
      <c r="A389" t="s">
        <v>1267</v>
      </c>
      <c r="B389" t="s">
        <v>1096</v>
      </c>
      <c r="C389" t="s">
        <v>461</v>
      </c>
      <c r="D389" t="s">
        <v>262</v>
      </c>
      <c r="E389" t="s">
        <v>551</v>
      </c>
      <c r="F389">
        <v>4</v>
      </c>
      <c r="G389">
        <v>156</v>
      </c>
      <c r="H389" t="str">
        <f>IF(VLOOKUP(C389,Customers!A:E,5,FALSE)&gt;=1000,"YES","NO")</f>
        <v>YES</v>
      </c>
      <c r="I389">
        <f t="shared" si="6"/>
        <v>78</v>
      </c>
      <c r="J389">
        <f>(I389 - VLOOKUP(E389,Desserts!A:D,4,FALSE)) * F389</f>
        <v>36</v>
      </c>
    </row>
    <row r="390" spans="1:10" x14ac:dyDescent="0.3">
      <c r="A390" t="s">
        <v>1268</v>
      </c>
      <c r="B390" t="s">
        <v>1208</v>
      </c>
      <c r="C390" t="s">
        <v>425</v>
      </c>
      <c r="D390" t="s">
        <v>124</v>
      </c>
      <c r="E390" t="s">
        <v>593</v>
      </c>
      <c r="F390">
        <v>3</v>
      </c>
      <c r="G390">
        <v>208</v>
      </c>
      <c r="H390" t="str">
        <f>IF(VLOOKUP(C390,Customers!A:E,5,FALSE)&gt;=1000,"YES","NO")</f>
        <v>NO</v>
      </c>
      <c r="I390">
        <f t="shared" si="6"/>
        <v>208</v>
      </c>
      <c r="J390">
        <f>(I390 - VLOOKUP(E390,Desserts!A:D,4,FALSE)) * F390</f>
        <v>462</v>
      </c>
    </row>
    <row r="391" spans="1:10" x14ac:dyDescent="0.3">
      <c r="A391" t="s">
        <v>1269</v>
      </c>
      <c r="B391" t="s">
        <v>1090</v>
      </c>
      <c r="C391" t="s">
        <v>323</v>
      </c>
      <c r="D391" t="s">
        <v>20</v>
      </c>
      <c r="E391" t="s">
        <v>539</v>
      </c>
      <c r="F391">
        <v>4</v>
      </c>
      <c r="G391">
        <v>139</v>
      </c>
      <c r="H391" t="str">
        <f>IF(VLOOKUP(C391,Customers!A:E,5,FALSE)&gt;=1000,"YES","NO")</f>
        <v>NO</v>
      </c>
      <c r="I391">
        <f t="shared" si="6"/>
        <v>139</v>
      </c>
      <c r="J391">
        <f>(I391 - VLOOKUP(E391,Desserts!A:D,4,FALSE)) * F391</f>
        <v>308</v>
      </c>
    </row>
    <row r="392" spans="1:10" x14ac:dyDescent="0.3">
      <c r="A392" t="s">
        <v>1270</v>
      </c>
      <c r="B392" t="s">
        <v>882</v>
      </c>
      <c r="C392" t="s">
        <v>339</v>
      </c>
      <c r="D392" t="s">
        <v>241</v>
      </c>
      <c r="E392" t="s">
        <v>557</v>
      </c>
      <c r="F392">
        <v>2</v>
      </c>
      <c r="G392">
        <v>169</v>
      </c>
      <c r="H392" t="str">
        <f>IF(VLOOKUP(C392,Customers!A:E,5,FALSE)&gt;=1000,"YES","NO")</f>
        <v>NO</v>
      </c>
      <c r="I392">
        <f t="shared" si="6"/>
        <v>169</v>
      </c>
      <c r="J392">
        <f>(I392 - VLOOKUP(E392,Desserts!A:D,4,FALSE)) * F392</f>
        <v>170</v>
      </c>
    </row>
    <row r="393" spans="1:10" x14ac:dyDescent="0.3">
      <c r="A393" t="s">
        <v>1271</v>
      </c>
      <c r="B393" t="s">
        <v>1240</v>
      </c>
      <c r="C393" t="s">
        <v>363</v>
      </c>
      <c r="D393" t="s">
        <v>118</v>
      </c>
      <c r="E393" t="s">
        <v>583</v>
      </c>
      <c r="F393">
        <v>4</v>
      </c>
      <c r="G393">
        <v>190</v>
      </c>
      <c r="H393" t="str">
        <f>IF(VLOOKUP(C393,Customers!A:E,5,FALSE)&gt;=1000,"YES","NO")</f>
        <v>YES</v>
      </c>
      <c r="I393">
        <f t="shared" si="6"/>
        <v>95</v>
      </c>
      <c r="J393">
        <f>(I393 - VLOOKUP(E393,Desserts!A:D,4,FALSE)) * F393</f>
        <v>48</v>
      </c>
    </row>
    <row r="394" spans="1:10" x14ac:dyDescent="0.3">
      <c r="A394" t="s">
        <v>1272</v>
      </c>
      <c r="B394" t="s">
        <v>940</v>
      </c>
      <c r="C394" t="s">
        <v>323</v>
      </c>
      <c r="D394" t="s">
        <v>289</v>
      </c>
      <c r="E394" t="s">
        <v>593</v>
      </c>
      <c r="F394">
        <v>3</v>
      </c>
      <c r="G394">
        <v>201</v>
      </c>
      <c r="H394" t="str">
        <f>IF(VLOOKUP(C394,Customers!A:E,5,FALSE)&gt;=1000,"YES","NO")</f>
        <v>NO</v>
      </c>
      <c r="I394">
        <f t="shared" si="6"/>
        <v>201</v>
      </c>
      <c r="J394">
        <f>(I394 - VLOOKUP(E394,Desserts!A:D,4,FALSE)) * F394</f>
        <v>441</v>
      </c>
    </row>
    <row r="395" spans="1:10" x14ac:dyDescent="0.3">
      <c r="A395" t="s">
        <v>1273</v>
      </c>
      <c r="B395" t="s">
        <v>1274</v>
      </c>
      <c r="C395" t="s">
        <v>501</v>
      </c>
      <c r="D395" t="s">
        <v>289</v>
      </c>
      <c r="E395" t="s">
        <v>545</v>
      </c>
      <c r="F395">
        <v>5</v>
      </c>
      <c r="G395">
        <v>114</v>
      </c>
      <c r="H395" t="str">
        <f>IF(VLOOKUP(C395,Customers!A:E,5,FALSE)&gt;=1000,"YES","NO")</f>
        <v>YES</v>
      </c>
      <c r="I395">
        <f t="shared" si="6"/>
        <v>57</v>
      </c>
      <c r="J395">
        <f>(I395 - VLOOKUP(E395,Desserts!A:D,4,FALSE)) * F395</f>
        <v>60</v>
      </c>
    </row>
    <row r="396" spans="1:10" x14ac:dyDescent="0.3">
      <c r="A396" t="s">
        <v>1275</v>
      </c>
      <c r="B396" t="s">
        <v>1059</v>
      </c>
      <c r="C396" t="s">
        <v>467</v>
      </c>
      <c r="D396" t="s">
        <v>253</v>
      </c>
      <c r="E396" t="s">
        <v>557</v>
      </c>
      <c r="F396">
        <v>1</v>
      </c>
      <c r="G396">
        <v>111</v>
      </c>
      <c r="H396" t="str">
        <f>IF(VLOOKUP(C396,Customers!A:E,5,FALSE)&gt;=1000,"YES","NO")</f>
        <v>YES</v>
      </c>
      <c r="I396">
        <f t="shared" si="6"/>
        <v>55.5</v>
      </c>
      <c r="J396">
        <f>(I396 - VLOOKUP(E396,Desserts!A:D,4,FALSE)) * F396</f>
        <v>-28.5</v>
      </c>
    </row>
    <row r="397" spans="1:10" x14ac:dyDescent="0.3">
      <c r="A397" t="s">
        <v>1276</v>
      </c>
      <c r="B397" t="s">
        <v>1277</v>
      </c>
      <c r="C397" t="s">
        <v>447</v>
      </c>
      <c r="D397" t="s">
        <v>205</v>
      </c>
      <c r="E397" t="s">
        <v>559</v>
      </c>
      <c r="F397">
        <v>3</v>
      </c>
      <c r="G397">
        <v>123</v>
      </c>
      <c r="H397" t="str">
        <f>IF(VLOOKUP(C397,Customers!A:E,5,FALSE)&gt;=1000,"YES","NO")</f>
        <v>YES</v>
      </c>
      <c r="I397">
        <f t="shared" si="6"/>
        <v>61.5</v>
      </c>
      <c r="J397">
        <f>(I397 - VLOOKUP(E397,Desserts!A:D,4,FALSE)) * F397</f>
        <v>19.5</v>
      </c>
    </row>
    <row r="398" spans="1:10" x14ac:dyDescent="0.3">
      <c r="A398" t="s">
        <v>1278</v>
      </c>
      <c r="B398" t="s">
        <v>1190</v>
      </c>
      <c r="C398" t="s">
        <v>437</v>
      </c>
      <c r="D398" t="s">
        <v>292</v>
      </c>
      <c r="E398" t="s">
        <v>551</v>
      </c>
      <c r="F398">
        <v>3</v>
      </c>
      <c r="G398">
        <v>113</v>
      </c>
      <c r="H398" t="str">
        <f>IF(VLOOKUP(C398,Customers!A:E,5,FALSE)&gt;=1000,"YES","NO")</f>
        <v>NO</v>
      </c>
      <c r="I398">
        <f t="shared" si="6"/>
        <v>113</v>
      </c>
      <c r="J398">
        <f>(I398 - VLOOKUP(E398,Desserts!A:D,4,FALSE)) * F398</f>
        <v>132</v>
      </c>
    </row>
    <row r="399" spans="1:10" x14ac:dyDescent="0.3">
      <c r="A399" t="s">
        <v>1279</v>
      </c>
      <c r="B399" t="s">
        <v>1280</v>
      </c>
      <c r="C399" t="s">
        <v>489</v>
      </c>
      <c r="D399" t="s">
        <v>178</v>
      </c>
      <c r="E399" t="s">
        <v>585</v>
      </c>
      <c r="F399">
        <v>4</v>
      </c>
      <c r="G399">
        <v>218</v>
      </c>
      <c r="H399" t="str">
        <f>IF(VLOOKUP(C399,Customers!A:E,5,FALSE)&gt;=1000,"YES","NO")</f>
        <v>NO</v>
      </c>
      <c r="I399">
        <f t="shared" si="6"/>
        <v>218</v>
      </c>
      <c r="J399">
        <f>(I399 - VLOOKUP(E399,Desserts!A:D,4,FALSE)) * F399</f>
        <v>684</v>
      </c>
    </row>
    <row r="400" spans="1:10" x14ac:dyDescent="0.3">
      <c r="A400" t="s">
        <v>1281</v>
      </c>
      <c r="B400" t="s">
        <v>814</v>
      </c>
      <c r="C400" t="s">
        <v>361</v>
      </c>
      <c r="D400" t="s">
        <v>301</v>
      </c>
      <c r="E400" t="s">
        <v>541</v>
      </c>
      <c r="F400">
        <v>1</v>
      </c>
      <c r="G400">
        <v>197</v>
      </c>
      <c r="H400" t="str">
        <f>IF(VLOOKUP(C400,Customers!A:E,5,FALSE)&gt;=1000,"YES","NO")</f>
        <v>NO</v>
      </c>
      <c r="I400">
        <f t="shared" si="6"/>
        <v>197</v>
      </c>
      <c r="J400">
        <f>(I400 - VLOOKUP(E400,Desserts!A:D,4,FALSE)) * F400</f>
        <v>140</v>
      </c>
    </row>
    <row r="401" spans="1:10" x14ac:dyDescent="0.3">
      <c r="A401" t="s">
        <v>1282</v>
      </c>
      <c r="B401" t="s">
        <v>659</v>
      </c>
      <c r="C401" t="s">
        <v>465</v>
      </c>
      <c r="D401" t="s">
        <v>202</v>
      </c>
      <c r="E401" t="s">
        <v>599</v>
      </c>
      <c r="F401">
        <v>2</v>
      </c>
      <c r="G401">
        <v>163</v>
      </c>
      <c r="H401" t="str">
        <f>IF(VLOOKUP(C401,Customers!A:E,5,FALSE)&gt;=1000,"YES","NO")</f>
        <v>YES</v>
      </c>
      <c r="I401">
        <f t="shared" si="6"/>
        <v>81.5</v>
      </c>
      <c r="J401">
        <f>(I401 - VLOOKUP(E401,Desserts!A:D,4,FALSE)) * F401</f>
        <v>3</v>
      </c>
    </row>
    <row r="402" spans="1:10" x14ac:dyDescent="0.3">
      <c r="A402" t="s">
        <v>1283</v>
      </c>
      <c r="B402" t="s">
        <v>1284</v>
      </c>
      <c r="C402" t="s">
        <v>349</v>
      </c>
      <c r="D402" t="s">
        <v>163</v>
      </c>
      <c r="E402" t="s">
        <v>615</v>
      </c>
      <c r="F402">
        <v>5</v>
      </c>
      <c r="G402">
        <v>203</v>
      </c>
      <c r="H402" t="str">
        <f>IF(VLOOKUP(C402,Customers!A:E,5,FALSE)&gt;=1000,"YES","NO")</f>
        <v>NO</v>
      </c>
      <c r="I402">
        <f t="shared" si="6"/>
        <v>203</v>
      </c>
      <c r="J402">
        <f>(I402 - VLOOKUP(E402,Desserts!A:D,4,FALSE)) * F402</f>
        <v>805</v>
      </c>
    </row>
    <row r="403" spans="1:10" x14ac:dyDescent="0.3">
      <c r="A403" t="s">
        <v>1285</v>
      </c>
      <c r="B403" t="s">
        <v>892</v>
      </c>
      <c r="C403" t="s">
        <v>481</v>
      </c>
      <c r="D403" t="s">
        <v>142</v>
      </c>
      <c r="E403" t="s">
        <v>523</v>
      </c>
      <c r="F403">
        <v>3</v>
      </c>
      <c r="G403">
        <v>131</v>
      </c>
      <c r="H403" t="str">
        <f>IF(VLOOKUP(C403,Customers!A:E,5,FALSE)&gt;=1000,"YES","NO")</f>
        <v>YES</v>
      </c>
      <c r="I403">
        <f t="shared" si="6"/>
        <v>65.5</v>
      </c>
      <c r="J403">
        <f>(I403 - VLOOKUP(E403,Desserts!A:D,4,FALSE)) * F403</f>
        <v>-7.5</v>
      </c>
    </row>
    <row r="404" spans="1:10" x14ac:dyDescent="0.3">
      <c r="A404" t="s">
        <v>1286</v>
      </c>
      <c r="B404" t="s">
        <v>1287</v>
      </c>
      <c r="C404" t="s">
        <v>367</v>
      </c>
      <c r="D404" t="s">
        <v>250</v>
      </c>
      <c r="E404" t="s">
        <v>603</v>
      </c>
      <c r="F404">
        <v>2</v>
      </c>
      <c r="G404">
        <v>150</v>
      </c>
      <c r="H404" t="str">
        <f>IF(VLOOKUP(C404,Customers!A:E,5,FALSE)&gt;=1000,"YES","NO")</f>
        <v>NO</v>
      </c>
      <c r="I404">
        <f t="shared" si="6"/>
        <v>150</v>
      </c>
      <c r="J404">
        <f>(I404 - VLOOKUP(E404,Desserts!A:D,4,FALSE)) * F404</f>
        <v>122</v>
      </c>
    </row>
    <row r="405" spans="1:10" x14ac:dyDescent="0.3">
      <c r="A405" t="s">
        <v>1288</v>
      </c>
      <c r="B405" t="s">
        <v>1289</v>
      </c>
      <c r="C405" t="s">
        <v>451</v>
      </c>
      <c r="D405" t="s">
        <v>226</v>
      </c>
      <c r="E405" t="s">
        <v>577</v>
      </c>
      <c r="F405">
        <v>5</v>
      </c>
      <c r="G405">
        <v>121</v>
      </c>
      <c r="H405" t="str">
        <f>IF(VLOOKUP(C405,Customers!A:E,5,FALSE)&gt;=1000,"YES","NO")</f>
        <v>NO</v>
      </c>
      <c r="I405">
        <f t="shared" si="6"/>
        <v>121</v>
      </c>
      <c r="J405">
        <f>(I405 - VLOOKUP(E405,Desserts!A:D,4,FALSE)) * F405</f>
        <v>255</v>
      </c>
    </row>
    <row r="406" spans="1:10" x14ac:dyDescent="0.3">
      <c r="A406" t="s">
        <v>1290</v>
      </c>
      <c r="B406" t="s">
        <v>767</v>
      </c>
      <c r="C406" t="s">
        <v>463</v>
      </c>
      <c r="D406" t="s">
        <v>298</v>
      </c>
      <c r="E406" t="s">
        <v>551</v>
      </c>
      <c r="F406">
        <v>4</v>
      </c>
      <c r="G406">
        <v>160</v>
      </c>
      <c r="H406" t="str">
        <f>IF(VLOOKUP(C406,Customers!A:E,5,FALSE)&gt;=1000,"YES","NO")</f>
        <v>NO</v>
      </c>
      <c r="I406">
        <f t="shared" si="6"/>
        <v>160</v>
      </c>
      <c r="J406">
        <f>(I406 - VLOOKUP(E406,Desserts!A:D,4,FALSE)) * F406</f>
        <v>364</v>
      </c>
    </row>
    <row r="407" spans="1:10" x14ac:dyDescent="0.3">
      <c r="A407" t="s">
        <v>1291</v>
      </c>
      <c r="B407" t="s">
        <v>1104</v>
      </c>
      <c r="C407" t="s">
        <v>505</v>
      </c>
      <c r="D407" t="s">
        <v>148</v>
      </c>
      <c r="E407" t="s">
        <v>575</v>
      </c>
      <c r="F407">
        <v>2</v>
      </c>
      <c r="G407">
        <v>142</v>
      </c>
      <c r="H407" t="str">
        <f>IF(VLOOKUP(C407,Customers!A:E,5,FALSE)&gt;=1000,"YES","NO")</f>
        <v>YES</v>
      </c>
      <c r="I407">
        <f t="shared" si="6"/>
        <v>71</v>
      </c>
      <c r="J407">
        <f>(I407 - VLOOKUP(E407,Desserts!A:D,4,FALSE)) * F407</f>
        <v>-8</v>
      </c>
    </row>
    <row r="408" spans="1:10" x14ac:dyDescent="0.3">
      <c r="A408" t="s">
        <v>1292</v>
      </c>
      <c r="B408" t="s">
        <v>818</v>
      </c>
      <c r="C408" t="s">
        <v>419</v>
      </c>
      <c r="D408" t="s">
        <v>223</v>
      </c>
      <c r="E408" t="s">
        <v>619</v>
      </c>
      <c r="F408">
        <v>4</v>
      </c>
      <c r="G408">
        <v>181</v>
      </c>
      <c r="H408" t="str">
        <f>IF(VLOOKUP(C408,Customers!A:E,5,FALSE)&gt;=1000,"YES","NO")</f>
        <v>NO</v>
      </c>
      <c r="I408">
        <f t="shared" si="6"/>
        <v>181</v>
      </c>
      <c r="J408">
        <f>(I408 - VLOOKUP(E408,Desserts!A:D,4,FALSE)) * F408</f>
        <v>400</v>
      </c>
    </row>
    <row r="409" spans="1:10" x14ac:dyDescent="0.3">
      <c r="A409" t="s">
        <v>1293</v>
      </c>
      <c r="B409" t="s">
        <v>895</v>
      </c>
      <c r="C409" t="s">
        <v>509</v>
      </c>
      <c r="D409" t="s">
        <v>76</v>
      </c>
      <c r="E409" t="s">
        <v>549</v>
      </c>
      <c r="F409">
        <v>1</v>
      </c>
      <c r="G409">
        <v>141</v>
      </c>
      <c r="H409" t="str">
        <f>IF(VLOOKUP(C409,Customers!A:E,5,FALSE)&gt;=1000,"YES","NO")</f>
        <v>NO</v>
      </c>
      <c r="I409">
        <f t="shared" si="6"/>
        <v>141</v>
      </c>
      <c r="J409">
        <f>(I409 - VLOOKUP(E409,Desserts!A:D,4,FALSE)) * F409</f>
        <v>62</v>
      </c>
    </row>
    <row r="410" spans="1:10" x14ac:dyDescent="0.3">
      <c r="A410" t="s">
        <v>1294</v>
      </c>
      <c r="B410" t="s">
        <v>1155</v>
      </c>
      <c r="C410" t="s">
        <v>381</v>
      </c>
      <c r="D410" t="s">
        <v>304</v>
      </c>
      <c r="E410" t="s">
        <v>589</v>
      </c>
      <c r="F410">
        <v>4</v>
      </c>
      <c r="G410">
        <v>246</v>
      </c>
      <c r="H410" t="str">
        <f>IF(VLOOKUP(C410,Customers!A:E,5,FALSE)&gt;=1000,"YES","NO")</f>
        <v>NO</v>
      </c>
      <c r="I410">
        <f t="shared" si="6"/>
        <v>246</v>
      </c>
      <c r="J410">
        <f>(I410 - VLOOKUP(E410,Desserts!A:D,4,FALSE)) * F410</f>
        <v>700</v>
      </c>
    </row>
    <row r="411" spans="1:10" x14ac:dyDescent="0.3">
      <c r="A411" t="s">
        <v>1295</v>
      </c>
      <c r="B411" t="s">
        <v>978</v>
      </c>
      <c r="C411" t="s">
        <v>511</v>
      </c>
      <c r="D411" t="s">
        <v>301</v>
      </c>
      <c r="E411" t="s">
        <v>559</v>
      </c>
      <c r="F411">
        <v>3</v>
      </c>
      <c r="G411">
        <v>202</v>
      </c>
      <c r="H411" t="str">
        <f>IF(VLOOKUP(C411,Customers!A:E,5,FALSE)&gt;=1000,"YES","NO")</f>
        <v>YES</v>
      </c>
      <c r="I411">
        <f t="shared" si="6"/>
        <v>101</v>
      </c>
      <c r="J411">
        <f>(I411 - VLOOKUP(E411,Desserts!A:D,4,FALSE)) * F411</f>
        <v>138</v>
      </c>
    </row>
    <row r="412" spans="1:10" x14ac:dyDescent="0.3">
      <c r="A412" t="s">
        <v>1296</v>
      </c>
      <c r="B412" t="s">
        <v>1297</v>
      </c>
      <c r="C412" t="s">
        <v>495</v>
      </c>
      <c r="D412" t="s">
        <v>208</v>
      </c>
      <c r="E412" t="s">
        <v>615</v>
      </c>
      <c r="F412">
        <v>3</v>
      </c>
      <c r="G412">
        <v>100</v>
      </c>
      <c r="H412" t="str">
        <f>IF(VLOOKUP(C412,Customers!A:E,5,FALSE)&gt;=1000,"YES","NO")</f>
        <v>NO</v>
      </c>
      <c r="I412">
        <f t="shared" si="6"/>
        <v>100</v>
      </c>
      <c r="J412">
        <f>(I412 - VLOOKUP(E412,Desserts!A:D,4,FALSE)) * F412</f>
        <v>174</v>
      </c>
    </row>
    <row r="413" spans="1:10" x14ac:dyDescent="0.3">
      <c r="A413" t="s">
        <v>1298</v>
      </c>
      <c r="B413" t="s">
        <v>1299</v>
      </c>
      <c r="C413" t="s">
        <v>363</v>
      </c>
      <c r="D413" t="s">
        <v>289</v>
      </c>
      <c r="E413" t="s">
        <v>549</v>
      </c>
      <c r="F413">
        <v>3</v>
      </c>
      <c r="G413">
        <v>141</v>
      </c>
      <c r="H413" t="str">
        <f>IF(VLOOKUP(C413,Customers!A:E,5,FALSE)&gt;=1000,"YES","NO")</f>
        <v>YES</v>
      </c>
      <c r="I413">
        <f t="shared" si="6"/>
        <v>70.5</v>
      </c>
      <c r="J413">
        <f>(I413 - VLOOKUP(E413,Desserts!A:D,4,FALSE)) * F413</f>
        <v>-25.5</v>
      </c>
    </row>
    <row r="414" spans="1:10" x14ac:dyDescent="0.3">
      <c r="A414" t="s">
        <v>1300</v>
      </c>
      <c r="B414" t="s">
        <v>1237</v>
      </c>
      <c r="C414" t="s">
        <v>487</v>
      </c>
      <c r="D414" t="s">
        <v>124</v>
      </c>
      <c r="E414" t="s">
        <v>605</v>
      </c>
      <c r="F414">
        <v>4</v>
      </c>
      <c r="G414">
        <v>105</v>
      </c>
      <c r="H414" t="str">
        <f>IF(VLOOKUP(C414,Customers!A:E,5,FALSE)&gt;=1000,"YES","NO")</f>
        <v>NO</v>
      </c>
      <c r="I414">
        <f t="shared" si="6"/>
        <v>105</v>
      </c>
      <c r="J414">
        <f>(I414 - VLOOKUP(E414,Desserts!A:D,4,FALSE)) * F414</f>
        <v>172</v>
      </c>
    </row>
    <row r="415" spans="1:10" x14ac:dyDescent="0.3">
      <c r="A415" t="s">
        <v>1301</v>
      </c>
      <c r="B415" t="s">
        <v>1302</v>
      </c>
      <c r="C415" t="s">
        <v>483</v>
      </c>
      <c r="D415" t="s">
        <v>247</v>
      </c>
      <c r="E415" t="s">
        <v>579</v>
      </c>
      <c r="F415">
        <v>5</v>
      </c>
      <c r="G415">
        <v>235</v>
      </c>
      <c r="H415" t="str">
        <f>IF(VLOOKUP(C415,Customers!A:E,5,FALSE)&gt;=1000,"YES","NO")</f>
        <v>YES</v>
      </c>
      <c r="I415">
        <f t="shared" si="6"/>
        <v>117.5</v>
      </c>
      <c r="J415">
        <f>(I415 - VLOOKUP(E415,Desserts!A:D,4,FALSE)) * F415</f>
        <v>277.5</v>
      </c>
    </row>
    <row r="416" spans="1:10" x14ac:dyDescent="0.3">
      <c r="A416" t="s">
        <v>1303</v>
      </c>
      <c r="B416" t="s">
        <v>992</v>
      </c>
      <c r="C416" t="s">
        <v>345</v>
      </c>
      <c r="D416" t="s">
        <v>298</v>
      </c>
      <c r="E416" t="s">
        <v>583</v>
      </c>
      <c r="F416">
        <v>5</v>
      </c>
      <c r="G416">
        <v>113</v>
      </c>
      <c r="H416" t="str">
        <f>IF(VLOOKUP(C416,Customers!A:E,5,FALSE)&gt;=1000,"YES","NO")</f>
        <v>YES</v>
      </c>
      <c r="I416">
        <f t="shared" si="6"/>
        <v>56.5</v>
      </c>
      <c r="J416">
        <f>(I416 - VLOOKUP(E416,Desserts!A:D,4,FALSE)) * F416</f>
        <v>-132.5</v>
      </c>
    </row>
    <row r="417" spans="1:10" x14ac:dyDescent="0.3">
      <c r="A417" t="s">
        <v>1304</v>
      </c>
      <c r="B417" t="s">
        <v>1305</v>
      </c>
      <c r="C417" t="s">
        <v>435</v>
      </c>
      <c r="D417" t="s">
        <v>142</v>
      </c>
      <c r="E417" t="s">
        <v>613</v>
      </c>
      <c r="F417">
        <v>5</v>
      </c>
      <c r="G417">
        <v>176</v>
      </c>
      <c r="H417" t="str">
        <f>IF(VLOOKUP(C417,Customers!A:E,5,FALSE)&gt;=1000,"YES","NO")</f>
        <v>NO</v>
      </c>
      <c r="I417">
        <f t="shared" si="6"/>
        <v>176</v>
      </c>
      <c r="J417">
        <f>(I417 - VLOOKUP(E417,Desserts!A:D,4,FALSE)) * F417</f>
        <v>455</v>
      </c>
    </row>
    <row r="418" spans="1:10" x14ac:dyDescent="0.3">
      <c r="A418" t="s">
        <v>1306</v>
      </c>
      <c r="B418" t="s">
        <v>1145</v>
      </c>
      <c r="C418" t="s">
        <v>377</v>
      </c>
      <c r="D418" t="s">
        <v>208</v>
      </c>
      <c r="E418" t="s">
        <v>609</v>
      </c>
      <c r="F418">
        <v>3</v>
      </c>
      <c r="G418">
        <v>225</v>
      </c>
      <c r="H418" t="str">
        <f>IF(VLOOKUP(C418,Customers!A:E,5,FALSE)&gt;=1000,"YES","NO")</f>
        <v>NO</v>
      </c>
      <c r="I418">
        <f t="shared" si="6"/>
        <v>225</v>
      </c>
      <c r="J418">
        <f>(I418 - VLOOKUP(E418,Desserts!A:D,4,FALSE)) * F418</f>
        <v>483</v>
      </c>
    </row>
    <row r="419" spans="1:10" x14ac:dyDescent="0.3">
      <c r="A419" t="s">
        <v>1307</v>
      </c>
      <c r="B419" t="s">
        <v>1308</v>
      </c>
      <c r="C419" t="s">
        <v>377</v>
      </c>
      <c r="D419" t="s">
        <v>43</v>
      </c>
      <c r="E419" t="s">
        <v>581</v>
      </c>
      <c r="F419">
        <v>1</v>
      </c>
      <c r="G419">
        <v>183</v>
      </c>
      <c r="H419" t="str">
        <f>IF(VLOOKUP(C419,Customers!A:E,5,FALSE)&gt;=1000,"YES","NO")</f>
        <v>NO</v>
      </c>
      <c r="I419">
        <f t="shared" si="6"/>
        <v>183</v>
      </c>
      <c r="J419">
        <f>(I419 - VLOOKUP(E419,Desserts!A:D,4,FALSE)) * F419</f>
        <v>94</v>
      </c>
    </row>
    <row r="420" spans="1:10" x14ac:dyDescent="0.3">
      <c r="A420" t="s">
        <v>1309</v>
      </c>
      <c r="B420" t="s">
        <v>1310</v>
      </c>
      <c r="C420" t="s">
        <v>371</v>
      </c>
      <c r="D420" t="s">
        <v>79</v>
      </c>
      <c r="E420" t="s">
        <v>557</v>
      </c>
      <c r="F420">
        <v>1</v>
      </c>
      <c r="G420">
        <v>217</v>
      </c>
      <c r="H420" t="str">
        <f>IF(VLOOKUP(C420,Customers!A:E,5,FALSE)&gt;=1000,"YES","NO")</f>
        <v>NO</v>
      </c>
      <c r="I420">
        <f t="shared" si="6"/>
        <v>217</v>
      </c>
      <c r="J420">
        <f>(I420 - VLOOKUP(E420,Desserts!A:D,4,FALSE)) * F420</f>
        <v>133</v>
      </c>
    </row>
    <row r="421" spans="1:10" x14ac:dyDescent="0.3">
      <c r="A421" t="s">
        <v>1311</v>
      </c>
      <c r="B421" t="s">
        <v>695</v>
      </c>
      <c r="C421" t="s">
        <v>345</v>
      </c>
      <c r="D421" t="s">
        <v>127</v>
      </c>
      <c r="E421" t="s">
        <v>569</v>
      </c>
      <c r="F421">
        <v>4</v>
      </c>
      <c r="G421">
        <v>233</v>
      </c>
      <c r="H421" t="str">
        <f>IF(VLOOKUP(C421,Customers!A:E,5,FALSE)&gt;=1000,"YES","NO")</f>
        <v>YES</v>
      </c>
      <c r="I421">
        <f t="shared" si="6"/>
        <v>116.5</v>
      </c>
      <c r="J421">
        <f>(I421 - VLOOKUP(E421,Desserts!A:D,4,FALSE)) * F421</f>
        <v>158</v>
      </c>
    </row>
    <row r="422" spans="1:10" x14ac:dyDescent="0.3">
      <c r="A422" t="s">
        <v>1312</v>
      </c>
      <c r="B422" t="s">
        <v>1113</v>
      </c>
      <c r="C422" t="s">
        <v>507</v>
      </c>
      <c r="D422" t="s">
        <v>217</v>
      </c>
      <c r="E422" t="s">
        <v>527</v>
      </c>
      <c r="F422">
        <v>1</v>
      </c>
      <c r="G422">
        <v>134</v>
      </c>
      <c r="H422" t="str">
        <f>IF(VLOOKUP(C422,Customers!A:E,5,FALSE)&gt;=1000,"YES","NO")</f>
        <v>NO</v>
      </c>
      <c r="I422">
        <f t="shared" si="6"/>
        <v>134</v>
      </c>
      <c r="J422">
        <f>(I422 - VLOOKUP(E422,Desserts!A:D,4,FALSE)) * F422</f>
        <v>91</v>
      </c>
    </row>
    <row r="423" spans="1:10" x14ac:dyDescent="0.3">
      <c r="A423" t="s">
        <v>1313</v>
      </c>
      <c r="B423" t="s">
        <v>1314</v>
      </c>
      <c r="C423" t="s">
        <v>447</v>
      </c>
      <c r="D423" t="s">
        <v>30</v>
      </c>
      <c r="E423" t="s">
        <v>529</v>
      </c>
      <c r="F423">
        <v>1</v>
      </c>
      <c r="G423">
        <v>220</v>
      </c>
      <c r="H423" t="str">
        <f>IF(VLOOKUP(C423,Customers!A:E,5,FALSE)&gt;=1000,"YES","NO")</f>
        <v>YES</v>
      </c>
      <c r="I423">
        <f t="shared" si="6"/>
        <v>110</v>
      </c>
      <c r="J423">
        <f>(I423 - VLOOKUP(E423,Desserts!A:D,4,FALSE)) * F423</f>
        <v>42</v>
      </c>
    </row>
    <row r="424" spans="1:10" x14ac:dyDescent="0.3">
      <c r="A424" t="s">
        <v>1315</v>
      </c>
      <c r="B424" t="s">
        <v>1316</v>
      </c>
      <c r="C424" t="s">
        <v>393</v>
      </c>
      <c r="D424" t="s">
        <v>66</v>
      </c>
      <c r="E424" t="s">
        <v>583</v>
      </c>
      <c r="F424">
        <v>1</v>
      </c>
      <c r="G424">
        <v>102</v>
      </c>
      <c r="H424" t="str">
        <f>IF(VLOOKUP(C424,Customers!A:E,5,FALSE)&gt;=1000,"YES","NO")</f>
        <v>YES</v>
      </c>
      <c r="I424">
        <f t="shared" si="6"/>
        <v>51</v>
      </c>
      <c r="J424">
        <f>(I424 - VLOOKUP(E424,Desserts!A:D,4,FALSE)) * F424</f>
        <v>-32</v>
      </c>
    </row>
    <row r="425" spans="1:10" x14ac:dyDescent="0.3">
      <c r="A425" t="s">
        <v>1317</v>
      </c>
      <c r="B425" t="s">
        <v>1318</v>
      </c>
      <c r="C425" t="s">
        <v>427</v>
      </c>
      <c r="D425" t="s">
        <v>157</v>
      </c>
      <c r="E425" t="s">
        <v>617</v>
      </c>
      <c r="F425">
        <v>1</v>
      </c>
      <c r="G425">
        <v>236</v>
      </c>
      <c r="H425" t="str">
        <f>IF(VLOOKUP(C425,Customers!A:E,5,FALSE)&gt;=1000,"YES","NO")</f>
        <v>NO</v>
      </c>
      <c r="I425">
        <f t="shared" si="6"/>
        <v>236</v>
      </c>
      <c r="J425">
        <f>(I425 - VLOOKUP(E425,Desserts!A:D,4,FALSE)) * F425</f>
        <v>195</v>
      </c>
    </row>
    <row r="426" spans="1:10" x14ac:dyDescent="0.3">
      <c r="A426" t="s">
        <v>1319</v>
      </c>
      <c r="B426" t="s">
        <v>701</v>
      </c>
      <c r="C426" t="s">
        <v>485</v>
      </c>
      <c r="D426" t="s">
        <v>51</v>
      </c>
      <c r="E426" t="s">
        <v>593</v>
      </c>
      <c r="F426">
        <v>4</v>
      </c>
      <c r="G426">
        <v>220</v>
      </c>
      <c r="H426" t="str">
        <f>IF(VLOOKUP(C426,Customers!A:E,5,FALSE)&gt;=1000,"YES","NO")</f>
        <v>YES</v>
      </c>
      <c r="I426">
        <f t="shared" si="6"/>
        <v>110</v>
      </c>
      <c r="J426">
        <f>(I426 - VLOOKUP(E426,Desserts!A:D,4,FALSE)) * F426</f>
        <v>224</v>
      </c>
    </row>
    <row r="427" spans="1:10" x14ac:dyDescent="0.3">
      <c r="A427" t="s">
        <v>1320</v>
      </c>
      <c r="B427" t="s">
        <v>1321</v>
      </c>
      <c r="C427" t="s">
        <v>327</v>
      </c>
      <c r="D427" t="s">
        <v>88</v>
      </c>
      <c r="E427" t="s">
        <v>549</v>
      </c>
      <c r="F427">
        <v>4</v>
      </c>
      <c r="G427">
        <v>159</v>
      </c>
      <c r="H427" t="str">
        <f>IF(VLOOKUP(C427,Customers!A:E,5,FALSE)&gt;=1000,"YES","NO")</f>
        <v>YES</v>
      </c>
      <c r="I427">
        <f t="shared" si="6"/>
        <v>79.5</v>
      </c>
      <c r="J427">
        <f>(I427 - VLOOKUP(E427,Desserts!A:D,4,FALSE)) * F427</f>
        <v>2</v>
      </c>
    </row>
    <row r="428" spans="1:10" x14ac:dyDescent="0.3">
      <c r="A428" t="s">
        <v>1322</v>
      </c>
      <c r="B428" t="s">
        <v>1208</v>
      </c>
      <c r="C428" t="s">
        <v>439</v>
      </c>
      <c r="D428" t="s">
        <v>94</v>
      </c>
      <c r="E428" t="s">
        <v>583</v>
      </c>
      <c r="F428">
        <v>5</v>
      </c>
      <c r="G428">
        <v>111</v>
      </c>
      <c r="H428" t="str">
        <f>IF(VLOOKUP(C428,Customers!A:E,5,FALSE)&gt;=1000,"YES","NO")</f>
        <v>YES</v>
      </c>
      <c r="I428">
        <f t="shared" si="6"/>
        <v>55.5</v>
      </c>
      <c r="J428">
        <f>(I428 - VLOOKUP(E428,Desserts!A:D,4,FALSE)) * F428</f>
        <v>-137.5</v>
      </c>
    </row>
    <row r="429" spans="1:10" x14ac:dyDescent="0.3">
      <c r="A429" t="s">
        <v>1323</v>
      </c>
      <c r="B429" t="s">
        <v>1324</v>
      </c>
      <c r="C429" t="s">
        <v>335</v>
      </c>
      <c r="D429" t="s">
        <v>43</v>
      </c>
      <c r="E429" t="s">
        <v>539</v>
      </c>
      <c r="F429">
        <v>1</v>
      </c>
      <c r="G429">
        <v>137</v>
      </c>
      <c r="H429" t="str">
        <f>IF(VLOOKUP(C429,Customers!A:E,5,FALSE)&gt;=1000,"YES","NO")</f>
        <v>NO</v>
      </c>
      <c r="I429">
        <f t="shared" si="6"/>
        <v>137</v>
      </c>
      <c r="J429">
        <f>(I429 - VLOOKUP(E429,Desserts!A:D,4,FALSE)) * F429</f>
        <v>75</v>
      </c>
    </row>
    <row r="430" spans="1:10" x14ac:dyDescent="0.3">
      <c r="A430" t="s">
        <v>1325</v>
      </c>
      <c r="B430" t="s">
        <v>1326</v>
      </c>
      <c r="C430" t="s">
        <v>329</v>
      </c>
      <c r="D430" t="s">
        <v>223</v>
      </c>
      <c r="E430" t="s">
        <v>559</v>
      </c>
      <c r="F430">
        <v>1</v>
      </c>
      <c r="G430">
        <v>241</v>
      </c>
      <c r="H430" t="str">
        <f>IF(VLOOKUP(C430,Customers!A:E,5,FALSE)&gt;=1000,"YES","NO")</f>
        <v>YES</v>
      </c>
      <c r="I430">
        <f t="shared" si="6"/>
        <v>120.5</v>
      </c>
      <c r="J430">
        <f>(I430 - VLOOKUP(E430,Desserts!A:D,4,FALSE)) * F430</f>
        <v>65.5</v>
      </c>
    </row>
    <row r="431" spans="1:10" x14ac:dyDescent="0.3">
      <c r="A431" t="s">
        <v>1327</v>
      </c>
      <c r="B431" t="s">
        <v>1328</v>
      </c>
      <c r="C431" t="s">
        <v>363</v>
      </c>
      <c r="D431" t="s">
        <v>66</v>
      </c>
      <c r="E431" t="s">
        <v>563</v>
      </c>
      <c r="F431">
        <v>2</v>
      </c>
      <c r="G431">
        <v>151</v>
      </c>
      <c r="H431" t="str">
        <f>IF(VLOOKUP(C431,Customers!A:E,5,FALSE)&gt;=1000,"YES","NO")</f>
        <v>YES</v>
      </c>
      <c r="I431">
        <f t="shared" si="6"/>
        <v>75.5</v>
      </c>
      <c r="J431">
        <f>(I431 - VLOOKUP(E431,Desserts!A:D,4,FALSE)) * F431</f>
        <v>21</v>
      </c>
    </row>
    <row r="432" spans="1:10" x14ac:dyDescent="0.3">
      <c r="A432" t="s">
        <v>1329</v>
      </c>
      <c r="B432" t="s">
        <v>1064</v>
      </c>
      <c r="C432" t="s">
        <v>417</v>
      </c>
      <c r="D432" t="s">
        <v>274</v>
      </c>
      <c r="E432" t="s">
        <v>589</v>
      </c>
      <c r="F432">
        <v>4</v>
      </c>
      <c r="G432">
        <v>140</v>
      </c>
      <c r="H432" t="str">
        <f>IF(VLOOKUP(C432,Customers!A:E,5,FALSE)&gt;=1000,"YES","NO")</f>
        <v>YES</v>
      </c>
      <c r="I432">
        <f t="shared" si="6"/>
        <v>70</v>
      </c>
      <c r="J432">
        <f>(I432 - VLOOKUP(E432,Desserts!A:D,4,FALSE)) * F432</f>
        <v>-4</v>
      </c>
    </row>
    <row r="433" spans="1:10" x14ac:dyDescent="0.3">
      <c r="A433" t="s">
        <v>1330</v>
      </c>
      <c r="B433" t="s">
        <v>1068</v>
      </c>
      <c r="C433" t="s">
        <v>375</v>
      </c>
      <c r="D433" t="s">
        <v>268</v>
      </c>
      <c r="E433" t="s">
        <v>539</v>
      </c>
      <c r="F433">
        <v>1</v>
      </c>
      <c r="G433">
        <v>130</v>
      </c>
      <c r="H433" t="str">
        <f>IF(VLOOKUP(C433,Customers!A:E,5,FALSE)&gt;=1000,"YES","NO")</f>
        <v>NO</v>
      </c>
      <c r="I433">
        <f t="shared" si="6"/>
        <v>130</v>
      </c>
      <c r="J433">
        <f>(I433 - VLOOKUP(E433,Desserts!A:D,4,FALSE)) * F433</f>
        <v>68</v>
      </c>
    </row>
    <row r="434" spans="1:10" x14ac:dyDescent="0.3">
      <c r="A434" t="s">
        <v>1331</v>
      </c>
      <c r="B434" t="s">
        <v>996</v>
      </c>
      <c r="C434" t="s">
        <v>339</v>
      </c>
      <c r="D434" t="s">
        <v>172</v>
      </c>
      <c r="E434" t="s">
        <v>597</v>
      </c>
      <c r="F434">
        <v>2</v>
      </c>
      <c r="G434">
        <v>160</v>
      </c>
      <c r="H434" t="str">
        <f>IF(VLOOKUP(C434,Customers!A:E,5,FALSE)&gt;=1000,"YES","NO")</f>
        <v>NO</v>
      </c>
      <c r="I434">
        <f t="shared" si="6"/>
        <v>160</v>
      </c>
      <c r="J434">
        <f>(I434 - VLOOKUP(E434,Desserts!A:D,4,FALSE)) * F434</f>
        <v>230</v>
      </c>
    </row>
    <row r="435" spans="1:10" x14ac:dyDescent="0.3">
      <c r="A435" t="s">
        <v>1332</v>
      </c>
      <c r="B435" t="s">
        <v>1333</v>
      </c>
      <c r="C435" t="s">
        <v>455</v>
      </c>
      <c r="D435" t="s">
        <v>63</v>
      </c>
      <c r="E435" t="s">
        <v>563</v>
      </c>
      <c r="F435">
        <v>2</v>
      </c>
      <c r="G435">
        <v>234</v>
      </c>
      <c r="H435" t="str">
        <f>IF(VLOOKUP(C435,Customers!A:E,5,FALSE)&gt;=1000,"YES","NO")</f>
        <v>YES</v>
      </c>
      <c r="I435">
        <f t="shared" si="6"/>
        <v>117</v>
      </c>
      <c r="J435">
        <f>(I435 - VLOOKUP(E435,Desserts!A:D,4,FALSE)) * F435</f>
        <v>104</v>
      </c>
    </row>
    <row r="436" spans="1:10" x14ac:dyDescent="0.3">
      <c r="A436" t="s">
        <v>1334</v>
      </c>
      <c r="B436" t="s">
        <v>1335</v>
      </c>
      <c r="C436" t="s">
        <v>437</v>
      </c>
      <c r="D436" t="s">
        <v>57</v>
      </c>
      <c r="E436" t="s">
        <v>547</v>
      </c>
      <c r="F436">
        <v>3</v>
      </c>
      <c r="G436">
        <v>225</v>
      </c>
      <c r="H436" t="str">
        <f>IF(VLOOKUP(C436,Customers!A:E,5,FALSE)&gt;=1000,"YES","NO")</f>
        <v>NO</v>
      </c>
      <c r="I436">
        <f t="shared" si="6"/>
        <v>225</v>
      </c>
      <c r="J436">
        <f>(I436 - VLOOKUP(E436,Desserts!A:D,4,FALSE)) * F436</f>
        <v>525</v>
      </c>
    </row>
    <row r="437" spans="1:10" x14ac:dyDescent="0.3">
      <c r="A437" t="s">
        <v>1336</v>
      </c>
      <c r="B437" t="s">
        <v>755</v>
      </c>
      <c r="C437" t="s">
        <v>483</v>
      </c>
      <c r="D437" t="s">
        <v>109</v>
      </c>
      <c r="E437" t="s">
        <v>585</v>
      </c>
      <c r="F437">
        <v>2</v>
      </c>
      <c r="G437">
        <v>155</v>
      </c>
      <c r="H437" t="str">
        <f>IF(VLOOKUP(C437,Customers!A:E,5,FALSE)&gt;=1000,"YES","NO")</f>
        <v>YES</v>
      </c>
      <c r="I437">
        <f t="shared" si="6"/>
        <v>77.5</v>
      </c>
      <c r="J437">
        <f>(I437 - VLOOKUP(E437,Desserts!A:D,4,FALSE)) * F437</f>
        <v>61</v>
      </c>
    </row>
    <row r="438" spans="1:10" x14ac:dyDescent="0.3">
      <c r="A438" t="s">
        <v>1337</v>
      </c>
      <c r="B438" t="s">
        <v>733</v>
      </c>
      <c r="C438" t="s">
        <v>427</v>
      </c>
      <c r="D438" t="s">
        <v>142</v>
      </c>
      <c r="E438" t="s">
        <v>545</v>
      </c>
      <c r="F438">
        <v>2</v>
      </c>
      <c r="G438">
        <v>211</v>
      </c>
      <c r="H438" t="str">
        <f>IF(VLOOKUP(C438,Customers!A:E,5,FALSE)&gt;=1000,"YES","NO")</f>
        <v>NO</v>
      </c>
      <c r="I438">
        <f t="shared" si="6"/>
        <v>211</v>
      </c>
      <c r="J438">
        <f>(I438 - VLOOKUP(E438,Desserts!A:D,4,FALSE)) * F438</f>
        <v>332</v>
      </c>
    </row>
    <row r="439" spans="1:10" x14ac:dyDescent="0.3">
      <c r="A439" t="s">
        <v>1338</v>
      </c>
      <c r="B439" t="s">
        <v>713</v>
      </c>
      <c r="C439" t="s">
        <v>459</v>
      </c>
      <c r="D439" t="s">
        <v>217</v>
      </c>
      <c r="E439" t="s">
        <v>593</v>
      </c>
      <c r="F439">
        <v>5</v>
      </c>
      <c r="G439">
        <v>153</v>
      </c>
      <c r="H439" t="str">
        <f>IF(VLOOKUP(C439,Customers!A:E,5,FALSE)&gt;=1000,"YES","NO")</f>
        <v>NO</v>
      </c>
      <c r="I439">
        <f t="shared" si="6"/>
        <v>153</v>
      </c>
      <c r="J439">
        <f>(I439 - VLOOKUP(E439,Desserts!A:D,4,FALSE)) * F439</f>
        <v>495</v>
      </c>
    </row>
    <row r="440" spans="1:10" x14ac:dyDescent="0.3">
      <c r="A440" t="s">
        <v>1339</v>
      </c>
      <c r="B440" t="s">
        <v>638</v>
      </c>
      <c r="C440" t="s">
        <v>435</v>
      </c>
      <c r="D440" t="s">
        <v>40</v>
      </c>
      <c r="E440" t="s">
        <v>549</v>
      </c>
      <c r="F440">
        <v>2</v>
      </c>
      <c r="G440">
        <v>234</v>
      </c>
      <c r="H440" t="str">
        <f>IF(VLOOKUP(C440,Customers!A:E,5,FALSE)&gt;=1000,"YES","NO")</f>
        <v>NO</v>
      </c>
      <c r="I440">
        <f t="shared" si="6"/>
        <v>234</v>
      </c>
      <c r="J440">
        <f>(I440 - VLOOKUP(E440,Desserts!A:D,4,FALSE)) * F440</f>
        <v>310</v>
      </c>
    </row>
    <row r="441" spans="1:10" x14ac:dyDescent="0.3">
      <c r="A441" t="s">
        <v>1340</v>
      </c>
      <c r="B441" t="s">
        <v>1341</v>
      </c>
      <c r="C441" t="s">
        <v>403</v>
      </c>
      <c r="D441" t="s">
        <v>47</v>
      </c>
      <c r="E441" t="s">
        <v>557</v>
      </c>
      <c r="F441">
        <v>3</v>
      </c>
      <c r="G441">
        <v>147</v>
      </c>
      <c r="H441" t="str">
        <f>IF(VLOOKUP(C441,Customers!A:E,5,FALSE)&gt;=1000,"YES","NO")</f>
        <v>NO</v>
      </c>
      <c r="I441">
        <f t="shared" si="6"/>
        <v>147</v>
      </c>
      <c r="J441">
        <f>(I441 - VLOOKUP(E441,Desserts!A:D,4,FALSE)) * F441</f>
        <v>189</v>
      </c>
    </row>
    <row r="442" spans="1:10" x14ac:dyDescent="0.3">
      <c r="A442" t="s">
        <v>1342</v>
      </c>
      <c r="B442" t="s">
        <v>1224</v>
      </c>
      <c r="C442" t="s">
        <v>475</v>
      </c>
      <c r="D442" t="s">
        <v>283</v>
      </c>
      <c r="E442" t="s">
        <v>619</v>
      </c>
      <c r="F442">
        <v>3</v>
      </c>
      <c r="G442">
        <v>226</v>
      </c>
      <c r="H442" t="str">
        <f>IF(VLOOKUP(C442,Customers!A:E,5,FALSE)&gt;=1000,"YES","NO")</f>
        <v>NO</v>
      </c>
      <c r="I442">
        <f t="shared" si="6"/>
        <v>226</v>
      </c>
      <c r="J442">
        <f>(I442 - VLOOKUP(E442,Desserts!A:D,4,FALSE)) * F442</f>
        <v>435</v>
      </c>
    </row>
    <row r="443" spans="1:10" x14ac:dyDescent="0.3">
      <c r="A443" t="s">
        <v>1343</v>
      </c>
      <c r="B443" t="s">
        <v>1308</v>
      </c>
      <c r="C443" t="s">
        <v>355</v>
      </c>
      <c r="D443" t="s">
        <v>54</v>
      </c>
      <c r="E443" t="s">
        <v>597</v>
      </c>
      <c r="F443">
        <v>4</v>
      </c>
      <c r="G443">
        <v>167</v>
      </c>
      <c r="H443" t="str">
        <f>IF(VLOOKUP(C443,Customers!A:E,5,FALSE)&gt;=1000,"YES","NO")</f>
        <v>YES</v>
      </c>
      <c r="I443">
        <f t="shared" si="6"/>
        <v>83.5</v>
      </c>
      <c r="J443">
        <f>(I443 - VLOOKUP(E443,Desserts!A:D,4,FALSE)) * F443</f>
        <v>154</v>
      </c>
    </row>
    <row r="444" spans="1:10" x14ac:dyDescent="0.3">
      <c r="A444" t="s">
        <v>1344</v>
      </c>
      <c r="B444" t="s">
        <v>1345</v>
      </c>
      <c r="C444" t="s">
        <v>345</v>
      </c>
      <c r="D444" t="s">
        <v>127</v>
      </c>
      <c r="E444" t="s">
        <v>543</v>
      </c>
      <c r="F444">
        <v>2</v>
      </c>
      <c r="G444">
        <v>168</v>
      </c>
      <c r="H444" t="str">
        <f>IF(VLOOKUP(C444,Customers!A:E,5,FALSE)&gt;=1000,"YES","NO")</f>
        <v>YES</v>
      </c>
      <c r="I444">
        <f t="shared" si="6"/>
        <v>84</v>
      </c>
      <c r="J444">
        <f>(I444 - VLOOKUP(E444,Desserts!A:D,4,FALSE)) * F444</f>
        <v>22</v>
      </c>
    </row>
    <row r="445" spans="1:10" x14ac:dyDescent="0.3">
      <c r="A445" t="s">
        <v>1346</v>
      </c>
      <c r="B445" t="s">
        <v>1347</v>
      </c>
      <c r="C445" t="s">
        <v>497</v>
      </c>
      <c r="D445" t="s">
        <v>142</v>
      </c>
      <c r="E445" t="s">
        <v>589</v>
      </c>
      <c r="F445">
        <v>1</v>
      </c>
      <c r="G445">
        <v>129</v>
      </c>
      <c r="H445" t="str">
        <f>IF(VLOOKUP(C445,Customers!A:E,5,FALSE)&gt;=1000,"YES","NO")</f>
        <v>NO</v>
      </c>
      <c r="I445">
        <f t="shared" si="6"/>
        <v>129</v>
      </c>
      <c r="J445">
        <f>(I445 - VLOOKUP(E445,Desserts!A:D,4,FALSE)) * F445</f>
        <v>58</v>
      </c>
    </row>
    <row r="446" spans="1:10" x14ac:dyDescent="0.3">
      <c r="A446" t="s">
        <v>1348</v>
      </c>
      <c r="B446" t="s">
        <v>1287</v>
      </c>
      <c r="C446" t="s">
        <v>423</v>
      </c>
      <c r="D446" t="s">
        <v>235</v>
      </c>
      <c r="E446" t="s">
        <v>565</v>
      </c>
      <c r="F446">
        <v>4</v>
      </c>
      <c r="G446">
        <v>167</v>
      </c>
      <c r="H446" t="str">
        <f>IF(VLOOKUP(C446,Customers!A:E,5,FALSE)&gt;=1000,"YES","NO")</f>
        <v>NO</v>
      </c>
      <c r="I446">
        <f t="shared" si="6"/>
        <v>167</v>
      </c>
      <c r="J446">
        <f>(I446 - VLOOKUP(E446,Desserts!A:D,4,FALSE)) * F446</f>
        <v>504</v>
      </c>
    </row>
    <row r="447" spans="1:10" x14ac:dyDescent="0.3">
      <c r="A447" t="s">
        <v>1349</v>
      </c>
      <c r="B447" t="s">
        <v>908</v>
      </c>
      <c r="C447" t="s">
        <v>359</v>
      </c>
      <c r="D447" t="s">
        <v>100</v>
      </c>
      <c r="E447" t="s">
        <v>589</v>
      </c>
      <c r="F447">
        <v>2</v>
      </c>
      <c r="G447">
        <v>161</v>
      </c>
      <c r="H447" t="str">
        <f>IF(VLOOKUP(C447,Customers!A:E,5,FALSE)&gt;=1000,"YES","NO")</f>
        <v>YES</v>
      </c>
      <c r="I447">
        <f t="shared" si="6"/>
        <v>80.5</v>
      </c>
      <c r="J447">
        <f>(I447 - VLOOKUP(E447,Desserts!A:D,4,FALSE)) * F447</f>
        <v>19</v>
      </c>
    </row>
    <row r="448" spans="1:10" x14ac:dyDescent="0.3">
      <c r="A448" t="s">
        <v>1350</v>
      </c>
      <c r="B448" t="s">
        <v>1351</v>
      </c>
      <c r="C448" t="s">
        <v>467</v>
      </c>
      <c r="D448" t="s">
        <v>40</v>
      </c>
      <c r="E448" t="s">
        <v>577</v>
      </c>
      <c r="F448">
        <v>4</v>
      </c>
      <c r="G448">
        <v>188</v>
      </c>
      <c r="H448" t="str">
        <f>IF(VLOOKUP(C448,Customers!A:E,5,FALSE)&gt;=1000,"YES","NO")</f>
        <v>YES</v>
      </c>
      <c r="I448">
        <f t="shared" si="6"/>
        <v>94</v>
      </c>
      <c r="J448">
        <f>(I448 - VLOOKUP(E448,Desserts!A:D,4,FALSE)) * F448</f>
        <v>96</v>
      </c>
    </row>
    <row r="449" spans="1:10" x14ac:dyDescent="0.3">
      <c r="A449" t="s">
        <v>1352</v>
      </c>
      <c r="B449" t="s">
        <v>1090</v>
      </c>
      <c r="C449" t="s">
        <v>415</v>
      </c>
      <c r="D449" t="s">
        <v>163</v>
      </c>
      <c r="E449" t="s">
        <v>543</v>
      </c>
      <c r="F449">
        <v>5</v>
      </c>
      <c r="G449">
        <v>231</v>
      </c>
      <c r="H449" t="str">
        <f>IF(VLOOKUP(C449,Customers!A:E,5,FALSE)&gt;=1000,"YES","NO")</f>
        <v>YES</v>
      </c>
      <c r="I449">
        <f t="shared" si="6"/>
        <v>115.5</v>
      </c>
      <c r="J449">
        <f>(I449 - VLOOKUP(E449,Desserts!A:D,4,FALSE)) * F449</f>
        <v>212.5</v>
      </c>
    </row>
    <row r="450" spans="1:10" x14ac:dyDescent="0.3">
      <c r="A450" t="s">
        <v>1353</v>
      </c>
      <c r="B450" t="s">
        <v>847</v>
      </c>
      <c r="C450" t="s">
        <v>339</v>
      </c>
      <c r="D450" t="s">
        <v>214</v>
      </c>
      <c r="E450" t="s">
        <v>553</v>
      </c>
      <c r="F450">
        <v>5</v>
      </c>
      <c r="G450">
        <v>101</v>
      </c>
      <c r="H450" t="str">
        <f>IF(VLOOKUP(C450,Customers!A:E,5,FALSE)&gt;=1000,"YES","NO")</f>
        <v>NO</v>
      </c>
      <c r="I450">
        <f t="shared" ref="I450:I501" si="7">IF(H450="YES",G450*0.5,G450)</f>
        <v>101</v>
      </c>
      <c r="J450">
        <f>(I450 - VLOOKUP(E450,Desserts!A:D,4,FALSE)) * F450</f>
        <v>205</v>
      </c>
    </row>
    <row r="451" spans="1:10" x14ac:dyDescent="0.3">
      <c r="A451" t="s">
        <v>1354</v>
      </c>
      <c r="B451" t="s">
        <v>661</v>
      </c>
      <c r="C451" t="s">
        <v>467</v>
      </c>
      <c r="D451" t="s">
        <v>220</v>
      </c>
      <c r="E451" t="s">
        <v>565</v>
      </c>
      <c r="F451">
        <v>3</v>
      </c>
      <c r="G451">
        <v>184</v>
      </c>
      <c r="H451" t="str">
        <f>IF(VLOOKUP(C451,Customers!A:E,5,FALSE)&gt;=1000,"YES","NO")</f>
        <v>YES</v>
      </c>
      <c r="I451">
        <f t="shared" si="7"/>
        <v>92</v>
      </c>
      <c r="J451">
        <f>(I451 - VLOOKUP(E451,Desserts!A:D,4,FALSE)) * F451</f>
        <v>153</v>
      </c>
    </row>
    <row r="452" spans="1:10" x14ac:dyDescent="0.3">
      <c r="A452" t="s">
        <v>1355</v>
      </c>
      <c r="B452" t="s">
        <v>932</v>
      </c>
      <c r="C452" t="s">
        <v>491</v>
      </c>
      <c r="D452" t="s">
        <v>139</v>
      </c>
      <c r="E452" t="s">
        <v>593</v>
      </c>
      <c r="F452">
        <v>1</v>
      </c>
      <c r="G452">
        <v>195</v>
      </c>
      <c r="H452" t="str">
        <f>IF(VLOOKUP(C452,Customers!A:E,5,FALSE)&gt;=1000,"YES","NO")</f>
        <v>NO</v>
      </c>
      <c r="I452">
        <f t="shared" si="7"/>
        <v>195</v>
      </c>
      <c r="J452">
        <f>(I452 - VLOOKUP(E452,Desserts!A:D,4,FALSE)) * F452</f>
        <v>141</v>
      </c>
    </row>
    <row r="453" spans="1:10" x14ac:dyDescent="0.3">
      <c r="A453" t="s">
        <v>1356</v>
      </c>
      <c r="B453" t="s">
        <v>1357</v>
      </c>
      <c r="C453" t="s">
        <v>429</v>
      </c>
      <c r="D453" t="s">
        <v>205</v>
      </c>
      <c r="E453" t="s">
        <v>617</v>
      </c>
      <c r="F453">
        <v>4</v>
      </c>
      <c r="G453">
        <v>142</v>
      </c>
      <c r="H453" t="str">
        <f>IF(VLOOKUP(C453,Customers!A:E,5,FALSE)&gt;=1000,"YES","NO")</f>
        <v>YES</v>
      </c>
      <c r="I453">
        <f t="shared" si="7"/>
        <v>71</v>
      </c>
      <c r="J453">
        <f>(I453 - VLOOKUP(E453,Desserts!A:D,4,FALSE)) * F453</f>
        <v>120</v>
      </c>
    </row>
    <row r="454" spans="1:10" x14ac:dyDescent="0.3">
      <c r="A454" t="s">
        <v>1358</v>
      </c>
      <c r="B454" t="s">
        <v>791</v>
      </c>
      <c r="C454" t="s">
        <v>505</v>
      </c>
      <c r="D454" t="s">
        <v>115</v>
      </c>
      <c r="E454" t="s">
        <v>615</v>
      </c>
      <c r="F454">
        <v>2</v>
      </c>
      <c r="G454">
        <v>249</v>
      </c>
      <c r="H454" t="str">
        <f>IF(VLOOKUP(C454,Customers!A:E,5,FALSE)&gt;=1000,"YES","NO")</f>
        <v>YES</v>
      </c>
      <c r="I454">
        <f t="shared" si="7"/>
        <v>124.5</v>
      </c>
      <c r="J454">
        <f>(I454 - VLOOKUP(E454,Desserts!A:D,4,FALSE)) * F454</f>
        <v>165</v>
      </c>
    </row>
    <row r="455" spans="1:10" x14ac:dyDescent="0.3">
      <c r="A455" t="s">
        <v>1359</v>
      </c>
      <c r="B455" t="s">
        <v>785</v>
      </c>
      <c r="C455" t="s">
        <v>337</v>
      </c>
      <c r="D455" t="s">
        <v>20</v>
      </c>
      <c r="E455" t="s">
        <v>603</v>
      </c>
      <c r="F455">
        <v>3</v>
      </c>
      <c r="G455">
        <v>173</v>
      </c>
      <c r="H455" t="str">
        <f>IF(VLOOKUP(C455,Customers!A:E,5,FALSE)&gt;=1000,"YES","NO")</f>
        <v>NO</v>
      </c>
      <c r="I455">
        <f t="shared" si="7"/>
        <v>173</v>
      </c>
      <c r="J455">
        <f>(I455 - VLOOKUP(E455,Desserts!A:D,4,FALSE)) * F455</f>
        <v>252</v>
      </c>
    </row>
    <row r="456" spans="1:10" x14ac:dyDescent="0.3">
      <c r="A456" t="s">
        <v>1360</v>
      </c>
      <c r="B456" t="s">
        <v>800</v>
      </c>
      <c r="C456" t="s">
        <v>367</v>
      </c>
      <c r="D456" t="s">
        <v>181</v>
      </c>
      <c r="E456" t="s">
        <v>551</v>
      </c>
      <c r="F456">
        <v>4</v>
      </c>
      <c r="G456">
        <v>188</v>
      </c>
      <c r="H456" t="str">
        <f>IF(VLOOKUP(C456,Customers!A:E,5,FALSE)&gt;=1000,"YES","NO")</f>
        <v>NO</v>
      </c>
      <c r="I456">
        <f t="shared" si="7"/>
        <v>188</v>
      </c>
      <c r="J456">
        <f>(I456 - VLOOKUP(E456,Desserts!A:D,4,FALSE)) * F456</f>
        <v>476</v>
      </c>
    </row>
    <row r="457" spans="1:10" x14ac:dyDescent="0.3">
      <c r="A457" t="s">
        <v>1361</v>
      </c>
      <c r="B457" t="s">
        <v>814</v>
      </c>
      <c r="C457" t="s">
        <v>331</v>
      </c>
      <c r="D457" t="s">
        <v>223</v>
      </c>
      <c r="E457" t="s">
        <v>553</v>
      </c>
      <c r="F457">
        <v>4</v>
      </c>
      <c r="G457">
        <v>116</v>
      </c>
      <c r="H457" t="str">
        <f>IF(VLOOKUP(C457,Customers!A:E,5,FALSE)&gt;=1000,"YES","NO")</f>
        <v>YES</v>
      </c>
      <c r="I457">
        <f t="shared" si="7"/>
        <v>58</v>
      </c>
      <c r="J457">
        <f>(I457 - VLOOKUP(E457,Desserts!A:D,4,FALSE)) * F457</f>
        <v>-8</v>
      </c>
    </row>
    <row r="458" spans="1:10" x14ac:dyDescent="0.3">
      <c r="A458" t="s">
        <v>1362</v>
      </c>
      <c r="B458" t="s">
        <v>679</v>
      </c>
      <c r="C458" t="s">
        <v>441</v>
      </c>
      <c r="D458" t="s">
        <v>17</v>
      </c>
      <c r="E458" t="s">
        <v>597</v>
      </c>
      <c r="F458">
        <v>5</v>
      </c>
      <c r="G458">
        <v>124</v>
      </c>
      <c r="H458" t="str">
        <f>IF(VLOOKUP(C458,Customers!A:E,5,FALSE)&gt;=1000,"YES","NO")</f>
        <v>NO</v>
      </c>
      <c r="I458">
        <f t="shared" si="7"/>
        <v>124</v>
      </c>
      <c r="J458">
        <f>(I458 - VLOOKUP(E458,Desserts!A:D,4,FALSE)) * F458</f>
        <v>395</v>
      </c>
    </row>
    <row r="459" spans="1:10" x14ac:dyDescent="0.3">
      <c r="A459" t="s">
        <v>1363</v>
      </c>
      <c r="B459" t="s">
        <v>703</v>
      </c>
      <c r="C459" t="s">
        <v>325</v>
      </c>
      <c r="D459" t="s">
        <v>205</v>
      </c>
      <c r="E459" t="s">
        <v>521</v>
      </c>
      <c r="F459">
        <v>4</v>
      </c>
      <c r="G459">
        <v>242</v>
      </c>
      <c r="H459" t="str">
        <f>IF(VLOOKUP(C459,Customers!A:E,5,FALSE)&gt;=1000,"YES","NO")</f>
        <v>NO</v>
      </c>
      <c r="I459">
        <f t="shared" si="7"/>
        <v>242</v>
      </c>
      <c r="J459">
        <f>(I459 - VLOOKUP(E459,Desserts!A:D,4,FALSE)) * F459</f>
        <v>712</v>
      </c>
    </row>
    <row r="460" spans="1:10" x14ac:dyDescent="0.3">
      <c r="A460" t="s">
        <v>1364</v>
      </c>
      <c r="B460" t="s">
        <v>1212</v>
      </c>
      <c r="C460" t="s">
        <v>373</v>
      </c>
      <c r="D460" t="s">
        <v>5</v>
      </c>
      <c r="E460" t="s">
        <v>613</v>
      </c>
      <c r="F460">
        <v>3</v>
      </c>
      <c r="G460">
        <v>136</v>
      </c>
      <c r="H460" t="str">
        <f>IF(VLOOKUP(C460,Customers!A:E,5,FALSE)&gt;=1000,"YES","NO")</f>
        <v>NO</v>
      </c>
      <c r="I460">
        <f t="shared" si="7"/>
        <v>136</v>
      </c>
      <c r="J460">
        <f>(I460 - VLOOKUP(E460,Desserts!A:D,4,FALSE)) * F460</f>
        <v>153</v>
      </c>
    </row>
    <row r="461" spans="1:10" x14ac:dyDescent="0.3">
      <c r="A461" t="s">
        <v>1365</v>
      </c>
      <c r="B461" t="s">
        <v>1036</v>
      </c>
      <c r="C461" t="s">
        <v>407</v>
      </c>
      <c r="D461" t="s">
        <v>5</v>
      </c>
      <c r="E461" t="s">
        <v>585</v>
      </c>
      <c r="F461">
        <v>3</v>
      </c>
      <c r="G461">
        <v>246</v>
      </c>
      <c r="H461" t="str">
        <f>IF(VLOOKUP(C461,Customers!A:E,5,FALSE)&gt;=1000,"YES","NO")</f>
        <v>YES</v>
      </c>
      <c r="I461">
        <f t="shared" si="7"/>
        <v>123</v>
      </c>
      <c r="J461">
        <f>(I461 - VLOOKUP(E461,Desserts!A:D,4,FALSE)) * F461</f>
        <v>228</v>
      </c>
    </row>
    <row r="462" spans="1:10" x14ac:dyDescent="0.3">
      <c r="A462" t="s">
        <v>1366</v>
      </c>
      <c r="B462" t="s">
        <v>1367</v>
      </c>
      <c r="C462" t="s">
        <v>425</v>
      </c>
      <c r="D462" t="s">
        <v>63</v>
      </c>
      <c r="E462" t="s">
        <v>563</v>
      </c>
      <c r="F462">
        <v>5</v>
      </c>
      <c r="G462">
        <v>108</v>
      </c>
      <c r="H462" t="str">
        <f>IF(VLOOKUP(C462,Customers!A:E,5,FALSE)&gt;=1000,"YES","NO")</f>
        <v>NO</v>
      </c>
      <c r="I462">
        <f t="shared" si="7"/>
        <v>108</v>
      </c>
      <c r="J462">
        <f>(I462 - VLOOKUP(E462,Desserts!A:D,4,FALSE)) * F462</f>
        <v>215</v>
      </c>
    </row>
    <row r="463" spans="1:10" x14ac:dyDescent="0.3">
      <c r="A463" t="s">
        <v>1368</v>
      </c>
      <c r="B463" t="s">
        <v>1369</v>
      </c>
      <c r="C463" t="s">
        <v>395</v>
      </c>
      <c r="D463" t="s">
        <v>289</v>
      </c>
      <c r="E463" t="s">
        <v>599</v>
      </c>
      <c r="F463">
        <v>3</v>
      </c>
      <c r="G463">
        <v>168</v>
      </c>
      <c r="H463" t="str">
        <f>IF(VLOOKUP(C463,Customers!A:E,5,FALSE)&gt;=1000,"YES","NO")</f>
        <v>NO</v>
      </c>
      <c r="I463">
        <f t="shared" si="7"/>
        <v>168</v>
      </c>
      <c r="J463">
        <f>(I463 - VLOOKUP(E463,Desserts!A:D,4,FALSE)) * F463</f>
        <v>264</v>
      </c>
    </row>
    <row r="464" spans="1:10" x14ac:dyDescent="0.3">
      <c r="A464" t="s">
        <v>1370</v>
      </c>
      <c r="B464" t="s">
        <v>852</v>
      </c>
      <c r="C464" t="s">
        <v>471</v>
      </c>
      <c r="D464" t="s">
        <v>205</v>
      </c>
      <c r="E464" t="s">
        <v>555</v>
      </c>
      <c r="F464">
        <v>5</v>
      </c>
      <c r="G464">
        <v>249</v>
      </c>
      <c r="H464" t="str">
        <f>IF(VLOOKUP(C464,Customers!A:E,5,FALSE)&gt;=1000,"YES","NO")</f>
        <v>NO</v>
      </c>
      <c r="I464">
        <f t="shared" si="7"/>
        <v>249</v>
      </c>
      <c r="J464">
        <f>(I464 - VLOOKUP(E464,Desserts!A:D,4,FALSE)) * F464</f>
        <v>870</v>
      </c>
    </row>
    <row r="465" spans="1:10" x14ac:dyDescent="0.3">
      <c r="A465" t="s">
        <v>1371</v>
      </c>
      <c r="B465" t="s">
        <v>703</v>
      </c>
      <c r="C465" t="s">
        <v>445</v>
      </c>
      <c r="D465" t="s">
        <v>118</v>
      </c>
      <c r="E465" t="s">
        <v>537</v>
      </c>
      <c r="F465">
        <v>4</v>
      </c>
      <c r="G465">
        <v>221</v>
      </c>
      <c r="H465" t="str">
        <f>IF(VLOOKUP(C465,Customers!A:E,5,FALSE)&gt;=1000,"YES","NO")</f>
        <v>NO</v>
      </c>
      <c r="I465">
        <f t="shared" si="7"/>
        <v>221</v>
      </c>
      <c r="J465">
        <f>(I465 - VLOOKUP(E465,Desserts!A:D,4,FALSE)) * F465</f>
        <v>548</v>
      </c>
    </row>
    <row r="466" spans="1:10" x14ac:dyDescent="0.3">
      <c r="A466" t="s">
        <v>1372</v>
      </c>
      <c r="B466" t="s">
        <v>1373</v>
      </c>
      <c r="C466" t="s">
        <v>433</v>
      </c>
      <c r="D466" t="s">
        <v>244</v>
      </c>
      <c r="E466" t="s">
        <v>595</v>
      </c>
      <c r="F466">
        <v>3</v>
      </c>
      <c r="G466">
        <v>199</v>
      </c>
      <c r="H466" t="str">
        <f>IF(VLOOKUP(C466,Customers!A:E,5,FALSE)&gt;=1000,"YES","NO")</f>
        <v>YES</v>
      </c>
      <c r="I466">
        <f t="shared" si="7"/>
        <v>99.5</v>
      </c>
      <c r="J466">
        <f>(I466 - VLOOKUP(E466,Desserts!A:D,4,FALSE)) * F466</f>
        <v>88.5</v>
      </c>
    </row>
    <row r="467" spans="1:10" x14ac:dyDescent="0.3">
      <c r="A467" t="s">
        <v>1374</v>
      </c>
      <c r="B467" t="s">
        <v>634</v>
      </c>
      <c r="C467" t="s">
        <v>339</v>
      </c>
      <c r="D467" t="s">
        <v>130</v>
      </c>
      <c r="E467" t="s">
        <v>589</v>
      </c>
      <c r="F467">
        <v>4</v>
      </c>
      <c r="G467">
        <v>135</v>
      </c>
      <c r="H467" t="str">
        <f>IF(VLOOKUP(C467,Customers!A:E,5,FALSE)&gt;=1000,"YES","NO")</f>
        <v>NO</v>
      </c>
      <c r="I467">
        <f t="shared" si="7"/>
        <v>135</v>
      </c>
      <c r="J467">
        <f>(I467 - VLOOKUP(E467,Desserts!A:D,4,FALSE)) * F467</f>
        <v>256</v>
      </c>
    </row>
    <row r="468" spans="1:10" x14ac:dyDescent="0.3">
      <c r="A468" t="s">
        <v>1375</v>
      </c>
      <c r="B468" t="s">
        <v>1321</v>
      </c>
      <c r="C468" t="s">
        <v>405</v>
      </c>
      <c r="D468" t="s">
        <v>163</v>
      </c>
      <c r="E468" t="s">
        <v>547</v>
      </c>
      <c r="F468">
        <v>3</v>
      </c>
      <c r="G468">
        <v>190</v>
      </c>
      <c r="H468" t="str">
        <f>IF(VLOOKUP(C468,Customers!A:E,5,FALSE)&gt;=1000,"YES","NO")</f>
        <v>YES</v>
      </c>
      <c r="I468">
        <f t="shared" si="7"/>
        <v>95</v>
      </c>
      <c r="J468">
        <f>(I468 - VLOOKUP(E468,Desserts!A:D,4,FALSE)) * F468</f>
        <v>135</v>
      </c>
    </row>
    <row r="469" spans="1:10" x14ac:dyDescent="0.3">
      <c r="A469" t="s">
        <v>1376</v>
      </c>
      <c r="B469" t="s">
        <v>800</v>
      </c>
      <c r="C469" t="s">
        <v>397</v>
      </c>
      <c r="D469" t="s">
        <v>148</v>
      </c>
      <c r="E469" t="s">
        <v>617</v>
      </c>
      <c r="F469">
        <v>2</v>
      </c>
      <c r="G469">
        <v>172</v>
      </c>
      <c r="H469" t="str">
        <f>IF(VLOOKUP(C469,Customers!A:E,5,FALSE)&gt;=1000,"YES","NO")</f>
        <v>NO</v>
      </c>
      <c r="I469">
        <f t="shared" si="7"/>
        <v>172</v>
      </c>
      <c r="J469">
        <f>(I469 - VLOOKUP(E469,Desserts!A:D,4,FALSE)) * F469</f>
        <v>262</v>
      </c>
    </row>
    <row r="470" spans="1:10" x14ac:dyDescent="0.3">
      <c r="A470" t="s">
        <v>1377</v>
      </c>
      <c r="B470" t="s">
        <v>921</v>
      </c>
      <c r="C470" t="s">
        <v>407</v>
      </c>
      <c r="D470" t="s">
        <v>211</v>
      </c>
      <c r="E470" t="s">
        <v>541</v>
      </c>
      <c r="F470">
        <v>2</v>
      </c>
      <c r="G470">
        <v>239</v>
      </c>
      <c r="H470" t="str">
        <f>IF(VLOOKUP(C470,Customers!A:E,5,FALSE)&gt;=1000,"YES","NO")</f>
        <v>YES</v>
      </c>
      <c r="I470">
        <f t="shared" si="7"/>
        <v>119.5</v>
      </c>
      <c r="J470">
        <f>(I470 - VLOOKUP(E470,Desserts!A:D,4,FALSE)) * F470</f>
        <v>125</v>
      </c>
    </row>
    <row r="471" spans="1:10" x14ac:dyDescent="0.3">
      <c r="A471" t="s">
        <v>1378</v>
      </c>
      <c r="B471" t="s">
        <v>677</v>
      </c>
      <c r="C471" t="s">
        <v>343</v>
      </c>
      <c r="D471" t="s">
        <v>193</v>
      </c>
      <c r="E471" t="s">
        <v>537</v>
      </c>
      <c r="F471">
        <v>1</v>
      </c>
      <c r="G471">
        <v>221</v>
      </c>
      <c r="H471" t="str">
        <f>IF(VLOOKUP(C471,Customers!A:E,5,FALSE)&gt;=1000,"YES","NO")</f>
        <v>YES</v>
      </c>
      <c r="I471">
        <f t="shared" si="7"/>
        <v>110.5</v>
      </c>
      <c r="J471">
        <f>(I471 - VLOOKUP(E471,Desserts!A:D,4,FALSE)) * F471</f>
        <v>26.5</v>
      </c>
    </row>
    <row r="472" spans="1:10" x14ac:dyDescent="0.3">
      <c r="A472" t="s">
        <v>1379</v>
      </c>
      <c r="B472" t="s">
        <v>1016</v>
      </c>
      <c r="C472" t="s">
        <v>503</v>
      </c>
      <c r="D472" t="s">
        <v>91</v>
      </c>
      <c r="E472" t="s">
        <v>525</v>
      </c>
      <c r="F472">
        <v>1</v>
      </c>
      <c r="G472">
        <v>207</v>
      </c>
      <c r="H472" t="str">
        <f>IF(VLOOKUP(C472,Customers!A:E,5,FALSE)&gt;=1000,"YES","NO")</f>
        <v>NO</v>
      </c>
      <c r="I472">
        <f t="shared" si="7"/>
        <v>207</v>
      </c>
      <c r="J472">
        <f>(I472 - VLOOKUP(E472,Desserts!A:D,4,FALSE)) * F472</f>
        <v>123</v>
      </c>
    </row>
    <row r="473" spans="1:10" x14ac:dyDescent="0.3">
      <c r="A473" t="s">
        <v>1380</v>
      </c>
      <c r="B473" t="s">
        <v>1121</v>
      </c>
      <c r="C473" t="s">
        <v>387</v>
      </c>
      <c r="D473" t="s">
        <v>310</v>
      </c>
      <c r="E473" t="s">
        <v>569</v>
      </c>
      <c r="F473">
        <v>5</v>
      </c>
      <c r="G473">
        <v>137</v>
      </c>
      <c r="H473" t="str">
        <f>IF(VLOOKUP(C473,Customers!A:E,5,FALSE)&gt;=1000,"YES","NO")</f>
        <v>NO</v>
      </c>
      <c r="I473">
        <f t="shared" si="7"/>
        <v>137</v>
      </c>
      <c r="J473">
        <f>(I473 - VLOOKUP(E473,Desserts!A:D,4,FALSE)) * F473</f>
        <v>300</v>
      </c>
    </row>
    <row r="474" spans="1:10" x14ac:dyDescent="0.3">
      <c r="A474" t="s">
        <v>1381</v>
      </c>
      <c r="B474" t="s">
        <v>1382</v>
      </c>
      <c r="C474" t="s">
        <v>337</v>
      </c>
      <c r="D474" t="s">
        <v>66</v>
      </c>
      <c r="E474" t="s">
        <v>617</v>
      </c>
      <c r="F474">
        <v>2</v>
      </c>
      <c r="G474">
        <v>185</v>
      </c>
      <c r="H474" t="str">
        <f>IF(VLOOKUP(C474,Customers!A:E,5,FALSE)&gt;=1000,"YES","NO")</f>
        <v>NO</v>
      </c>
      <c r="I474">
        <f t="shared" si="7"/>
        <v>185</v>
      </c>
      <c r="J474">
        <f>(I474 - VLOOKUP(E474,Desserts!A:D,4,FALSE)) * F474</f>
        <v>288</v>
      </c>
    </row>
    <row r="475" spans="1:10" x14ac:dyDescent="0.3">
      <c r="A475" t="s">
        <v>1383</v>
      </c>
      <c r="B475" t="s">
        <v>1384</v>
      </c>
      <c r="C475" t="s">
        <v>333</v>
      </c>
      <c r="D475" t="s">
        <v>112</v>
      </c>
      <c r="E475" t="s">
        <v>569</v>
      </c>
      <c r="F475">
        <v>3</v>
      </c>
      <c r="G475">
        <v>146</v>
      </c>
      <c r="H475" t="str">
        <f>IF(VLOOKUP(C475,Customers!A:E,5,FALSE)&gt;=1000,"YES","NO")</f>
        <v>YES</v>
      </c>
      <c r="I475">
        <f t="shared" si="7"/>
        <v>73</v>
      </c>
      <c r="J475">
        <f>(I475 - VLOOKUP(E475,Desserts!A:D,4,FALSE)) * F475</f>
        <v>-12</v>
      </c>
    </row>
    <row r="476" spans="1:10" x14ac:dyDescent="0.3">
      <c r="A476" t="s">
        <v>1385</v>
      </c>
      <c r="B476" t="s">
        <v>1386</v>
      </c>
      <c r="C476" t="s">
        <v>387</v>
      </c>
      <c r="D476" t="s">
        <v>157</v>
      </c>
      <c r="E476" t="s">
        <v>543</v>
      </c>
      <c r="F476">
        <v>1</v>
      </c>
      <c r="G476">
        <v>192</v>
      </c>
      <c r="H476" t="str">
        <f>IF(VLOOKUP(C476,Customers!A:E,5,FALSE)&gt;=1000,"YES","NO")</f>
        <v>NO</v>
      </c>
      <c r="I476">
        <f t="shared" si="7"/>
        <v>192</v>
      </c>
      <c r="J476">
        <f>(I476 - VLOOKUP(E476,Desserts!A:D,4,FALSE)) * F476</f>
        <v>119</v>
      </c>
    </row>
    <row r="477" spans="1:10" x14ac:dyDescent="0.3">
      <c r="A477" t="s">
        <v>1387</v>
      </c>
      <c r="B477" t="s">
        <v>775</v>
      </c>
      <c r="C477" t="s">
        <v>347</v>
      </c>
      <c r="D477" t="s">
        <v>72</v>
      </c>
      <c r="E477" t="s">
        <v>555</v>
      </c>
      <c r="F477">
        <v>3</v>
      </c>
      <c r="G477">
        <v>193</v>
      </c>
      <c r="H477" t="str">
        <f>IF(VLOOKUP(C477,Customers!A:E,5,FALSE)&gt;=1000,"YES","NO")</f>
        <v>YES</v>
      </c>
      <c r="I477">
        <f t="shared" si="7"/>
        <v>96.5</v>
      </c>
      <c r="J477">
        <f>(I477 - VLOOKUP(E477,Desserts!A:D,4,FALSE)) * F477</f>
        <v>64.5</v>
      </c>
    </row>
    <row r="478" spans="1:10" x14ac:dyDescent="0.3">
      <c r="A478" t="s">
        <v>1388</v>
      </c>
      <c r="B478" t="s">
        <v>936</v>
      </c>
      <c r="C478" t="s">
        <v>343</v>
      </c>
      <c r="D478" t="s">
        <v>103</v>
      </c>
      <c r="E478" t="s">
        <v>597</v>
      </c>
      <c r="F478">
        <v>3</v>
      </c>
      <c r="G478">
        <v>188</v>
      </c>
      <c r="H478" t="str">
        <f>IF(VLOOKUP(C478,Customers!A:E,5,FALSE)&gt;=1000,"YES","NO")</f>
        <v>YES</v>
      </c>
      <c r="I478">
        <f t="shared" si="7"/>
        <v>94</v>
      </c>
      <c r="J478">
        <f>(I478 - VLOOKUP(E478,Desserts!A:D,4,FALSE)) * F478</f>
        <v>147</v>
      </c>
    </row>
    <row r="479" spans="1:10" x14ac:dyDescent="0.3">
      <c r="A479" t="s">
        <v>1389</v>
      </c>
      <c r="B479" t="s">
        <v>1081</v>
      </c>
      <c r="C479" t="s">
        <v>423</v>
      </c>
      <c r="D479" t="s">
        <v>79</v>
      </c>
      <c r="E479" t="s">
        <v>543</v>
      </c>
      <c r="F479">
        <v>3</v>
      </c>
      <c r="G479">
        <v>227</v>
      </c>
      <c r="H479" t="str">
        <f>IF(VLOOKUP(C479,Customers!A:E,5,FALSE)&gt;=1000,"YES","NO")</f>
        <v>NO</v>
      </c>
      <c r="I479">
        <f t="shared" si="7"/>
        <v>227</v>
      </c>
      <c r="J479">
        <f>(I479 - VLOOKUP(E479,Desserts!A:D,4,FALSE)) * F479</f>
        <v>462</v>
      </c>
    </row>
    <row r="480" spans="1:10" x14ac:dyDescent="0.3">
      <c r="A480" t="s">
        <v>1390</v>
      </c>
      <c r="B480" t="s">
        <v>998</v>
      </c>
      <c r="C480" t="s">
        <v>369</v>
      </c>
      <c r="D480" t="s">
        <v>247</v>
      </c>
      <c r="E480" t="s">
        <v>541</v>
      </c>
      <c r="F480">
        <v>3</v>
      </c>
      <c r="G480">
        <v>110</v>
      </c>
      <c r="H480" t="str">
        <f>IF(VLOOKUP(C480,Customers!A:E,5,FALSE)&gt;=1000,"YES","NO")</f>
        <v>YES</v>
      </c>
      <c r="I480">
        <f t="shared" si="7"/>
        <v>55</v>
      </c>
      <c r="J480">
        <f>(I480 - VLOOKUP(E480,Desserts!A:D,4,FALSE)) * F480</f>
        <v>-6</v>
      </c>
    </row>
    <row r="481" spans="1:10" x14ac:dyDescent="0.3">
      <c r="A481" t="s">
        <v>1391</v>
      </c>
      <c r="B481" t="s">
        <v>1000</v>
      </c>
      <c r="C481" t="s">
        <v>485</v>
      </c>
      <c r="D481" t="s">
        <v>274</v>
      </c>
      <c r="E481" t="s">
        <v>611</v>
      </c>
      <c r="F481">
        <v>4</v>
      </c>
      <c r="G481">
        <v>101</v>
      </c>
      <c r="H481" t="str">
        <f>IF(VLOOKUP(C481,Customers!A:E,5,FALSE)&gt;=1000,"YES","NO")</f>
        <v>YES</v>
      </c>
      <c r="I481">
        <f t="shared" si="7"/>
        <v>50.5</v>
      </c>
      <c r="J481">
        <f>(I481 - VLOOKUP(E481,Desserts!A:D,4,FALSE)) * F481</f>
        <v>30</v>
      </c>
    </row>
    <row r="482" spans="1:10" x14ac:dyDescent="0.3">
      <c r="A482" t="s">
        <v>1392</v>
      </c>
      <c r="B482" t="s">
        <v>878</v>
      </c>
      <c r="C482" t="s">
        <v>419</v>
      </c>
      <c r="D482" t="s">
        <v>54</v>
      </c>
      <c r="E482" t="s">
        <v>573</v>
      </c>
      <c r="F482">
        <v>4</v>
      </c>
      <c r="G482">
        <v>162</v>
      </c>
      <c r="H482" t="str">
        <f>IF(VLOOKUP(C482,Customers!A:E,5,FALSE)&gt;=1000,"YES","NO")</f>
        <v>NO</v>
      </c>
      <c r="I482">
        <f t="shared" si="7"/>
        <v>162</v>
      </c>
      <c r="J482">
        <f>(I482 - VLOOKUP(E482,Desserts!A:D,4,FALSE)) * F482</f>
        <v>448</v>
      </c>
    </row>
    <row r="483" spans="1:10" x14ac:dyDescent="0.3">
      <c r="A483" t="s">
        <v>1393</v>
      </c>
      <c r="B483" t="s">
        <v>810</v>
      </c>
      <c r="C483" t="s">
        <v>363</v>
      </c>
      <c r="D483" t="s">
        <v>268</v>
      </c>
      <c r="E483" t="s">
        <v>535</v>
      </c>
      <c r="F483">
        <v>2</v>
      </c>
      <c r="G483">
        <v>168</v>
      </c>
      <c r="H483" t="str">
        <f>IF(VLOOKUP(C483,Customers!A:E,5,FALSE)&gt;=1000,"YES","NO")</f>
        <v>YES</v>
      </c>
      <c r="I483">
        <f t="shared" si="7"/>
        <v>84</v>
      </c>
      <c r="J483">
        <f>(I483 - VLOOKUP(E483,Desserts!A:D,4,FALSE)) * F483</f>
        <v>20</v>
      </c>
    </row>
    <row r="484" spans="1:10" x14ac:dyDescent="0.3">
      <c r="A484" t="s">
        <v>1394</v>
      </c>
      <c r="B484" t="s">
        <v>988</v>
      </c>
      <c r="C484" t="s">
        <v>421</v>
      </c>
      <c r="D484" t="s">
        <v>57</v>
      </c>
      <c r="E484" t="s">
        <v>545</v>
      </c>
      <c r="F484">
        <v>4</v>
      </c>
      <c r="G484">
        <v>123</v>
      </c>
      <c r="H484" t="str">
        <f>IF(VLOOKUP(C484,Customers!A:E,5,FALSE)&gt;=1000,"YES","NO")</f>
        <v>YES</v>
      </c>
      <c r="I484">
        <f t="shared" si="7"/>
        <v>61.5</v>
      </c>
      <c r="J484">
        <f>(I484 - VLOOKUP(E484,Desserts!A:D,4,FALSE)) * F484</f>
        <v>66</v>
      </c>
    </row>
    <row r="485" spans="1:10" x14ac:dyDescent="0.3">
      <c r="A485" t="s">
        <v>1395</v>
      </c>
      <c r="B485" t="s">
        <v>904</v>
      </c>
      <c r="C485" t="s">
        <v>365</v>
      </c>
      <c r="D485" t="s">
        <v>193</v>
      </c>
      <c r="E485" t="s">
        <v>607</v>
      </c>
      <c r="F485">
        <v>5</v>
      </c>
      <c r="G485">
        <v>232</v>
      </c>
      <c r="H485" t="str">
        <f>IF(VLOOKUP(C485,Customers!A:E,5,FALSE)&gt;=1000,"YES","NO")</f>
        <v>NO</v>
      </c>
      <c r="I485">
        <f t="shared" si="7"/>
        <v>232</v>
      </c>
      <c r="J485">
        <f>(I485 - VLOOKUP(E485,Desserts!A:D,4,FALSE)) * F485</f>
        <v>810</v>
      </c>
    </row>
    <row r="486" spans="1:10" x14ac:dyDescent="0.3">
      <c r="A486" t="s">
        <v>1396</v>
      </c>
      <c r="B486" t="s">
        <v>852</v>
      </c>
      <c r="C486" t="s">
        <v>349</v>
      </c>
      <c r="D486" t="s">
        <v>37</v>
      </c>
      <c r="E486" t="s">
        <v>619</v>
      </c>
      <c r="F486">
        <v>2</v>
      </c>
      <c r="G486">
        <v>199</v>
      </c>
      <c r="H486" t="str">
        <f>IF(VLOOKUP(C486,Customers!A:E,5,FALSE)&gt;=1000,"YES","NO")</f>
        <v>NO</v>
      </c>
      <c r="I486">
        <f t="shared" si="7"/>
        <v>199</v>
      </c>
      <c r="J486">
        <f>(I486 - VLOOKUP(E486,Desserts!A:D,4,FALSE)) * F486</f>
        <v>236</v>
      </c>
    </row>
    <row r="487" spans="1:10" x14ac:dyDescent="0.3">
      <c r="A487" t="s">
        <v>1397</v>
      </c>
      <c r="B487" t="s">
        <v>1398</v>
      </c>
      <c r="C487" t="s">
        <v>481</v>
      </c>
      <c r="D487" t="s">
        <v>265</v>
      </c>
      <c r="E487" t="s">
        <v>565</v>
      </c>
      <c r="F487">
        <v>1</v>
      </c>
      <c r="G487">
        <v>172</v>
      </c>
      <c r="H487" t="str">
        <f>IF(VLOOKUP(C487,Customers!A:E,5,FALSE)&gt;=1000,"YES","NO")</f>
        <v>YES</v>
      </c>
      <c r="I487">
        <f t="shared" si="7"/>
        <v>86</v>
      </c>
      <c r="J487">
        <f>(I487 - VLOOKUP(E487,Desserts!A:D,4,FALSE)) * F487</f>
        <v>45</v>
      </c>
    </row>
    <row r="488" spans="1:10" x14ac:dyDescent="0.3">
      <c r="A488" t="s">
        <v>1399</v>
      </c>
      <c r="B488" t="s">
        <v>667</v>
      </c>
      <c r="C488" t="s">
        <v>347</v>
      </c>
      <c r="D488" t="s">
        <v>250</v>
      </c>
      <c r="E488" t="s">
        <v>523</v>
      </c>
      <c r="F488">
        <v>3</v>
      </c>
      <c r="G488">
        <v>191</v>
      </c>
      <c r="H488" t="str">
        <f>IF(VLOOKUP(C488,Customers!A:E,5,FALSE)&gt;=1000,"YES","NO")</f>
        <v>YES</v>
      </c>
      <c r="I488">
        <f t="shared" si="7"/>
        <v>95.5</v>
      </c>
      <c r="J488">
        <f>(I488 - VLOOKUP(E488,Desserts!A:D,4,FALSE)) * F488</f>
        <v>82.5</v>
      </c>
    </row>
    <row r="489" spans="1:10" x14ac:dyDescent="0.3">
      <c r="A489" t="s">
        <v>1400</v>
      </c>
      <c r="B489" t="s">
        <v>962</v>
      </c>
      <c r="C489" t="s">
        <v>503</v>
      </c>
      <c r="D489" t="s">
        <v>63</v>
      </c>
      <c r="E489" t="s">
        <v>569</v>
      </c>
      <c r="F489">
        <v>1</v>
      </c>
      <c r="G489">
        <v>102</v>
      </c>
      <c r="H489" t="str">
        <f>IF(VLOOKUP(C489,Customers!A:E,5,FALSE)&gt;=1000,"YES","NO")</f>
        <v>NO</v>
      </c>
      <c r="I489">
        <f t="shared" si="7"/>
        <v>102</v>
      </c>
      <c r="J489">
        <f>(I489 - VLOOKUP(E489,Desserts!A:D,4,FALSE)) * F489</f>
        <v>25</v>
      </c>
    </row>
    <row r="490" spans="1:10" x14ac:dyDescent="0.3">
      <c r="A490" t="s">
        <v>1401</v>
      </c>
      <c r="B490" t="s">
        <v>719</v>
      </c>
      <c r="C490" t="s">
        <v>413</v>
      </c>
      <c r="D490" t="s">
        <v>301</v>
      </c>
      <c r="E490" t="s">
        <v>583</v>
      </c>
      <c r="F490">
        <v>4</v>
      </c>
      <c r="G490">
        <v>152</v>
      </c>
      <c r="H490" t="str">
        <f>IF(VLOOKUP(C490,Customers!A:E,5,FALSE)&gt;=1000,"YES","NO")</f>
        <v>YES</v>
      </c>
      <c r="I490">
        <f t="shared" si="7"/>
        <v>76</v>
      </c>
      <c r="J490">
        <f>(I490 - VLOOKUP(E490,Desserts!A:D,4,FALSE)) * F490</f>
        <v>-28</v>
      </c>
    </row>
    <row r="491" spans="1:10" x14ac:dyDescent="0.3">
      <c r="A491" t="s">
        <v>1402</v>
      </c>
      <c r="B491" t="s">
        <v>1403</v>
      </c>
      <c r="C491" t="s">
        <v>389</v>
      </c>
      <c r="D491" t="s">
        <v>100</v>
      </c>
      <c r="E491" t="s">
        <v>587</v>
      </c>
      <c r="F491">
        <v>1</v>
      </c>
      <c r="G491">
        <v>145</v>
      </c>
      <c r="H491" t="str">
        <f>IF(VLOOKUP(C491,Customers!A:E,5,FALSE)&gt;=1000,"YES","NO")</f>
        <v>YES</v>
      </c>
      <c r="I491">
        <f t="shared" si="7"/>
        <v>72.5</v>
      </c>
      <c r="J491">
        <f>(I491 - VLOOKUP(E491,Desserts!A:D,4,FALSE)) * F491</f>
        <v>0.5</v>
      </c>
    </row>
    <row r="492" spans="1:10" x14ac:dyDescent="0.3">
      <c r="A492" t="s">
        <v>1404</v>
      </c>
      <c r="B492" t="s">
        <v>1405</v>
      </c>
      <c r="C492" t="s">
        <v>383</v>
      </c>
      <c r="D492" t="s">
        <v>172</v>
      </c>
      <c r="E492" t="s">
        <v>567</v>
      </c>
      <c r="F492">
        <v>5</v>
      </c>
      <c r="G492">
        <v>135</v>
      </c>
      <c r="H492" t="str">
        <f>IF(VLOOKUP(C492,Customers!A:E,5,FALSE)&gt;=1000,"YES","NO")</f>
        <v>NO</v>
      </c>
      <c r="I492">
        <f t="shared" si="7"/>
        <v>135</v>
      </c>
      <c r="J492">
        <f>(I492 - VLOOKUP(E492,Desserts!A:D,4,FALSE)) * F492</f>
        <v>395</v>
      </c>
    </row>
    <row r="493" spans="1:10" x14ac:dyDescent="0.3">
      <c r="A493" t="s">
        <v>1406</v>
      </c>
      <c r="B493" t="s">
        <v>1407</v>
      </c>
      <c r="C493" t="s">
        <v>453</v>
      </c>
      <c r="D493" t="s">
        <v>304</v>
      </c>
      <c r="E493" t="s">
        <v>549</v>
      </c>
      <c r="F493">
        <v>1</v>
      </c>
      <c r="G493">
        <v>135</v>
      </c>
      <c r="H493" t="str">
        <f>IF(VLOOKUP(C493,Customers!A:E,5,FALSE)&gt;=1000,"YES","NO")</f>
        <v>YES</v>
      </c>
      <c r="I493">
        <f t="shared" si="7"/>
        <v>67.5</v>
      </c>
      <c r="J493">
        <f>(I493 - VLOOKUP(E493,Desserts!A:D,4,FALSE)) * F493</f>
        <v>-11.5</v>
      </c>
    </row>
    <row r="494" spans="1:10" x14ac:dyDescent="0.3">
      <c r="A494" t="s">
        <v>1408</v>
      </c>
      <c r="B494" t="s">
        <v>781</v>
      </c>
      <c r="C494" t="s">
        <v>341</v>
      </c>
      <c r="D494" t="s">
        <v>226</v>
      </c>
      <c r="E494" t="s">
        <v>523</v>
      </c>
      <c r="F494">
        <v>3</v>
      </c>
      <c r="G494">
        <v>158</v>
      </c>
      <c r="H494" t="str">
        <f>IF(VLOOKUP(C494,Customers!A:E,5,FALSE)&gt;=1000,"YES","NO")</f>
        <v>YES</v>
      </c>
      <c r="I494">
        <f t="shared" si="7"/>
        <v>79</v>
      </c>
      <c r="J494">
        <f>(I494 - VLOOKUP(E494,Desserts!A:D,4,FALSE)) * F494</f>
        <v>33</v>
      </c>
    </row>
    <row r="495" spans="1:10" x14ac:dyDescent="0.3">
      <c r="A495" t="s">
        <v>1409</v>
      </c>
      <c r="B495" t="s">
        <v>888</v>
      </c>
      <c r="C495" t="s">
        <v>463</v>
      </c>
      <c r="D495" t="s">
        <v>289</v>
      </c>
      <c r="E495" t="s">
        <v>565</v>
      </c>
      <c r="F495">
        <v>3</v>
      </c>
      <c r="G495">
        <v>104</v>
      </c>
      <c r="H495" t="str">
        <f>IF(VLOOKUP(C495,Customers!A:E,5,FALSE)&gt;=1000,"YES","NO")</f>
        <v>NO</v>
      </c>
      <c r="I495">
        <f t="shared" si="7"/>
        <v>104</v>
      </c>
      <c r="J495">
        <f>(I495 - VLOOKUP(E495,Desserts!A:D,4,FALSE)) * F495</f>
        <v>189</v>
      </c>
    </row>
    <row r="496" spans="1:10" x14ac:dyDescent="0.3">
      <c r="A496" t="s">
        <v>1410</v>
      </c>
      <c r="B496" t="s">
        <v>1411</v>
      </c>
      <c r="C496" t="s">
        <v>379</v>
      </c>
      <c r="D496" t="s">
        <v>181</v>
      </c>
      <c r="E496" t="s">
        <v>617</v>
      </c>
      <c r="F496">
        <v>1</v>
      </c>
      <c r="G496">
        <v>130</v>
      </c>
      <c r="H496" t="str">
        <f>IF(VLOOKUP(C496,Customers!A:E,5,FALSE)&gt;=1000,"YES","NO")</f>
        <v>NO</v>
      </c>
      <c r="I496">
        <f t="shared" si="7"/>
        <v>130</v>
      </c>
      <c r="J496">
        <f>(I496 - VLOOKUP(E496,Desserts!A:D,4,FALSE)) * F496</f>
        <v>89</v>
      </c>
    </row>
    <row r="497" spans="1:10" x14ac:dyDescent="0.3">
      <c r="A497" t="s">
        <v>1412</v>
      </c>
      <c r="B497" t="s">
        <v>1413</v>
      </c>
      <c r="C497" t="s">
        <v>477</v>
      </c>
      <c r="D497" t="s">
        <v>304</v>
      </c>
      <c r="E497" t="s">
        <v>539</v>
      </c>
      <c r="F497">
        <v>3</v>
      </c>
      <c r="G497">
        <v>155</v>
      </c>
      <c r="H497" t="str">
        <f>IF(VLOOKUP(C497,Customers!A:E,5,FALSE)&gt;=1000,"YES","NO")</f>
        <v>YES</v>
      </c>
      <c r="I497">
        <f t="shared" si="7"/>
        <v>77.5</v>
      </c>
      <c r="J497">
        <f>(I497 - VLOOKUP(E497,Desserts!A:D,4,FALSE)) * F497</f>
        <v>46.5</v>
      </c>
    </row>
    <row r="498" spans="1:10" x14ac:dyDescent="0.3">
      <c r="A498" t="s">
        <v>1414</v>
      </c>
      <c r="B498" t="s">
        <v>904</v>
      </c>
      <c r="C498" t="s">
        <v>505</v>
      </c>
      <c r="D498" t="s">
        <v>172</v>
      </c>
      <c r="E498" t="s">
        <v>613</v>
      </c>
      <c r="F498">
        <v>4</v>
      </c>
      <c r="G498">
        <v>114</v>
      </c>
      <c r="H498" t="str">
        <f>IF(VLOOKUP(C498,Customers!A:E,5,FALSE)&gt;=1000,"YES","NO")</f>
        <v>YES</v>
      </c>
      <c r="I498">
        <f t="shared" si="7"/>
        <v>57</v>
      </c>
      <c r="J498">
        <f>(I498 - VLOOKUP(E498,Desserts!A:D,4,FALSE)) * F498</f>
        <v>-112</v>
      </c>
    </row>
    <row r="499" spans="1:10" x14ac:dyDescent="0.3">
      <c r="A499" t="s">
        <v>1415</v>
      </c>
      <c r="B499" t="s">
        <v>1134</v>
      </c>
      <c r="C499" t="s">
        <v>481</v>
      </c>
      <c r="D499" t="s">
        <v>292</v>
      </c>
      <c r="E499" t="s">
        <v>609</v>
      </c>
      <c r="F499">
        <v>3</v>
      </c>
      <c r="G499">
        <v>122</v>
      </c>
      <c r="H499" t="str">
        <f>IF(VLOOKUP(C499,Customers!A:E,5,FALSE)&gt;=1000,"YES","NO")</f>
        <v>YES</v>
      </c>
      <c r="I499">
        <f t="shared" si="7"/>
        <v>61</v>
      </c>
      <c r="J499">
        <f>(I499 - VLOOKUP(E499,Desserts!A:D,4,FALSE)) * F499</f>
        <v>-9</v>
      </c>
    </row>
    <row r="500" spans="1:10" x14ac:dyDescent="0.3">
      <c r="A500" t="s">
        <v>1416</v>
      </c>
      <c r="B500" t="s">
        <v>1417</v>
      </c>
      <c r="C500" t="s">
        <v>331</v>
      </c>
      <c r="D500" t="s">
        <v>166</v>
      </c>
      <c r="E500" t="s">
        <v>585</v>
      </c>
      <c r="F500">
        <v>2</v>
      </c>
      <c r="G500">
        <v>236</v>
      </c>
      <c r="H500" t="str">
        <f>IF(VLOOKUP(C500,Customers!A:E,5,FALSE)&gt;=1000,"YES","NO")</f>
        <v>YES</v>
      </c>
      <c r="I500">
        <f t="shared" si="7"/>
        <v>118</v>
      </c>
      <c r="J500">
        <f>(I500 - VLOOKUP(E500,Desserts!A:D,4,FALSE)) * F500</f>
        <v>142</v>
      </c>
    </row>
    <row r="501" spans="1:10" x14ac:dyDescent="0.3">
      <c r="A501" t="s">
        <v>1418</v>
      </c>
      <c r="B501" t="s">
        <v>1419</v>
      </c>
      <c r="C501" t="s">
        <v>385</v>
      </c>
      <c r="D501" t="s">
        <v>298</v>
      </c>
      <c r="E501" t="s">
        <v>525</v>
      </c>
      <c r="F501">
        <v>2</v>
      </c>
      <c r="G501">
        <v>159</v>
      </c>
      <c r="H501" t="str">
        <f>IF(VLOOKUP(C501,Customers!A:E,5,FALSE)&gt;=1000,"YES","NO")</f>
        <v>YES</v>
      </c>
      <c r="I501">
        <f t="shared" si="7"/>
        <v>79.5</v>
      </c>
      <c r="J501">
        <f>(I501 - VLOOKUP(E501,Desserts!A:D,4,FALSE)) * F501</f>
        <v>-9</v>
      </c>
    </row>
  </sheetData>
  <mergeCells count="1">
    <mergeCell ref="O2:T2"/>
  </mergeCells>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CBA9C-30B2-4E16-8D16-0ADE5777C14A}">
  <dimension ref="A1:O501"/>
  <sheetViews>
    <sheetView workbookViewId="0">
      <selection activeCell="M7" sqref="M7"/>
    </sheetView>
  </sheetViews>
  <sheetFormatPr defaultRowHeight="14.4" x14ac:dyDescent="0.3"/>
  <cols>
    <col min="8" max="8" width="17.5546875" bestFit="1" customWidth="1"/>
    <col min="12" max="12" width="12.5546875" bestFit="1" customWidth="1"/>
    <col min="13" max="13" width="12.109375" bestFit="1" customWidth="1"/>
  </cols>
  <sheetData>
    <row r="1" spans="1:15" x14ac:dyDescent="0.3">
      <c r="A1" s="1" t="s">
        <v>621</v>
      </c>
      <c r="B1" s="1" t="s">
        <v>622</v>
      </c>
      <c r="C1" s="1" t="s">
        <v>313</v>
      </c>
      <c r="D1" s="1" t="s">
        <v>0</v>
      </c>
      <c r="E1" s="1" t="s">
        <v>517</v>
      </c>
      <c r="F1" s="1" t="s">
        <v>623</v>
      </c>
      <c r="G1" s="1" t="s">
        <v>624</v>
      </c>
      <c r="H1" s="1" t="s">
        <v>1421</v>
      </c>
      <c r="I1" s="1" t="s">
        <v>1422</v>
      </c>
      <c r="J1" s="1" t="s">
        <v>1423</v>
      </c>
    </row>
    <row r="2" spans="1:15" ht="21" x14ac:dyDescent="0.4">
      <c r="A2" t="s">
        <v>625</v>
      </c>
      <c r="B2" t="s">
        <v>626</v>
      </c>
      <c r="C2" t="s">
        <v>347</v>
      </c>
      <c r="D2" t="s">
        <v>13</v>
      </c>
      <c r="E2" t="s">
        <v>607</v>
      </c>
      <c r="F2">
        <v>3</v>
      </c>
      <c r="G2">
        <v>173</v>
      </c>
      <c r="H2" t="str">
        <f>IF(VLOOKUP(C2,Customers!A:E,5,FALSE)&gt;=1000,"YES","NO")</f>
        <v>YES</v>
      </c>
      <c r="I2">
        <f t="shared" ref="I2:I65" si="0">IF(H2="YES",G2*0.5,G2)</f>
        <v>86.5</v>
      </c>
      <c r="J2">
        <f>(I2 - VLOOKUP(E2,Desserts!A:D,4,FALSE)) * F2</f>
        <v>49.5</v>
      </c>
      <c r="L2" s="7" t="s">
        <v>1443</v>
      </c>
      <c r="M2" s="7"/>
      <c r="N2" s="7"/>
      <c r="O2" s="7"/>
    </row>
    <row r="3" spans="1:15" x14ac:dyDescent="0.3">
      <c r="A3" t="s">
        <v>627</v>
      </c>
      <c r="B3" t="s">
        <v>628</v>
      </c>
      <c r="C3" t="s">
        <v>453</v>
      </c>
      <c r="D3" t="s">
        <v>301</v>
      </c>
      <c r="E3" t="s">
        <v>521</v>
      </c>
      <c r="F3">
        <v>4</v>
      </c>
      <c r="G3">
        <v>135</v>
      </c>
      <c r="H3" t="str">
        <f>IF(VLOOKUP(C3,Customers!A:E,5,FALSE)&gt;=1000,"YES","NO")</f>
        <v>YES</v>
      </c>
      <c r="I3">
        <f t="shared" si="0"/>
        <v>67.5</v>
      </c>
      <c r="J3">
        <f>(I3 - VLOOKUP(E3,Desserts!A:D,4,FALSE)) * F3</f>
        <v>14</v>
      </c>
    </row>
    <row r="4" spans="1:15" x14ac:dyDescent="0.3">
      <c r="A4" t="s">
        <v>629</v>
      </c>
      <c r="B4" t="s">
        <v>630</v>
      </c>
      <c r="C4" t="s">
        <v>473</v>
      </c>
      <c r="D4" t="s">
        <v>190</v>
      </c>
      <c r="E4" t="s">
        <v>549</v>
      </c>
      <c r="F4">
        <v>1</v>
      </c>
      <c r="G4">
        <v>142</v>
      </c>
      <c r="H4" t="str">
        <f>IF(VLOOKUP(C4,Customers!A:E,5,FALSE)&gt;=1000,"YES","NO")</f>
        <v>NO</v>
      </c>
      <c r="I4">
        <f t="shared" si="0"/>
        <v>142</v>
      </c>
      <c r="J4">
        <f>(I4 - VLOOKUP(E4,Desserts!A:D,4,FALSE)) * F4</f>
        <v>63</v>
      </c>
    </row>
    <row r="5" spans="1:15" x14ac:dyDescent="0.3">
      <c r="A5" t="s">
        <v>631</v>
      </c>
      <c r="B5" t="s">
        <v>632</v>
      </c>
      <c r="C5" t="s">
        <v>509</v>
      </c>
      <c r="D5" t="s">
        <v>232</v>
      </c>
      <c r="E5" t="s">
        <v>603</v>
      </c>
      <c r="F5">
        <v>4</v>
      </c>
      <c r="G5">
        <v>188</v>
      </c>
      <c r="H5" t="str">
        <f>IF(VLOOKUP(C5,Customers!A:E,5,FALSE)&gt;=1000,"YES","NO")</f>
        <v>NO</v>
      </c>
      <c r="I5">
        <f t="shared" si="0"/>
        <v>188</v>
      </c>
      <c r="J5">
        <f>(I5 - VLOOKUP(E5,Desserts!A:D,4,FALSE)) * F5</f>
        <v>396</v>
      </c>
      <c r="L5" s="2" t="s">
        <v>1424</v>
      </c>
      <c r="M5" t="s">
        <v>1426</v>
      </c>
    </row>
    <row r="6" spans="1:15" x14ac:dyDescent="0.3">
      <c r="A6" t="s">
        <v>633</v>
      </c>
      <c r="B6" t="s">
        <v>634</v>
      </c>
      <c r="C6" t="s">
        <v>357</v>
      </c>
      <c r="D6" t="s">
        <v>79</v>
      </c>
      <c r="E6" t="s">
        <v>581</v>
      </c>
      <c r="F6">
        <v>4</v>
      </c>
      <c r="G6">
        <v>161</v>
      </c>
      <c r="H6" t="str">
        <f>IF(VLOOKUP(C6,Customers!A:E,5,FALSE)&gt;=1000,"YES","NO")</f>
        <v>NO</v>
      </c>
      <c r="I6">
        <f t="shared" si="0"/>
        <v>161</v>
      </c>
      <c r="J6">
        <f>(I6 - VLOOKUP(E6,Desserts!A:D,4,FALSE)) * F6</f>
        <v>288</v>
      </c>
      <c r="L6" s="3" t="s">
        <v>1428</v>
      </c>
      <c r="M6" s="4">
        <v>83701</v>
      </c>
    </row>
    <row r="7" spans="1:15" x14ac:dyDescent="0.3">
      <c r="A7" t="s">
        <v>635</v>
      </c>
      <c r="B7" t="s">
        <v>636</v>
      </c>
      <c r="C7" t="s">
        <v>439</v>
      </c>
      <c r="D7" t="s">
        <v>69</v>
      </c>
      <c r="E7" t="s">
        <v>587</v>
      </c>
      <c r="F7">
        <v>2</v>
      </c>
      <c r="G7">
        <v>158</v>
      </c>
      <c r="H7" t="str">
        <f>IF(VLOOKUP(C7,Customers!A:E,5,FALSE)&gt;=1000,"YES","NO")</f>
        <v>YES</v>
      </c>
      <c r="I7">
        <f t="shared" si="0"/>
        <v>79</v>
      </c>
      <c r="J7">
        <f>(I7 - VLOOKUP(E7,Desserts!A:D,4,FALSE)) * F7</f>
        <v>14</v>
      </c>
      <c r="L7" s="3" t="s">
        <v>1429</v>
      </c>
      <c r="M7" s="4">
        <v>15988.5</v>
      </c>
    </row>
    <row r="8" spans="1:15" x14ac:dyDescent="0.3">
      <c r="A8" t="s">
        <v>637</v>
      </c>
      <c r="B8" t="s">
        <v>638</v>
      </c>
      <c r="C8" t="s">
        <v>463</v>
      </c>
      <c r="D8" t="s">
        <v>226</v>
      </c>
      <c r="E8" t="s">
        <v>537</v>
      </c>
      <c r="F8">
        <v>5</v>
      </c>
      <c r="G8">
        <v>160</v>
      </c>
      <c r="H8" t="str">
        <f>IF(VLOOKUP(C8,Customers!A:E,5,FALSE)&gt;=1000,"YES","NO")</f>
        <v>NO</v>
      </c>
      <c r="I8">
        <f t="shared" si="0"/>
        <v>160</v>
      </c>
      <c r="J8">
        <f>(I8 - VLOOKUP(E8,Desserts!A:D,4,FALSE)) * F8</f>
        <v>380</v>
      </c>
      <c r="L8" s="3" t="s">
        <v>1425</v>
      </c>
      <c r="M8" s="4">
        <v>99689.5</v>
      </c>
    </row>
    <row r="9" spans="1:15" x14ac:dyDescent="0.3">
      <c r="A9" t="s">
        <v>639</v>
      </c>
      <c r="B9" t="s">
        <v>640</v>
      </c>
      <c r="C9" t="s">
        <v>403</v>
      </c>
      <c r="D9" t="s">
        <v>295</v>
      </c>
      <c r="E9" t="s">
        <v>565</v>
      </c>
      <c r="F9">
        <v>4</v>
      </c>
      <c r="G9">
        <v>179</v>
      </c>
      <c r="H9" t="str">
        <f>IF(VLOOKUP(C9,Customers!A:E,5,FALSE)&gt;=1000,"YES","NO")</f>
        <v>NO</v>
      </c>
      <c r="I9">
        <f t="shared" si="0"/>
        <v>179</v>
      </c>
      <c r="J9">
        <f>(I9 - VLOOKUP(E9,Desserts!A:D,4,FALSE)) * F9</f>
        <v>552</v>
      </c>
    </row>
    <row r="10" spans="1:15" x14ac:dyDescent="0.3">
      <c r="A10" t="s">
        <v>641</v>
      </c>
      <c r="B10" t="s">
        <v>642</v>
      </c>
      <c r="C10" t="s">
        <v>515</v>
      </c>
      <c r="D10" t="s">
        <v>172</v>
      </c>
      <c r="E10" t="s">
        <v>539</v>
      </c>
      <c r="F10">
        <v>4</v>
      </c>
      <c r="G10">
        <v>139</v>
      </c>
      <c r="H10" t="str">
        <f>IF(VLOOKUP(C10,Customers!A:E,5,FALSE)&gt;=1000,"YES","NO")</f>
        <v>YES</v>
      </c>
      <c r="I10">
        <f t="shared" si="0"/>
        <v>69.5</v>
      </c>
      <c r="J10">
        <f>(I10 - VLOOKUP(E10,Desserts!A:D,4,FALSE)) * F10</f>
        <v>30</v>
      </c>
    </row>
    <row r="11" spans="1:15" x14ac:dyDescent="0.3">
      <c r="A11" t="s">
        <v>643</v>
      </c>
      <c r="B11" t="s">
        <v>644</v>
      </c>
      <c r="C11" t="s">
        <v>341</v>
      </c>
      <c r="D11" t="s">
        <v>157</v>
      </c>
      <c r="E11" t="s">
        <v>579</v>
      </c>
      <c r="F11">
        <v>5</v>
      </c>
      <c r="G11">
        <v>248</v>
      </c>
      <c r="H11" t="str">
        <f>IF(VLOOKUP(C11,Customers!A:E,5,FALSE)&gt;=1000,"YES","NO")</f>
        <v>YES</v>
      </c>
      <c r="I11">
        <f t="shared" si="0"/>
        <v>124</v>
      </c>
      <c r="J11">
        <f>(I11 - VLOOKUP(E11,Desserts!A:D,4,FALSE)) * F11</f>
        <v>310</v>
      </c>
    </row>
    <row r="12" spans="1:15" x14ac:dyDescent="0.3">
      <c r="A12" t="s">
        <v>645</v>
      </c>
      <c r="B12" t="s">
        <v>646</v>
      </c>
      <c r="C12" t="s">
        <v>417</v>
      </c>
      <c r="D12" t="s">
        <v>157</v>
      </c>
      <c r="E12" t="s">
        <v>617</v>
      </c>
      <c r="F12">
        <v>3</v>
      </c>
      <c r="G12">
        <v>178</v>
      </c>
      <c r="H12" t="str">
        <f>IF(VLOOKUP(C12,Customers!A:E,5,FALSE)&gt;=1000,"YES","NO")</f>
        <v>YES</v>
      </c>
      <c r="I12">
        <f t="shared" si="0"/>
        <v>89</v>
      </c>
      <c r="J12">
        <f>(I12 - VLOOKUP(E12,Desserts!A:D,4,FALSE)) * F12</f>
        <v>144</v>
      </c>
    </row>
    <row r="13" spans="1:15" x14ac:dyDescent="0.3">
      <c r="A13" t="s">
        <v>647</v>
      </c>
      <c r="B13" t="s">
        <v>646</v>
      </c>
      <c r="C13" t="s">
        <v>383</v>
      </c>
      <c r="D13" t="s">
        <v>229</v>
      </c>
      <c r="E13" t="s">
        <v>527</v>
      </c>
      <c r="F13">
        <v>2</v>
      </c>
      <c r="G13">
        <v>240</v>
      </c>
      <c r="H13" t="str">
        <f>IF(VLOOKUP(C13,Customers!A:E,5,FALSE)&gt;=1000,"YES","NO")</f>
        <v>NO</v>
      </c>
      <c r="I13">
        <f t="shared" si="0"/>
        <v>240</v>
      </c>
      <c r="J13">
        <f>(I13 - VLOOKUP(E13,Desserts!A:D,4,FALSE)) * F13</f>
        <v>394</v>
      </c>
    </row>
    <row r="14" spans="1:15" x14ac:dyDescent="0.3">
      <c r="A14" t="s">
        <v>648</v>
      </c>
      <c r="B14" t="s">
        <v>649</v>
      </c>
      <c r="C14" t="s">
        <v>499</v>
      </c>
      <c r="D14" t="s">
        <v>30</v>
      </c>
      <c r="E14" t="s">
        <v>613</v>
      </c>
      <c r="F14">
        <v>1</v>
      </c>
      <c r="G14">
        <v>121</v>
      </c>
      <c r="H14" t="str">
        <f>IF(VLOOKUP(C14,Customers!A:E,5,FALSE)&gt;=1000,"YES","NO")</f>
        <v>NO</v>
      </c>
      <c r="I14">
        <f t="shared" si="0"/>
        <v>121</v>
      </c>
      <c r="J14">
        <f>(I14 - VLOOKUP(E14,Desserts!A:D,4,FALSE)) * F14</f>
        <v>36</v>
      </c>
    </row>
    <row r="15" spans="1:15" x14ac:dyDescent="0.3">
      <c r="A15" t="s">
        <v>650</v>
      </c>
      <c r="B15" t="s">
        <v>651</v>
      </c>
      <c r="C15" t="s">
        <v>317</v>
      </c>
      <c r="D15" t="s">
        <v>241</v>
      </c>
      <c r="E15" t="s">
        <v>577</v>
      </c>
      <c r="F15">
        <v>2</v>
      </c>
      <c r="G15">
        <v>233</v>
      </c>
      <c r="H15" t="str">
        <f>IF(VLOOKUP(C15,Customers!A:E,5,FALSE)&gt;=1000,"YES","NO")</f>
        <v>NO</v>
      </c>
      <c r="I15">
        <f t="shared" si="0"/>
        <v>233</v>
      </c>
      <c r="J15">
        <f>(I15 - VLOOKUP(E15,Desserts!A:D,4,FALSE)) * F15</f>
        <v>326</v>
      </c>
    </row>
    <row r="16" spans="1:15" x14ac:dyDescent="0.3">
      <c r="A16" t="s">
        <v>652</v>
      </c>
      <c r="B16" t="s">
        <v>653</v>
      </c>
      <c r="C16" t="s">
        <v>441</v>
      </c>
      <c r="D16" t="s">
        <v>69</v>
      </c>
      <c r="E16" t="s">
        <v>613</v>
      </c>
      <c r="F16">
        <v>2</v>
      </c>
      <c r="G16">
        <v>228</v>
      </c>
      <c r="H16" t="str">
        <f>IF(VLOOKUP(C16,Customers!A:E,5,FALSE)&gt;=1000,"YES","NO")</f>
        <v>NO</v>
      </c>
      <c r="I16">
        <f t="shared" si="0"/>
        <v>228</v>
      </c>
      <c r="J16">
        <f>(I16 - VLOOKUP(E16,Desserts!A:D,4,FALSE)) * F16</f>
        <v>286</v>
      </c>
    </row>
    <row r="17" spans="1:10" x14ac:dyDescent="0.3">
      <c r="A17" t="s">
        <v>654</v>
      </c>
      <c r="B17" t="s">
        <v>655</v>
      </c>
      <c r="C17" t="s">
        <v>437</v>
      </c>
      <c r="D17" t="s">
        <v>97</v>
      </c>
      <c r="E17" t="s">
        <v>597</v>
      </c>
      <c r="F17">
        <v>3</v>
      </c>
      <c r="G17">
        <v>202</v>
      </c>
      <c r="H17" t="str">
        <f>IF(VLOOKUP(C17,Customers!A:E,5,FALSE)&gt;=1000,"YES","NO")</f>
        <v>NO</v>
      </c>
      <c r="I17">
        <f t="shared" si="0"/>
        <v>202</v>
      </c>
      <c r="J17">
        <f>(I17 - VLOOKUP(E17,Desserts!A:D,4,FALSE)) * F17</f>
        <v>471</v>
      </c>
    </row>
    <row r="18" spans="1:10" x14ac:dyDescent="0.3">
      <c r="A18" t="s">
        <v>656</v>
      </c>
      <c r="B18" t="s">
        <v>657</v>
      </c>
      <c r="C18" t="s">
        <v>503</v>
      </c>
      <c r="D18" t="s">
        <v>69</v>
      </c>
      <c r="E18" t="s">
        <v>555</v>
      </c>
      <c r="F18">
        <v>4</v>
      </c>
      <c r="G18">
        <v>132</v>
      </c>
      <c r="H18" t="str">
        <f>IF(VLOOKUP(C18,Customers!A:E,5,FALSE)&gt;=1000,"YES","NO")</f>
        <v>NO</v>
      </c>
      <c r="I18">
        <f t="shared" si="0"/>
        <v>132</v>
      </c>
      <c r="J18">
        <f>(I18 - VLOOKUP(E18,Desserts!A:D,4,FALSE)) * F18</f>
        <v>228</v>
      </c>
    </row>
    <row r="19" spans="1:10" x14ac:dyDescent="0.3">
      <c r="A19" t="s">
        <v>658</v>
      </c>
      <c r="B19" t="s">
        <v>659</v>
      </c>
      <c r="C19" t="s">
        <v>473</v>
      </c>
      <c r="D19" t="s">
        <v>100</v>
      </c>
      <c r="E19" t="s">
        <v>603</v>
      </c>
      <c r="F19">
        <v>5</v>
      </c>
      <c r="G19">
        <v>226</v>
      </c>
      <c r="H19" t="str">
        <f>IF(VLOOKUP(C19,Customers!A:E,5,FALSE)&gt;=1000,"YES","NO")</f>
        <v>NO</v>
      </c>
      <c r="I19">
        <f t="shared" si="0"/>
        <v>226</v>
      </c>
      <c r="J19">
        <f>(I19 - VLOOKUP(E19,Desserts!A:D,4,FALSE)) * F19</f>
        <v>685</v>
      </c>
    </row>
    <row r="20" spans="1:10" x14ac:dyDescent="0.3">
      <c r="A20" t="s">
        <v>660</v>
      </c>
      <c r="B20" t="s">
        <v>661</v>
      </c>
      <c r="C20" t="s">
        <v>349</v>
      </c>
      <c r="D20" t="s">
        <v>51</v>
      </c>
      <c r="E20" t="s">
        <v>581</v>
      </c>
      <c r="F20">
        <v>1</v>
      </c>
      <c r="G20">
        <v>225</v>
      </c>
      <c r="H20" t="str">
        <f>IF(VLOOKUP(C20,Customers!A:E,5,FALSE)&gt;=1000,"YES","NO")</f>
        <v>NO</v>
      </c>
      <c r="I20">
        <f t="shared" si="0"/>
        <v>225</v>
      </c>
      <c r="J20">
        <f>(I20 - VLOOKUP(E20,Desserts!A:D,4,FALSE)) * F20</f>
        <v>136</v>
      </c>
    </row>
    <row r="21" spans="1:10" x14ac:dyDescent="0.3">
      <c r="A21" t="s">
        <v>662</v>
      </c>
      <c r="B21" t="s">
        <v>663</v>
      </c>
      <c r="C21" t="s">
        <v>399</v>
      </c>
      <c r="D21" t="s">
        <v>196</v>
      </c>
      <c r="E21" t="s">
        <v>525</v>
      </c>
      <c r="F21">
        <v>2</v>
      </c>
      <c r="G21">
        <v>221</v>
      </c>
      <c r="H21" t="str">
        <f>IF(VLOOKUP(C21,Customers!A:E,5,FALSE)&gt;=1000,"YES","NO")</f>
        <v>YES</v>
      </c>
      <c r="I21">
        <f t="shared" si="0"/>
        <v>110.5</v>
      </c>
      <c r="J21">
        <f>(I21 - VLOOKUP(E21,Desserts!A:D,4,FALSE)) * F21</f>
        <v>53</v>
      </c>
    </row>
    <row r="22" spans="1:10" x14ac:dyDescent="0.3">
      <c r="A22" t="s">
        <v>664</v>
      </c>
      <c r="B22" t="s">
        <v>665</v>
      </c>
      <c r="C22" t="s">
        <v>433</v>
      </c>
      <c r="D22" t="s">
        <v>271</v>
      </c>
      <c r="E22" t="s">
        <v>589</v>
      </c>
      <c r="F22">
        <v>2</v>
      </c>
      <c r="G22">
        <v>147</v>
      </c>
      <c r="H22" t="str">
        <f>IF(VLOOKUP(C22,Customers!A:E,5,FALSE)&gt;=1000,"YES","NO")</f>
        <v>YES</v>
      </c>
      <c r="I22">
        <f t="shared" si="0"/>
        <v>73.5</v>
      </c>
      <c r="J22">
        <f>(I22 - VLOOKUP(E22,Desserts!A:D,4,FALSE)) * F22</f>
        <v>5</v>
      </c>
    </row>
    <row r="23" spans="1:10" x14ac:dyDescent="0.3">
      <c r="A23" t="s">
        <v>666</v>
      </c>
      <c r="B23" t="s">
        <v>667</v>
      </c>
      <c r="C23" t="s">
        <v>443</v>
      </c>
      <c r="D23" t="s">
        <v>69</v>
      </c>
      <c r="E23" t="s">
        <v>569</v>
      </c>
      <c r="F23">
        <v>2</v>
      </c>
      <c r="G23">
        <v>213</v>
      </c>
      <c r="H23" t="str">
        <f>IF(VLOOKUP(C23,Customers!A:E,5,FALSE)&gt;=1000,"YES","NO")</f>
        <v>YES</v>
      </c>
      <c r="I23">
        <f t="shared" si="0"/>
        <v>106.5</v>
      </c>
      <c r="J23">
        <f>(I23 - VLOOKUP(E23,Desserts!A:D,4,FALSE)) * F23</f>
        <v>59</v>
      </c>
    </row>
    <row r="24" spans="1:10" x14ac:dyDescent="0.3">
      <c r="A24" t="s">
        <v>668</v>
      </c>
      <c r="B24" t="s">
        <v>669</v>
      </c>
      <c r="C24" t="s">
        <v>507</v>
      </c>
      <c r="D24" t="s">
        <v>54</v>
      </c>
      <c r="E24" t="s">
        <v>577</v>
      </c>
      <c r="F24">
        <v>3</v>
      </c>
      <c r="G24">
        <v>115</v>
      </c>
      <c r="H24" t="str">
        <f>IF(VLOOKUP(C24,Customers!A:E,5,FALSE)&gt;=1000,"YES","NO")</f>
        <v>NO</v>
      </c>
      <c r="I24">
        <f t="shared" si="0"/>
        <v>115</v>
      </c>
      <c r="J24">
        <f>(I24 - VLOOKUP(E24,Desserts!A:D,4,FALSE)) * F24</f>
        <v>135</v>
      </c>
    </row>
    <row r="25" spans="1:10" x14ac:dyDescent="0.3">
      <c r="A25" t="s">
        <v>670</v>
      </c>
      <c r="B25" t="s">
        <v>671</v>
      </c>
      <c r="C25" t="s">
        <v>425</v>
      </c>
      <c r="D25" t="s">
        <v>97</v>
      </c>
      <c r="E25" t="s">
        <v>591</v>
      </c>
      <c r="F25">
        <v>4</v>
      </c>
      <c r="G25">
        <v>241</v>
      </c>
      <c r="H25" t="str">
        <f>IF(VLOOKUP(C25,Customers!A:E,5,FALSE)&gt;=1000,"YES","NO")</f>
        <v>NO</v>
      </c>
      <c r="I25">
        <f t="shared" si="0"/>
        <v>241</v>
      </c>
      <c r="J25">
        <f>(I25 - VLOOKUP(E25,Desserts!A:D,4,FALSE)) * F25</f>
        <v>716</v>
      </c>
    </row>
    <row r="26" spans="1:10" x14ac:dyDescent="0.3">
      <c r="A26" t="s">
        <v>672</v>
      </c>
      <c r="B26" t="s">
        <v>673</v>
      </c>
      <c r="C26" t="s">
        <v>467</v>
      </c>
      <c r="D26" t="s">
        <v>20</v>
      </c>
      <c r="E26" t="s">
        <v>573</v>
      </c>
      <c r="F26">
        <v>2</v>
      </c>
      <c r="G26">
        <v>104</v>
      </c>
      <c r="H26" t="str">
        <f>IF(VLOOKUP(C26,Customers!A:E,5,FALSE)&gt;=1000,"YES","NO")</f>
        <v>YES</v>
      </c>
      <c r="I26">
        <f t="shared" si="0"/>
        <v>52</v>
      </c>
      <c r="J26">
        <f>(I26 - VLOOKUP(E26,Desserts!A:D,4,FALSE)) * F26</f>
        <v>4</v>
      </c>
    </row>
    <row r="27" spans="1:10" x14ac:dyDescent="0.3">
      <c r="A27" t="s">
        <v>674</v>
      </c>
      <c r="B27" t="s">
        <v>675</v>
      </c>
      <c r="C27" t="s">
        <v>347</v>
      </c>
      <c r="D27" t="s">
        <v>235</v>
      </c>
      <c r="E27" t="s">
        <v>549</v>
      </c>
      <c r="F27">
        <v>5</v>
      </c>
      <c r="G27">
        <v>206</v>
      </c>
      <c r="H27" t="str">
        <f>IF(VLOOKUP(C27,Customers!A:E,5,FALSE)&gt;=1000,"YES","NO")</f>
        <v>YES</v>
      </c>
      <c r="I27">
        <f t="shared" si="0"/>
        <v>103</v>
      </c>
      <c r="J27">
        <f>(I27 - VLOOKUP(E27,Desserts!A:D,4,FALSE)) * F27</f>
        <v>120</v>
      </c>
    </row>
    <row r="28" spans="1:10" x14ac:dyDescent="0.3">
      <c r="A28" t="s">
        <v>676</v>
      </c>
      <c r="B28" t="s">
        <v>677</v>
      </c>
      <c r="C28" t="s">
        <v>481</v>
      </c>
      <c r="D28" t="s">
        <v>304</v>
      </c>
      <c r="E28" t="s">
        <v>551</v>
      </c>
      <c r="F28">
        <v>5</v>
      </c>
      <c r="G28">
        <v>176</v>
      </c>
      <c r="H28" t="str">
        <f>IF(VLOOKUP(C28,Customers!A:E,5,FALSE)&gt;=1000,"YES","NO")</f>
        <v>YES</v>
      </c>
      <c r="I28">
        <f t="shared" si="0"/>
        <v>88</v>
      </c>
      <c r="J28">
        <f>(I28 - VLOOKUP(E28,Desserts!A:D,4,FALSE)) * F28</f>
        <v>95</v>
      </c>
    </row>
    <row r="29" spans="1:10" x14ac:dyDescent="0.3">
      <c r="A29" t="s">
        <v>678</v>
      </c>
      <c r="B29" t="s">
        <v>679</v>
      </c>
      <c r="C29" t="s">
        <v>447</v>
      </c>
      <c r="D29" t="s">
        <v>136</v>
      </c>
      <c r="E29" t="s">
        <v>591</v>
      </c>
      <c r="F29">
        <v>2</v>
      </c>
      <c r="G29">
        <v>201</v>
      </c>
      <c r="H29" t="str">
        <f>IF(VLOOKUP(C29,Customers!A:E,5,FALSE)&gt;=1000,"YES","NO")</f>
        <v>YES</v>
      </c>
      <c r="I29">
        <f t="shared" si="0"/>
        <v>100.5</v>
      </c>
      <c r="J29">
        <f>(I29 - VLOOKUP(E29,Desserts!A:D,4,FALSE)) * F29</f>
        <v>77</v>
      </c>
    </row>
    <row r="30" spans="1:10" x14ac:dyDescent="0.3">
      <c r="A30" t="s">
        <v>680</v>
      </c>
      <c r="B30" t="s">
        <v>681</v>
      </c>
      <c r="C30" t="s">
        <v>377</v>
      </c>
      <c r="D30" t="s">
        <v>106</v>
      </c>
      <c r="E30" t="s">
        <v>617</v>
      </c>
      <c r="F30">
        <v>1</v>
      </c>
      <c r="G30">
        <v>222</v>
      </c>
      <c r="H30" t="str">
        <f>IF(VLOOKUP(C30,Customers!A:E,5,FALSE)&gt;=1000,"YES","NO")</f>
        <v>NO</v>
      </c>
      <c r="I30">
        <f t="shared" si="0"/>
        <v>222</v>
      </c>
      <c r="J30">
        <f>(I30 - VLOOKUP(E30,Desserts!A:D,4,FALSE)) * F30</f>
        <v>181</v>
      </c>
    </row>
    <row r="31" spans="1:10" x14ac:dyDescent="0.3">
      <c r="A31" t="s">
        <v>682</v>
      </c>
      <c r="B31" t="s">
        <v>683</v>
      </c>
      <c r="C31" t="s">
        <v>361</v>
      </c>
      <c r="D31" t="s">
        <v>106</v>
      </c>
      <c r="E31" t="s">
        <v>521</v>
      </c>
      <c r="F31">
        <v>4</v>
      </c>
      <c r="G31">
        <v>156</v>
      </c>
      <c r="H31" t="str">
        <f>IF(VLOOKUP(C31,Customers!A:E,5,FALSE)&gt;=1000,"YES","NO")</f>
        <v>NO</v>
      </c>
      <c r="I31">
        <f t="shared" si="0"/>
        <v>156</v>
      </c>
      <c r="J31">
        <f>(I31 - VLOOKUP(E31,Desserts!A:D,4,FALSE)) * F31</f>
        <v>368</v>
      </c>
    </row>
    <row r="32" spans="1:10" x14ac:dyDescent="0.3">
      <c r="A32" t="s">
        <v>684</v>
      </c>
      <c r="B32" t="s">
        <v>685</v>
      </c>
      <c r="C32" t="s">
        <v>375</v>
      </c>
      <c r="D32" t="s">
        <v>238</v>
      </c>
      <c r="E32" t="s">
        <v>533</v>
      </c>
      <c r="F32">
        <v>5</v>
      </c>
      <c r="G32">
        <v>175</v>
      </c>
      <c r="H32" t="str">
        <f>IF(VLOOKUP(C32,Customers!A:E,5,FALSE)&gt;=1000,"YES","NO")</f>
        <v>NO</v>
      </c>
      <c r="I32">
        <f t="shared" si="0"/>
        <v>175</v>
      </c>
      <c r="J32">
        <f>(I32 - VLOOKUP(E32,Desserts!A:D,4,FALSE)) * F32</f>
        <v>540</v>
      </c>
    </row>
    <row r="33" spans="1:10" x14ac:dyDescent="0.3">
      <c r="A33" t="s">
        <v>686</v>
      </c>
      <c r="B33" t="s">
        <v>687</v>
      </c>
      <c r="C33" t="s">
        <v>417</v>
      </c>
      <c r="D33" t="s">
        <v>169</v>
      </c>
      <c r="E33" t="s">
        <v>553</v>
      </c>
      <c r="F33">
        <v>2</v>
      </c>
      <c r="G33">
        <v>154</v>
      </c>
      <c r="H33" t="str">
        <f>IF(VLOOKUP(C33,Customers!A:E,5,FALSE)&gt;=1000,"YES","NO")</f>
        <v>YES</v>
      </c>
      <c r="I33">
        <f t="shared" si="0"/>
        <v>77</v>
      </c>
      <c r="J33">
        <f>(I33 - VLOOKUP(E33,Desserts!A:D,4,FALSE)) * F33</f>
        <v>34</v>
      </c>
    </row>
    <row r="34" spans="1:10" x14ac:dyDescent="0.3">
      <c r="A34" t="s">
        <v>688</v>
      </c>
      <c r="B34" t="s">
        <v>689</v>
      </c>
      <c r="C34" t="s">
        <v>347</v>
      </c>
      <c r="D34" t="s">
        <v>94</v>
      </c>
      <c r="E34" t="s">
        <v>549</v>
      </c>
      <c r="F34">
        <v>2</v>
      </c>
      <c r="G34">
        <v>183</v>
      </c>
      <c r="H34" t="str">
        <f>IF(VLOOKUP(C34,Customers!A:E,5,FALSE)&gt;=1000,"YES","NO")</f>
        <v>YES</v>
      </c>
      <c r="I34">
        <f t="shared" si="0"/>
        <v>91.5</v>
      </c>
      <c r="J34">
        <f>(I34 - VLOOKUP(E34,Desserts!A:D,4,FALSE)) * F34</f>
        <v>25</v>
      </c>
    </row>
    <row r="35" spans="1:10" x14ac:dyDescent="0.3">
      <c r="A35" t="s">
        <v>690</v>
      </c>
      <c r="B35" t="s">
        <v>636</v>
      </c>
      <c r="C35" t="s">
        <v>325</v>
      </c>
      <c r="D35" t="s">
        <v>289</v>
      </c>
      <c r="E35" t="s">
        <v>533</v>
      </c>
      <c r="F35">
        <v>3</v>
      </c>
      <c r="G35">
        <v>222</v>
      </c>
      <c r="H35" t="str">
        <f>IF(VLOOKUP(C35,Customers!A:E,5,FALSE)&gt;=1000,"YES","NO")</f>
        <v>NO</v>
      </c>
      <c r="I35">
        <f t="shared" si="0"/>
        <v>222</v>
      </c>
      <c r="J35">
        <f>(I35 - VLOOKUP(E35,Desserts!A:D,4,FALSE)) * F35</f>
        <v>465</v>
      </c>
    </row>
    <row r="36" spans="1:10" x14ac:dyDescent="0.3">
      <c r="A36" t="s">
        <v>691</v>
      </c>
      <c r="B36" t="s">
        <v>692</v>
      </c>
      <c r="C36" t="s">
        <v>433</v>
      </c>
      <c r="D36" t="s">
        <v>265</v>
      </c>
      <c r="E36" t="s">
        <v>525</v>
      </c>
      <c r="F36">
        <v>1</v>
      </c>
      <c r="G36">
        <v>217</v>
      </c>
      <c r="H36" t="str">
        <f>IF(VLOOKUP(C36,Customers!A:E,5,FALSE)&gt;=1000,"YES","NO")</f>
        <v>YES</v>
      </c>
      <c r="I36">
        <f t="shared" si="0"/>
        <v>108.5</v>
      </c>
      <c r="J36">
        <f>(I36 - VLOOKUP(E36,Desserts!A:D,4,FALSE)) * F36</f>
        <v>24.5</v>
      </c>
    </row>
    <row r="37" spans="1:10" x14ac:dyDescent="0.3">
      <c r="A37" t="s">
        <v>693</v>
      </c>
      <c r="B37" t="s">
        <v>640</v>
      </c>
      <c r="C37" t="s">
        <v>443</v>
      </c>
      <c r="D37" t="s">
        <v>238</v>
      </c>
      <c r="E37" t="s">
        <v>577</v>
      </c>
      <c r="F37">
        <v>5</v>
      </c>
      <c r="G37">
        <v>126</v>
      </c>
      <c r="H37" t="str">
        <f>IF(VLOOKUP(C37,Customers!A:E,5,FALSE)&gt;=1000,"YES","NO")</f>
        <v>YES</v>
      </c>
      <c r="I37">
        <f t="shared" si="0"/>
        <v>63</v>
      </c>
      <c r="J37">
        <f>(I37 - VLOOKUP(E37,Desserts!A:D,4,FALSE)) * F37</f>
        <v>-35</v>
      </c>
    </row>
    <row r="38" spans="1:10" x14ac:dyDescent="0.3">
      <c r="A38" t="s">
        <v>694</v>
      </c>
      <c r="B38" t="s">
        <v>695</v>
      </c>
      <c r="C38" t="s">
        <v>377</v>
      </c>
      <c r="D38" t="s">
        <v>166</v>
      </c>
      <c r="E38" t="s">
        <v>603</v>
      </c>
      <c r="F38">
        <v>5</v>
      </c>
      <c r="G38">
        <v>139</v>
      </c>
      <c r="H38" t="str">
        <f>IF(VLOOKUP(C38,Customers!A:E,5,FALSE)&gt;=1000,"YES","NO")</f>
        <v>NO</v>
      </c>
      <c r="I38">
        <f t="shared" si="0"/>
        <v>139</v>
      </c>
      <c r="J38">
        <f>(I38 - VLOOKUP(E38,Desserts!A:D,4,FALSE)) * F38</f>
        <v>250</v>
      </c>
    </row>
    <row r="39" spans="1:10" x14ac:dyDescent="0.3">
      <c r="A39" t="s">
        <v>696</v>
      </c>
      <c r="B39" t="s">
        <v>697</v>
      </c>
      <c r="C39" t="s">
        <v>361</v>
      </c>
      <c r="D39" t="s">
        <v>148</v>
      </c>
      <c r="E39" t="s">
        <v>579</v>
      </c>
      <c r="F39">
        <v>1</v>
      </c>
      <c r="G39">
        <v>203</v>
      </c>
      <c r="H39" t="str">
        <f>IF(VLOOKUP(C39,Customers!A:E,5,FALSE)&gt;=1000,"YES","NO")</f>
        <v>NO</v>
      </c>
      <c r="I39">
        <f t="shared" si="0"/>
        <v>203</v>
      </c>
      <c r="J39">
        <f>(I39 - VLOOKUP(E39,Desserts!A:D,4,FALSE)) * F39</f>
        <v>141</v>
      </c>
    </row>
    <row r="40" spans="1:10" x14ac:dyDescent="0.3">
      <c r="A40" t="s">
        <v>698</v>
      </c>
      <c r="B40" t="s">
        <v>699</v>
      </c>
      <c r="C40" t="s">
        <v>385</v>
      </c>
      <c r="D40" t="s">
        <v>109</v>
      </c>
      <c r="E40" t="s">
        <v>527</v>
      </c>
      <c r="F40">
        <v>2</v>
      </c>
      <c r="G40">
        <v>174</v>
      </c>
      <c r="H40" t="str">
        <f>IF(VLOOKUP(C40,Customers!A:E,5,FALSE)&gt;=1000,"YES","NO")</f>
        <v>YES</v>
      </c>
      <c r="I40">
        <f t="shared" si="0"/>
        <v>87</v>
      </c>
      <c r="J40">
        <f>(I40 - VLOOKUP(E40,Desserts!A:D,4,FALSE)) * F40</f>
        <v>88</v>
      </c>
    </row>
    <row r="41" spans="1:10" x14ac:dyDescent="0.3">
      <c r="A41" t="s">
        <v>700</v>
      </c>
      <c r="B41" t="s">
        <v>701</v>
      </c>
      <c r="C41" t="s">
        <v>381</v>
      </c>
      <c r="D41" t="s">
        <v>112</v>
      </c>
      <c r="E41" t="s">
        <v>583</v>
      </c>
      <c r="F41">
        <v>1</v>
      </c>
      <c r="G41">
        <v>219</v>
      </c>
      <c r="H41" t="str">
        <f>IF(VLOOKUP(C41,Customers!A:E,5,FALSE)&gt;=1000,"YES","NO")</f>
        <v>NO</v>
      </c>
      <c r="I41">
        <f t="shared" si="0"/>
        <v>219</v>
      </c>
      <c r="J41">
        <f>(I41 - VLOOKUP(E41,Desserts!A:D,4,FALSE)) * F41</f>
        <v>136</v>
      </c>
    </row>
    <row r="42" spans="1:10" x14ac:dyDescent="0.3">
      <c r="A42" t="s">
        <v>702</v>
      </c>
      <c r="B42" t="s">
        <v>703</v>
      </c>
      <c r="C42" t="s">
        <v>383</v>
      </c>
      <c r="D42" t="s">
        <v>280</v>
      </c>
      <c r="E42" t="s">
        <v>583</v>
      </c>
      <c r="F42">
        <v>3</v>
      </c>
      <c r="G42">
        <v>243</v>
      </c>
      <c r="H42" t="str">
        <f>IF(VLOOKUP(C42,Customers!A:E,5,FALSE)&gt;=1000,"YES","NO")</f>
        <v>NO</v>
      </c>
      <c r="I42">
        <f t="shared" si="0"/>
        <v>243</v>
      </c>
      <c r="J42">
        <f>(I42 - VLOOKUP(E42,Desserts!A:D,4,FALSE)) * F42</f>
        <v>480</v>
      </c>
    </row>
    <row r="43" spans="1:10" x14ac:dyDescent="0.3">
      <c r="A43" t="s">
        <v>704</v>
      </c>
      <c r="B43" t="s">
        <v>705</v>
      </c>
      <c r="C43" t="s">
        <v>367</v>
      </c>
      <c r="D43" t="s">
        <v>280</v>
      </c>
      <c r="E43" t="s">
        <v>523</v>
      </c>
      <c r="F43">
        <v>3</v>
      </c>
      <c r="G43">
        <v>234</v>
      </c>
      <c r="H43" t="str">
        <f>IF(VLOOKUP(C43,Customers!A:E,5,FALSE)&gt;=1000,"YES","NO")</f>
        <v>NO</v>
      </c>
      <c r="I43">
        <f t="shared" si="0"/>
        <v>234</v>
      </c>
      <c r="J43">
        <f>(I43 - VLOOKUP(E43,Desserts!A:D,4,FALSE)) * F43</f>
        <v>498</v>
      </c>
    </row>
    <row r="44" spans="1:10" x14ac:dyDescent="0.3">
      <c r="A44" t="s">
        <v>706</v>
      </c>
      <c r="B44" t="s">
        <v>642</v>
      </c>
      <c r="C44" t="s">
        <v>375</v>
      </c>
      <c r="D44" t="s">
        <v>151</v>
      </c>
      <c r="E44" t="s">
        <v>567</v>
      </c>
      <c r="F44">
        <v>5</v>
      </c>
      <c r="G44">
        <v>115</v>
      </c>
      <c r="H44" t="str">
        <f>IF(VLOOKUP(C44,Customers!A:E,5,FALSE)&gt;=1000,"YES","NO")</f>
        <v>NO</v>
      </c>
      <c r="I44">
        <f t="shared" si="0"/>
        <v>115</v>
      </c>
      <c r="J44">
        <f>(I44 - VLOOKUP(E44,Desserts!A:D,4,FALSE)) * F44</f>
        <v>295</v>
      </c>
    </row>
    <row r="45" spans="1:10" x14ac:dyDescent="0.3">
      <c r="A45" t="s">
        <v>707</v>
      </c>
      <c r="B45" t="s">
        <v>708</v>
      </c>
      <c r="C45" t="s">
        <v>457</v>
      </c>
      <c r="D45" t="s">
        <v>235</v>
      </c>
      <c r="E45" t="s">
        <v>563</v>
      </c>
      <c r="F45">
        <v>1</v>
      </c>
      <c r="G45">
        <v>124</v>
      </c>
      <c r="H45" t="str">
        <f>IF(VLOOKUP(C45,Customers!A:E,5,FALSE)&gt;=1000,"YES","NO")</f>
        <v>YES</v>
      </c>
      <c r="I45">
        <f t="shared" si="0"/>
        <v>62</v>
      </c>
      <c r="J45">
        <f>(I45 - VLOOKUP(E45,Desserts!A:D,4,FALSE)) * F45</f>
        <v>-3</v>
      </c>
    </row>
    <row r="46" spans="1:10" x14ac:dyDescent="0.3">
      <c r="A46" t="s">
        <v>709</v>
      </c>
      <c r="B46" t="s">
        <v>710</v>
      </c>
      <c r="C46" t="s">
        <v>439</v>
      </c>
      <c r="D46" t="s">
        <v>85</v>
      </c>
      <c r="E46" t="s">
        <v>577</v>
      </c>
      <c r="F46">
        <v>5</v>
      </c>
      <c r="G46">
        <v>211</v>
      </c>
      <c r="H46" t="str">
        <f>IF(VLOOKUP(C46,Customers!A:E,5,FALSE)&gt;=1000,"YES","NO")</f>
        <v>YES</v>
      </c>
      <c r="I46">
        <f t="shared" si="0"/>
        <v>105.5</v>
      </c>
      <c r="J46">
        <f>(I46 - VLOOKUP(E46,Desserts!A:D,4,FALSE)) * F46</f>
        <v>177.5</v>
      </c>
    </row>
    <row r="47" spans="1:10" x14ac:dyDescent="0.3">
      <c r="A47" t="s">
        <v>711</v>
      </c>
      <c r="B47" t="s">
        <v>681</v>
      </c>
      <c r="C47" t="s">
        <v>421</v>
      </c>
      <c r="D47" t="s">
        <v>265</v>
      </c>
      <c r="E47" t="s">
        <v>521</v>
      </c>
      <c r="F47">
        <v>5</v>
      </c>
      <c r="G47">
        <v>161</v>
      </c>
      <c r="H47" t="str">
        <f>IF(VLOOKUP(C47,Customers!A:E,5,FALSE)&gt;=1000,"YES","NO")</f>
        <v>YES</v>
      </c>
      <c r="I47">
        <f t="shared" si="0"/>
        <v>80.5</v>
      </c>
      <c r="J47">
        <f>(I47 - VLOOKUP(E47,Desserts!A:D,4,FALSE)) * F47</f>
        <v>82.5</v>
      </c>
    </row>
    <row r="48" spans="1:10" x14ac:dyDescent="0.3">
      <c r="A48" t="s">
        <v>712</v>
      </c>
      <c r="B48" t="s">
        <v>713</v>
      </c>
      <c r="C48" t="s">
        <v>431</v>
      </c>
      <c r="D48" t="s">
        <v>292</v>
      </c>
      <c r="E48" t="s">
        <v>555</v>
      </c>
      <c r="F48">
        <v>5</v>
      </c>
      <c r="G48">
        <v>143</v>
      </c>
      <c r="H48" t="str">
        <f>IF(VLOOKUP(C48,Customers!A:E,5,FALSE)&gt;=1000,"YES","NO")</f>
        <v>YES</v>
      </c>
      <c r="I48">
        <f t="shared" si="0"/>
        <v>71.5</v>
      </c>
      <c r="J48">
        <f>(I48 - VLOOKUP(E48,Desserts!A:D,4,FALSE)) * F48</f>
        <v>-17.5</v>
      </c>
    </row>
    <row r="49" spans="1:10" x14ac:dyDescent="0.3">
      <c r="A49" t="s">
        <v>714</v>
      </c>
      <c r="B49" t="s">
        <v>715</v>
      </c>
      <c r="C49" t="s">
        <v>469</v>
      </c>
      <c r="D49" t="s">
        <v>106</v>
      </c>
      <c r="E49" t="s">
        <v>599</v>
      </c>
      <c r="F49">
        <v>5</v>
      </c>
      <c r="G49">
        <v>165</v>
      </c>
      <c r="H49" t="str">
        <f>IF(VLOOKUP(C49,Customers!A:E,5,FALSE)&gt;=1000,"YES","NO")</f>
        <v>NO</v>
      </c>
      <c r="I49">
        <f t="shared" si="0"/>
        <v>165</v>
      </c>
      <c r="J49">
        <f>(I49 - VLOOKUP(E49,Desserts!A:D,4,FALSE)) * F49</f>
        <v>425</v>
      </c>
    </row>
    <row r="50" spans="1:10" x14ac:dyDescent="0.3">
      <c r="A50" t="s">
        <v>716</v>
      </c>
      <c r="B50" t="s">
        <v>717</v>
      </c>
      <c r="C50" t="s">
        <v>335</v>
      </c>
      <c r="D50" t="s">
        <v>57</v>
      </c>
      <c r="E50" t="s">
        <v>535</v>
      </c>
      <c r="F50">
        <v>4</v>
      </c>
      <c r="G50">
        <v>108</v>
      </c>
      <c r="H50" t="str">
        <f>IF(VLOOKUP(C50,Customers!A:E,5,FALSE)&gt;=1000,"YES","NO")</f>
        <v>NO</v>
      </c>
      <c r="I50">
        <f t="shared" si="0"/>
        <v>108</v>
      </c>
      <c r="J50">
        <f>(I50 - VLOOKUP(E50,Desserts!A:D,4,FALSE)) * F50</f>
        <v>136</v>
      </c>
    </row>
    <row r="51" spans="1:10" x14ac:dyDescent="0.3">
      <c r="A51" t="s">
        <v>718</v>
      </c>
      <c r="B51" t="s">
        <v>719</v>
      </c>
      <c r="C51" t="s">
        <v>401</v>
      </c>
      <c r="D51" t="s">
        <v>307</v>
      </c>
      <c r="E51" t="s">
        <v>585</v>
      </c>
      <c r="F51">
        <v>4</v>
      </c>
      <c r="G51">
        <v>150</v>
      </c>
      <c r="H51" t="str">
        <f>IF(VLOOKUP(C51,Customers!A:E,5,FALSE)&gt;=1000,"YES","NO")</f>
        <v>YES</v>
      </c>
      <c r="I51">
        <f t="shared" si="0"/>
        <v>75</v>
      </c>
      <c r="J51">
        <f>(I51 - VLOOKUP(E51,Desserts!A:D,4,FALSE)) * F51</f>
        <v>112</v>
      </c>
    </row>
    <row r="52" spans="1:10" x14ac:dyDescent="0.3">
      <c r="A52" t="s">
        <v>720</v>
      </c>
      <c r="B52" t="s">
        <v>721</v>
      </c>
      <c r="C52" t="s">
        <v>423</v>
      </c>
      <c r="D52" t="s">
        <v>274</v>
      </c>
      <c r="E52" t="s">
        <v>597</v>
      </c>
      <c r="F52">
        <v>3</v>
      </c>
      <c r="G52">
        <v>121</v>
      </c>
      <c r="H52" t="str">
        <f>IF(VLOOKUP(C52,Customers!A:E,5,FALSE)&gt;=1000,"YES","NO")</f>
        <v>NO</v>
      </c>
      <c r="I52">
        <f t="shared" si="0"/>
        <v>121</v>
      </c>
      <c r="J52">
        <f>(I52 - VLOOKUP(E52,Desserts!A:D,4,FALSE)) * F52</f>
        <v>228</v>
      </c>
    </row>
    <row r="53" spans="1:10" x14ac:dyDescent="0.3">
      <c r="A53" t="s">
        <v>722</v>
      </c>
      <c r="B53" t="s">
        <v>723</v>
      </c>
      <c r="C53" t="s">
        <v>509</v>
      </c>
      <c r="D53" t="s">
        <v>286</v>
      </c>
      <c r="E53" t="s">
        <v>617</v>
      </c>
      <c r="F53">
        <v>4</v>
      </c>
      <c r="G53">
        <v>210</v>
      </c>
      <c r="H53" t="str">
        <f>IF(VLOOKUP(C53,Customers!A:E,5,FALSE)&gt;=1000,"YES","NO")</f>
        <v>NO</v>
      </c>
      <c r="I53">
        <f t="shared" si="0"/>
        <v>210</v>
      </c>
      <c r="J53">
        <f>(I53 - VLOOKUP(E53,Desserts!A:D,4,FALSE)) * F53</f>
        <v>676</v>
      </c>
    </row>
    <row r="54" spans="1:10" x14ac:dyDescent="0.3">
      <c r="A54" t="s">
        <v>724</v>
      </c>
      <c r="B54" t="s">
        <v>725</v>
      </c>
      <c r="C54" t="s">
        <v>397</v>
      </c>
      <c r="D54" t="s">
        <v>214</v>
      </c>
      <c r="E54" t="s">
        <v>567</v>
      </c>
      <c r="F54">
        <v>4</v>
      </c>
      <c r="G54">
        <v>232</v>
      </c>
      <c r="H54" t="str">
        <f>IF(VLOOKUP(C54,Customers!A:E,5,FALSE)&gt;=1000,"YES","NO")</f>
        <v>NO</v>
      </c>
      <c r="I54">
        <f t="shared" si="0"/>
        <v>232</v>
      </c>
      <c r="J54">
        <f>(I54 - VLOOKUP(E54,Desserts!A:D,4,FALSE)) * F54</f>
        <v>704</v>
      </c>
    </row>
    <row r="55" spans="1:10" x14ac:dyDescent="0.3">
      <c r="A55" t="s">
        <v>726</v>
      </c>
      <c r="B55" t="s">
        <v>727</v>
      </c>
      <c r="C55" t="s">
        <v>461</v>
      </c>
      <c r="D55" t="s">
        <v>190</v>
      </c>
      <c r="E55" t="s">
        <v>609</v>
      </c>
      <c r="F55">
        <v>5</v>
      </c>
      <c r="G55">
        <v>116</v>
      </c>
      <c r="H55" t="str">
        <f>IF(VLOOKUP(C55,Customers!A:E,5,FALSE)&gt;=1000,"YES","NO")</f>
        <v>YES</v>
      </c>
      <c r="I55">
        <f t="shared" si="0"/>
        <v>58</v>
      </c>
      <c r="J55">
        <f>(I55 - VLOOKUP(E55,Desserts!A:D,4,FALSE)) * F55</f>
        <v>-30</v>
      </c>
    </row>
    <row r="56" spans="1:10" x14ac:dyDescent="0.3">
      <c r="A56" t="s">
        <v>728</v>
      </c>
      <c r="B56" t="s">
        <v>729</v>
      </c>
      <c r="C56" t="s">
        <v>495</v>
      </c>
      <c r="D56" t="s">
        <v>181</v>
      </c>
      <c r="E56" t="s">
        <v>607</v>
      </c>
      <c r="F56">
        <v>3</v>
      </c>
      <c r="G56">
        <v>214</v>
      </c>
      <c r="H56" t="str">
        <f>IF(VLOOKUP(C56,Customers!A:E,5,FALSE)&gt;=1000,"YES","NO")</f>
        <v>NO</v>
      </c>
      <c r="I56">
        <f t="shared" si="0"/>
        <v>214</v>
      </c>
      <c r="J56">
        <f>(I56 - VLOOKUP(E56,Desserts!A:D,4,FALSE)) * F56</f>
        <v>432</v>
      </c>
    </row>
    <row r="57" spans="1:10" x14ac:dyDescent="0.3">
      <c r="A57" t="s">
        <v>730</v>
      </c>
      <c r="B57" t="s">
        <v>731</v>
      </c>
      <c r="C57" t="s">
        <v>511</v>
      </c>
      <c r="D57" t="s">
        <v>97</v>
      </c>
      <c r="E57" t="s">
        <v>535</v>
      </c>
      <c r="F57">
        <v>2</v>
      </c>
      <c r="G57">
        <v>246</v>
      </c>
      <c r="H57" t="str">
        <f>IF(VLOOKUP(C57,Customers!A:E,5,FALSE)&gt;=1000,"YES","NO")</f>
        <v>YES</v>
      </c>
      <c r="I57">
        <f t="shared" si="0"/>
        <v>123</v>
      </c>
      <c r="J57">
        <f>(I57 - VLOOKUP(E57,Desserts!A:D,4,FALSE)) * F57</f>
        <v>98</v>
      </c>
    </row>
    <row r="58" spans="1:10" x14ac:dyDescent="0.3">
      <c r="A58" t="s">
        <v>732</v>
      </c>
      <c r="B58" t="s">
        <v>733</v>
      </c>
      <c r="C58" t="s">
        <v>485</v>
      </c>
      <c r="D58" t="s">
        <v>268</v>
      </c>
      <c r="E58" t="s">
        <v>567</v>
      </c>
      <c r="F58">
        <v>1</v>
      </c>
      <c r="G58">
        <v>137</v>
      </c>
      <c r="H58" t="str">
        <f>IF(VLOOKUP(C58,Customers!A:E,5,FALSE)&gt;=1000,"YES","NO")</f>
        <v>YES</v>
      </c>
      <c r="I58">
        <f t="shared" si="0"/>
        <v>68.5</v>
      </c>
      <c r="J58">
        <f>(I58 - VLOOKUP(E58,Desserts!A:D,4,FALSE)) * F58</f>
        <v>12.5</v>
      </c>
    </row>
    <row r="59" spans="1:10" x14ac:dyDescent="0.3">
      <c r="A59" t="s">
        <v>734</v>
      </c>
      <c r="B59" t="s">
        <v>735</v>
      </c>
      <c r="C59" t="s">
        <v>431</v>
      </c>
      <c r="D59" t="s">
        <v>79</v>
      </c>
      <c r="E59" t="s">
        <v>609</v>
      </c>
      <c r="F59">
        <v>4</v>
      </c>
      <c r="G59">
        <v>206</v>
      </c>
      <c r="H59" t="str">
        <f>IF(VLOOKUP(C59,Customers!A:E,5,FALSE)&gt;=1000,"YES","NO")</f>
        <v>YES</v>
      </c>
      <c r="I59">
        <f t="shared" si="0"/>
        <v>103</v>
      </c>
      <c r="J59">
        <f>(I59 - VLOOKUP(E59,Desserts!A:D,4,FALSE)) * F59</f>
        <v>156</v>
      </c>
    </row>
    <row r="60" spans="1:10" x14ac:dyDescent="0.3">
      <c r="A60" t="s">
        <v>736</v>
      </c>
      <c r="B60" t="s">
        <v>737</v>
      </c>
      <c r="C60" t="s">
        <v>373</v>
      </c>
      <c r="D60" t="s">
        <v>181</v>
      </c>
      <c r="E60" t="s">
        <v>589</v>
      </c>
      <c r="F60">
        <v>4</v>
      </c>
      <c r="G60">
        <v>201</v>
      </c>
      <c r="H60" t="str">
        <f>IF(VLOOKUP(C60,Customers!A:E,5,FALSE)&gt;=1000,"YES","NO")</f>
        <v>NO</v>
      </c>
      <c r="I60">
        <f t="shared" si="0"/>
        <v>201</v>
      </c>
      <c r="J60">
        <f>(I60 - VLOOKUP(E60,Desserts!A:D,4,FALSE)) * F60</f>
        <v>520</v>
      </c>
    </row>
    <row r="61" spans="1:10" x14ac:dyDescent="0.3">
      <c r="A61" t="s">
        <v>738</v>
      </c>
      <c r="B61" t="s">
        <v>739</v>
      </c>
      <c r="C61" t="s">
        <v>411</v>
      </c>
      <c r="D61" t="s">
        <v>190</v>
      </c>
      <c r="E61" t="s">
        <v>563</v>
      </c>
      <c r="F61">
        <v>4</v>
      </c>
      <c r="G61">
        <v>243</v>
      </c>
      <c r="H61" t="str">
        <f>IF(VLOOKUP(C61,Customers!A:E,5,FALSE)&gt;=1000,"YES","NO")</f>
        <v>NO</v>
      </c>
      <c r="I61">
        <f t="shared" si="0"/>
        <v>243</v>
      </c>
      <c r="J61">
        <f>(I61 - VLOOKUP(E61,Desserts!A:D,4,FALSE)) * F61</f>
        <v>712</v>
      </c>
    </row>
    <row r="62" spans="1:10" x14ac:dyDescent="0.3">
      <c r="A62" t="s">
        <v>740</v>
      </c>
      <c r="B62" t="s">
        <v>741</v>
      </c>
      <c r="C62" t="s">
        <v>319</v>
      </c>
      <c r="D62" t="s">
        <v>30</v>
      </c>
      <c r="E62" t="s">
        <v>561</v>
      </c>
      <c r="F62">
        <v>1</v>
      </c>
      <c r="G62">
        <v>137</v>
      </c>
      <c r="H62" t="str">
        <f>IF(VLOOKUP(C62,Customers!A:E,5,FALSE)&gt;=1000,"YES","NO")</f>
        <v>YES</v>
      </c>
      <c r="I62">
        <f t="shared" si="0"/>
        <v>68.5</v>
      </c>
      <c r="J62">
        <f>(I62 - VLOOKUP(E62,Desserts!A:D,4,FALSE)) * F62</f>
        <v>5.5</v>
      </c>
    </row>
    <row r="63" spans="1:10" x14ac:dyDescent="0.3">
      <c r="A63" t="s">
        <v>742</v>
      </c>
      <c r="B63" t="s">
        <v>743</v>
      </c>
      <c r="C63" t="s">
        <v>365</v>
      </c>
      <c r="D63" t="s">
        <v>199</v>
      </c>
      <c r="E63" t="s">
        <v>603</v>
      </c>
      <c r="F63">
        <v>2</v>
      </c>
      <c r="G63">
        <v>122</v>
      </c>
      <c r="H63" t="str">
        <f>IF(VLOOKUP(C63,Customers!A:E,5,FALSE)&gt;=1000,"YES","NO")</f>
        <v>NO</v>
      </c>
      <c r="I63">
        <f t="shared" si="0"/>
        <v>122</v>
      </c>
      <c r="J63">
        <f>(I63 - VLOOKUP(E63,Desserts!A:D,4,FALSE)) * F63</f>
        <v>66</v>
      </c>
    </row>
    <row r="64" spans="1:10" x14ac:dyDescent="0.3">
      <c r="A64" t="s">
        <v>744</v>
      </c>
      <c r="B64" t="s">
        <v>745</v>
      </c>
      <c r="C64" t="s">
        <v>325</v>
      </c>
      <c r="D64" t="s">
        <v>157</v>
      </c>
      <c r="E64" t="s">
        <v>583</v>
      </c>
      <c r="F64">
        <v>1</v>
      </c>
      <c r="G64">
        <v>212</v>
      </c>
      <c r="H64" t="str">
        <f>IF(VLOOKUP(C64,Customers!A:E,5,FALSE)&gt;=1000,"YES","NO")</f>
        <v>NO</v>
      </c>
      <c r="I64">
        <f t="shared" si="0"/>
        <v>212</v>
      </c>
      <c r="J64">
        <f>(I64 - VLOOKUP(E64,Desserts!A:D,4,FALSE)) * F64</f>
        <v>129</v>
      </c>
    </row>
    <row r="65" spans="1:10" x14ac:dyDescent="0.3">
      <c r="A65" t="s">
        <v>746</v>
      </c>
      <c r="B65" t="s">
        <v>747</v>
      </c>
      <c r="C65" t="s">
        <v>509</v>
      </c>
      <c r="D65" t="s">
        <v>151</v>
      </c>
      <c r="E65" t="s">
        <v>615</v>
      </c>
      <c r="F65">
        <v>2</v>
      </c>
      <c r="G65">
        <v>248</v>
      </c>
      <c r="H65" t="str">
        <f>IF(VLOOKUP(C65,Customers!A:E,5,FALSE)&gt;=1000,"YES","NO")</f>
        <v>NO</v>
      </c>
      <c r="I65">
        <f t="shared" si="0"/>
        <v>248</v>
      </c>
      <c r="J65">
        <f>(I65 - VLOOKUP(E65,Desserts!A:D,4,FALSE)) * F65</f>
        <v>412</v>
      </c>
    </row>
    <row r="66" spans="1:10" x14ac:dyDescent="0.3">
      <c r="A66" t="s">
        <v>748</v>
      </c>
      <c r="B66" t="s">
        <v>749</v>
      </c>
      <c r="C66" t="s">
        <v>409</v>
      </c>
      <c r="D66" t="s">
        <v>265</v>
      </c>
      <c r="E66" t="s">
        <v>617</v>
      </c>
      <c r="F66">
        <v>3</v>
      </c>
      <c r="G66">
        <v>125</v>
      </c>
      <c r="H66" t="str">
        <f>IF(VLOOKUP(C66,Customers!A:E,5,FALSE)&gt;=1000,"YES","NO")</f>
        <v>NO</v>
      </c>
      <c r="I66">
        <f t="shared" ref="I66:I129" si="1">IF(H66="YES",G66*0.5,G66)</f>
        <v>125</v>
      </c>
      <c r="J66">
        <f>(I66 - VLOOKUP(E66,Desserts!A:D,4,FALSE)) * F66</f>
        <v>252</v>
      </c>
    </row>
    <row r="67" spans="1:10" x14ac:dyDescent="0.3">
      <c r="A67" t="s">
        <v>750</v>
      </c>
      <c r="B67" t="s">
        <v>751</v>
      </c>
      <c r="C67" t="s">
        <v>363</v>
      </c>
      <c r="D67" t="s">
        <v>100</v>
      </c>
      <c r="E67" t="s">
        <v>579</v>
      </c>
      <c r="F67">
        <v>2</v>
      </c>
      <c r="G67">
        <v>113</v>
      </c>
      <c r="H67" t="str">
        <f>IF(VLOOKUP(C67,Customers!A:E,5,FALSE)&gt;=1000,"YES","NO")</f>
        <v>YES</v>
      </c>
      <c r="I67">
        <f t="shared" si="1"/>
        <v>56.5</v>
      </c>
      <c r="J67">
        <f>(I67 - VLOOKUP(E67,Desserts!A:D,4,FALSE)) * F67</f>
        <v>-11</v>
      </c>
    </row>
    <row r="68" spans="1:10" x14ac:dyDescent="0.3">
      <c r="A68" t="s">
        <v>752</v>
      </c>
      <c r="B68" t="s">
        <v>753</v>
      </c>
      <c r="C68" t="s">
        <v>393</v>
      </c>
      <c r="D68" t="s">
        <v>274</v>
      </c>
      <c r="E68" t="s">
        <v>561</v>
      </c>
      <c r="F68">
        <v>3</v>
      </c>
      <c r="G68">
        <v>230</v>
      </c>
      <c r="H68" t="str">
        <f>IF(VLOOKUP(C68,Customers!A:E,5,FALSE)&gt;=1000,"YES","NO")</f>
        <v>YES</v>
      </c>
      <c r="I68">
        <f t="shared" si="1"/>
        <v>115</v>
      </c>
      <c r="J68">
        <f>(I68 - VLOOKUP(E68,Desserts!A:D,4,FALSE)) * F68</f>
        <v>156</v>
      </c>
    </row>
    <row r="69" spans="1:10" x14ac:dyDescent="0.3">
      <c r="A69" t="s">
        <v>754</v>
      </c>
      <c r="B69" t="s">
        <v>755</v>
      </c>
      <c r="C69" t="s">
        <v>345</v>
      </c>
      <c r="D69" t="s">
        <v>148</v>
      </c>
      <c r="E69" t="s">
        <v>577</v>
      </c>
      <c r="F69">
        <v>2</v>
      </c>
      <c r="G69">
        <v>130</v>
      </c>
      <c r="H69" t="str">
        <f>IF(VLOOKUP(C69,Customers!A:E,5,FALSE)&gt;=1000,"YES","NO")</f>
        <v>YES</v>
      </c>
      <c r="I69">
        <f t="shared" si="1"/>
        <v>65</v>
      </c>
      <c r="J69">
        <f>(I69 - VLOOKUP(E69,Desserts!A:D,4,FALSE)) * F69</f>
        <v>-10</v>
      </c>
    </row>
    <row r="70" spans="1:10" x14ac:dyDescent="0.3">
      <c r="A70" t="s">
        <v>756</v>
      </c>
      <c r="B70" t="s">
        <v>757</v>
      </c>
      <c r="C70" t="s">
        <v>367</v>
      </c>
      <c r="D70" t="s">
        <v>235</v>
      </c>
      <c r="E70" t="s">
        <v>561</v>
      </c>
      <c r="F70">
        <v>2</v>
      </c>
      <c r="G70">
        <v>235</v>
      </c>
      <c r="H70" t="str">
        <f>IF(VLOOKUP(C70,Customers!A:E,5,FALSE)&gt;=1000,"YES","NO")</f>
        <v>NO</v>
      </c>
      <c r="I70">
        <f t="shared" si="1"/>
        <v>235</v>
      </c>
      <c r="J70">
        <f>(I70 - VLOOKUP(E70,Desserts!A:D,4,FALSE)) * F70</f>
        <v>344</v>
      </c>
    </row>
    <row r="71" spans="1:10" x14ac:dyDescent="0.3">
      <c r="A71" t="s">
        <v>758</v>
      </c>
      <c r="B71" t="s">
        <v>759</v>
      </c>
      <c r="C71" t="s">
        <v>317</v>
      </c>
      <c r="D71" t="s">
        <v>277</v>
      </c>
      <c r="E71" t="s">
        <v>611</v>
      </c>
      <c r="F71">
        <v>1</v>
      </c>
      <c r="G71">
        <v>169</v>
      </c>
      <c r="H71" t="str">
        <f>IF(VLOOKUP(C71,Customers!A:E,5,FALSE)&gt;=1000,"YES","NO")</f>
        <v>NO</v>
      </c>
      <c r="I71">
        <f t="shared" si="1"/>
        <v>169</v>
      </c>
      <c r="J71">
        <f>(I71 - VLOOKUP(E71,Desserts!A:D,4,FALSE)) * F71</f>
        <v>126</v>
      </c>
    </row>
    <row r="72" spans="1:10" x14ac:dyDescent="0.3">
      <c r="A72" t="s">
        <v>760</v>
      </c>
      <c r="B72" t="s">
        <v>761</v>
      </c>
      <c r="C72" t="s">
        <v>497</v>
      </c>
      <c r="D72" t="s">
        <v>27</v>
      </c>
      <c r="E72" t="s">
        <v>557</v>
      </c>
      <c r="F72">
        <v>2</v>
      </c>
      <c r="G72">
        <v>195</v>
      </c>
      <c r="H72" t="str">
        <f>IF(VLOOKUP(C72,Customers!A:E,5,FALSE)&gt;=1000,"YES","NO")</f>
        <v>NO</v>
      </c>
      <c r="I72">
        <f t="shared" si="1"/>
        <v>195</v>
      </c>
      <c r="J72">
        <f>(I72 - VLOOKUP(E72,Desserts!A:D,4,FALSE)) * F72</f>
        <v>222</v>
      </c>
    </row>
    <row r="73" spans="1:10" x14ac:dyDescent="0.3">
      <c r="A73" t="s">
        <v>762</v>
      </c>
      <c r="B73" t="s">
        <v>763</v>
      </c>
      <c r="C73" t="s">
        <v>387</v>
      </c>
      <c r="D73" t="s">
        <v>271</v>
      </c>
      <c r="E73" t="s">
        <v>593</v>
      </c>
      <c r="F73">
        <v>2</v>
      </c>
      <c r="G73">
        <v>200</v>
      </c>
      <c r="H73" t="str">
        <f>IF(VLOOKUP(C73,Customers!A:E,5,FALSE)&gt;=1000,"YES","NO")</f>
        <v>NO</v>
      </c>
      <c r="I73">
        <f t="shared" si="1"/>
        <v>200</v>
      </c>
      <c r="J73">
        <f>(I73 - VLOOKUP(E73,Desserts!A:D,4,FALSE)) * F73</f>
        <v>292</v>
      </c>
    </row>
    <row r="74" spans="1:10" x14ac:dyDescent="0.3">
      <c r="A74" t="s">
        <v>764</v>
      </c>
      <c r="B74" t="s">
        <v>765</v>
      </c>
      <c r="C74" t="s">
        <v>413</v>
      </c>
      <c r="D74" t="s">
        <v>271</v>
      </c>
      <c r="E74" t="s">
        <v>533</v>
      </c>
      <c r="F74">
        <v>3</v>
      </c>
      <c r="G74">
        <v>240</v>
      </c>
      <c r="H74" t="str">
        <f>IF(VLOOKUP(C74,Customers!A:E,5,FALSE)&gt;=1000,"YES","NO")</f>
        <v>YES</v>
      </c>
      <c r="I74">
        <f t="shared" si="1"/>
        <v>120</v>
      </c>
      <c r="J74">
        <f>(I74 - VLOOKUP(E74,Desserts!A:D,4,FALSE)) * F74</f>
        <v>159</v>
      </c>
    </row>
    <row r="75" spans="1:10" x14ac:dyDescent="0.3">
      <c r="A75" t="s">
        <v>766</v>
      </c>
      <c r="B75" t="s">
        <v>767</v>
      </c>
      <c r="C75" t="s">
        <v>489</v>
      </c>
      <c r="D75" t="s">
        <v>51</v>
      </c>
      <c r="E75" t="s">
        <v>565</v>
      </c>
      <c r="F75">
        <v>1</v>
      </c>
      <c r="G75">
        <v>156</v>
      </c>
      <c r="H75" t="str">
        <f>IF(VLOOKUP(C75,Customers!A:E,5,FALSE)&gt;=1000,"YES","NO")</f>
        <v>NO</v>
      </c>
      <c r="I75">
        <f t="shared" si="1"/>
        <v>156</v>
      </c>
      <c r="J75">
        <f>(I75 - VLOOKUP(E75,Desserts!A:D,4,FALSE)) * F75</f>
        <v>115</v>
      </c>
    </row>
    <row r="76" spans="1:10" x14ac:dyDescent="0.3">
      <c r="A76" t="s">
        <v>768</v>
      </c>
      <c r="B76" t="s">
        <v>769</v>
      </c>
      <c r="C76" t="s">
        <v>493</v>
      </c>
      <c r="D76" t="s">
        <v>91</v>
      </c>
      <c r="E76" t="s">
        <v>579</v>
      </c>
      <c r="F76">
        <v>1</v>
      </c>
      <c r="G76">
        <v>191</v>
      </c>
      <c r="H76" t="str">
        <f>IF(VLOOKUP(C76,Customers!A:E,5,FALSE)&gt;=1000,"YES","NO")</f>
        <v>NO</v>
      </c>
      <c r="I76">
        <f t="shared" si="1"/>
        <v>191</v>
      </c>
      <c r="J76">
        <f>(I76 - VLOOKUP(E76,Desserts!A:D,4,FALSE)) * F76</f>
        <v>129</v>
      </c>
    </row>
    <row r="77" spans="1:10" x14ac:dyDescent="0.3">
      <c r="A77" t="s">
        <v>770</v>
      </c>
      <c r="B77" t="s">
        <v>771</v>
      </c>
      <c r="C77" t="s">
        <v>491</v>
      </c>
      <c r="D77" t="s">
        <v>121</v>
      </c>
      <c r="E77" t="s">
        <v>559</v>
      </c>
      <c r="F77">
        <v>3</v>
      </c>
      <c r="G77">
        <v>140</v>
      </c>
      <c r="H77" t="str">
        <f>IF(VLOOKUP(C77,Customers!A:E,5,FALSE)&gt;=1000,"YES","NO")</f>
        <v>NO</v>
      </c>
      <c r="I77">
        <f t="shared" si="1"/>
        <v>140</v>
      </c>
      <c r="J77">
        <f>(I77 - VLOOKUP(E77,Desserts!A:D,4,FALSE)) * F77</f>
        <v>255</v>
      </c>
    </row>
    <row r="78" spans="1:10" x14ac:dyDescent="0.3">
      <c r="A78" t="s">
        <v>772</v>
      </c>
      <c r="B78" t="s">
        <v>773</v>
      </c>
      <c r="C78" t="s">
        <v>477</v>
      </c>
      <c r="D78" t="s">
        <v>166</v>
      </c>
      <c r="E78" t="s">
        <v>597</v>
      </c>
      <c r="F78">
        <v>5</v>
      </c>
      <c r="G78">
        <v>201</v>
      </c>
      <c r="H78" t="str">
        <f>IF(VLOOKUP(C78,Customers!A:E,5,FALSE)&gt;=1000,"YES","NO")</f>
        <v>YES</v>
      </c>
      <c r="I78">
        <f t="shared" si="1"/>
        <v>100.5</v>
      </c>
      <c r="J78">
        <f>(I78 - VLOOKUP(E78,Desserts!A:D,4,FALSE)) * F78</f>
        <v>277.5</v>
      </c>
    </row>
    <row r="79" spans="1:10" x14ac:dyDescent="0.3">
      <c r="A79" t="s">
        <v>774</v>
      </c>
      <c r="B79" t="s">
        <v>775</v>
      </c>
      <c r="C79" t="s">
        <v>321</v>
      </c>
      <c r="D79" t="s">
        <v>9</v>
      </c>
      <c r="E79" t="s">
        <v>575</v>
      </c>
      <c r="F79">
        <v>2</v>
      </c>
      <c r="G79">
        <v>235</v>
      </c>
      <c r="H79" t="str">
        <f>IF(VLOOKUP(C79,Customers!A:E,5,FALSE)&gt;=1000,"YES","NO")</f>
        <v>NO</v>
      </c>
      <c r="I79">
        <f t="shared" si="1"/>
        <v>235</v>
      </c>
      <c r="J79">
        <f>(I79 - VLOOKUP(E79,Desserts!A:D,4,FALSE)) * F79</f>
        <v>320</v>
      </c>
    </row>
    <row r="80" spans="1:10" x14ac:dyDescent="0.3">
      <c r="A80" t="s">
        <v>776</v>
      </c>
      <c r="B80" t="s">
        <v>777</v>
      </c>
      <c r="C80" t="s">
        <v>457</v>
      </c>
      <c r="D80" t="s">
        <v>232</v>
      </c>
      <c r="E80" t="s">
        <v>533</v>
      </c>
      <c r="F80">
        <v>2</v>
      </c>
      <c r="G80">
        <v>173</v>
      </c>
      <c r="H80" t="str">
        <f>IF(VLOOKUP(C80,Customers!A:E,5,FALSE)&gt;=1000,"YES","NO")</f>
        <v>YES</v>
      </c>
      <c r="I80">
        <f t="shared" si="1"/>
        <v>86.5</v>
      </c>
      <c r="J80">
        <f>(I80 - VLOOKUP(E80,Desserts!A:D,4,FALSE)) * F80</f>
        <v>39</v>
      </c>
    </row>
    <row r="81" spans="1:10" x14ac:dyDescent="0.3">
      <c r="A81" t="s">
        <v>778</v>
      </c>
      <c r="B81" t="s">
        <v>779</v>
      </c>
      <c r="C81" t="s">
        <v>317</v>
      </c>
      <c r="D81" t="s">
        <v>100</v>
      </c>
      <c r="E81" t="s">
        <v>615</v>
      </c>
      <c r="F81">
        <v>3</v>
      </c>
      <c r="G81">
        <v>193</v>
      </c>
      <c r="H81" t="str">
        <f>IF(VLOOKUP(C81,Customers!A:E,5,FALSE)&gt;=1000,"YES","NO")</f>
        <v>NO</v>
      </c>
      <c r="I81">
        <f t="shared" si="1"/>
        <v>193</v>
      </c>
      <c r="J81">
        <f>(I81 - VLOOKUP(E81,Desserts!A:D,4,FALSE)) * F81</f>
        <v>453</v>
      </c>
    </row>
    <row r="82" spans="1:10" x14ac:dyDescent="0.3">
      <c r="A82" t="s">
        <v>780</v>
      </c>
      <c r="B82" t="s">
        <v>781</v>
      </c>
      <c r="C82" t="s">
        <v>321</v>
      </c>
      <c r="D82" t="s">
        <v>253</v>
      </c>
      <c r="E82" t="s">
        <v>585</v>
      </c>
      <c r="F82">
        <v>2</v>
      </c>
      <c r="G82">
        <v>213</v>
      </c>
      <c r="H82" t="str">
        <f>IF(VLOOKUP(C82,Customers!A:E,5,FALSE)&gt;=1000,"YES","NO")</f>
        <v>NO</v>
      </c>
      <c r="I82">
        <f t="shared" si="1"/>
        <v>213</v>
      </c>
      <c r="J82">
        <f>(I82 - VLOOKUP(E82,Desserts!A:D,4,FALSE)) * F82</f>
        <v>332</v>
      </c>
    </row>
    <row r="83" spans="1:10" x14ac:dyDescent="0.3">
      <c r="A83" t="s">
        <v>782</v>
      </c>
      <c r="B83" t="s">
        <v>783</v>
      </c>
      <c r="C83" t="s">
        <v>351</v>
      </c>
      <c r="D83" t="s">
        <v>250</v>
      </c>
      <c r="E83" t="s">
        <v>561</v>
      </c>
      <c r="F83">
        <v>1</v>
      </c>
      <c r="G83">
        <v>145</v>
      </c>
      <c r="H83" t="str">
        <f>IF(VLOOKUP(C83,Customers!A:E,5,FALSE)&gt;=1000,"YES","NO")</f>
        <v>NO</v>
      </c>
      <c r="I83">
        <f t="shared" si="1"/>
        <v>145</v>
      </c>
      <c r="J83">
        <f>(I83 - VLOOKUP(E83,Desserts!A:D,4,FALSE)) * F83</f>
        <v>82</v>
      </c>
    </row>
    <row r="84" spans="1:10" x14ac:dyDescent="0.3">
      <c r="A84" t="s">
        <v>784</v>
      </c>
      <c r="B84" t="s">
        <v>785</v>
      </c>
      <c r="C84" t="s">
        <v>509</v>
      </c>
      <c r="D84" t="s">
        <v>127</v>
      </c>
      <c r="E84" t="s">
        <v>523</v>
      </c>
      <c r="F84">
        <v>1</v>
      </c>
      <c r="G84">
        <v>108</v>
      </c>
      <c r="H84" t="str">
        <f>IF(VLOOKUP(C84,Customers!A:E,5,FALSE)&gt;=1000,"YES","NO")</f>
        <v>NO</v>
      </c>
      <c r="I84">
        <f t="shared" si="1"/>
        <v>108</v>
      </c>
      <c r="J84">
        <f>(I84 - VLOOKUP(E84,Desserts!A:D,4,FALSE)) * F84</f>
        <v>40</v>
      </c>
    </row>
    <row r="85" spans="1:10" x14ac:dyDescent="0.3">
      <c r="A85" t="s">
        <v>786</v>
      </c>
      <c r="B85" t="s">
        <v>787</v>
      </c>
      <c r="C85" t="s">
        <v>433</v>
      </c>
      <c r="D85" t="s">
        <v>259</v>
      </c>
      <c r="E85" t="s">
        <v>565</v>
      </c>
      <c r="F85">
        <v>2</v>
      </c>
      <c r="G85">
        <v>211</v>
      </c>
      <c r="H85" t="str">
        <f>IF(VLOOKUP(C85,Customers!A:E,5,FALSE)&gt;=1000,"YES","NO")</f>
        <v>YES</v>
      </c>
      <c r="I85">
        <f t="shared" si="1"/>
        <v>105.5</v>
      </c>
      <c r="J85">
        <f>(I85 - VLOOKUP(E85,Desserts!A:D,4,FALSE)) * F85</f>
        <v>129</v>
      </c>
    </row>
    <row r="86" spans="1:10" x14ac:dyDescent="0.3">
      <c r="A86" t="s">
        <v>788</v>
      </c>
      <c r="B86" t="s">
        <v>789</v>
      </c>
      <c r="C86" t="s">
        <v>413</v>
      </c>
      <c r="D86" t="s">
        <v>217</v>
      </c>
      <c r="E86" t="s">
        <v>617</v>
      </c>
      <c r="F86">
        <v>2</v>
      </c>
      <c r="G86">
        <v>157</v>
      </c>
      <c r="H86" t="str">
        <f>IF(VLOOKUP(C86,Customers!A:E,5,FALSE)&gt;=1000,"YES","NO")</f>
        <v>YES</v>
      </c>
      <c r="I86">
        <f t="shared" si="1"/>
        <v>78.5</v>
      </c>
      <c r="J86">
        <f>(I86 - VLOOKUP(E86,Desserts!A:D,4,FALSE)) * F86</f>
        <v>75</v>
      </c>
    </row>
    <row r="87" spans="1:10" x14ac:dyDescent="0.3">
      <c r="A87" t="s">
        <v>790</v>
      </c>
      <c r="B87" t="s">
        <v>791</v>
      </c>
      <c r="C87" t="s">
        <v>451</v>
      </c>
      <c r="D87" t="s">
        <v>181</v>
      </c>
      <c r="E87" t="s">
        <v>577</v>
      </c>
      <c r="F87">
        <v>2</v>
      </c>
      <c r="G87">
        <v>114</v>
      </c>
      <c r="H87" t="str">
        <f>IF(VLOOKUP(C87,Customers!A:E,5,FALSE)&gt;=1000,"YES","NO")</f>
        <v>NO</v>
      </c>
      <c r="I87">
        <f t="shared" si="1"/>
        <v>114</v>
      </c>
      <c r="J87">
        <f>(I87 - VLOOKUP(E87,Desserts!A:D,4,FALSE)) * F87</f>
        <v>88</v>
      </c>
    </row>
    <row r="88" spans="1:10" x14ac:dyDescent="0.3">
      <c r="A88" t="s">
        <v>792</v>
      </c>
      <c r="B88" t="s">
        <v>793</v>
      </c>
      <c r="C88" t="s">
        <v>341</v>
      </c>
      <c r="D88" t="s">
        <v>66</v>
      </c>
      <c r="E88" t="s">
        <v>595</v>
      </c>
      <c r="F88">
        <v>3</v>
      </c>
      <c r="G88">
        <v>180</v>
      </c>
      <c r="H88" t="str">
        <f>IF(VLOOKUP(C88,Customers!A:E,5,FALSE)&gt;=1000,"YES","NO")</f>
        <v>YES</v>
      </c>
      <c r="I88">
        <f t="shared" si="1"/>
        <v>90</v>
      </c>
      <c r="J88">
        <f>(I88 - VLOOKUP(E88,Desserts!A:D,4,FALSE)) * F88</f>
        <v>60</v>
      </c>
    </row>
    <row r="89" spans="1:10" x14ac:dyDescent="0.3">
      <c r="A89" t="s">
        <v>794</v>
      </c>
      <c r="B89" t="s">
        <v>759</v>
      </c>
      <c r="C89" t="s">
        <v>321</v>
      </c>
      <c r="D89" t="s">
        <v>43</v>
      </c>
      <c r="E89" t="s">
        <v>527</v>
      </c>
      <c r="F89">
        <v>1</v>
      </c>
      <c r="G89">
        <v>181</v>
      </c>
      <c r="H89" t="str">
        <f>IF(VLOOKUP(C89,Customers!A:E,5,FALSE)&gt;=1000,"YES","NO")</f>
        <v>NO</v>
      </c>
      <c r="I89">
        <f t="shared" si="1"/>
        <v>181</v>
      </c>
      <c r="J89">
        <f>(I89 - VLOOKUP(E89,Desserts!A:D,4,FALSE)) * F89</f>
        <v>138</v>
      </c>
    </row>
    <row r="90" spans="1:10" x14ac:dyDescent="0.3">
      <c r="A90" t="s">
        <v>795</v>
      </c>
      <c r="B90" t="s">
        <v>796</v>
      </c>
      <c r="C90" t="s">
        <v>331</v>
      </c>
      <c r="D90" t="s">
        <v>72</v>
      </c>
      <c r="E90" t="s">
        <v>595</v>
      </c>
      <c r="F90">
        <v>3</v>
      </c>
      <c r="G90">
        <v>185</v>
      </c>
      <c r="H90" t="str">
        <f>IF(VLOOKUP(C90,Customers!A:E,5,FALSE)&gt;=1000,"YES","NO")</f>
        <v>YES</v>
      </c>
      <c r="I90">
        <f t="shared" si="1"/>
        <v>92.5</v>
      </c>
      <c r="J90">
        <f>(I90 - VLOOKUP(E90,Desserts!A:D,4,FALSE)) * F90</f>
        <v>67.5</v>
      </c>
    </row>
    <row r="91" spans="1:10" x14ac:dyDescent="0.3">
      <c r="A91" t="s">
        <v>797</v>
      </c>
      <c r="B91" t="s">
        <v>798</v>
      </c>
      <c r="C91" t="s">
        <v>325</v>
      </c>
      <c r="D91" t="s">
        <v>17</v>
      </c>
      <c r="E91" t="s">
        <v>587</v>
      </c>
      <c r="F91">
        <v>4</v>
      </c>
      <c r="G91">
        <v>236</v>
      </c>
      <c r="H91" t="str">
        <f>IF(VLOOKUP(C91,Customers!A:E,5,FALSE)&gt;=1000,"YES","NO")</f>
        <v>NO</v>
      </c>
      <c r="I91">
        <f t="shared" si="1"/>
        <v>236</v>
      </c>
      <c r="J91">
        <f>(I91 - VLOOKUP(E91,Desserts!A:D,4,FALSE)) * F91</f>
        <v>656</v>
      </c>
    </row>
    <row r="92" spans="1:10" x14ac:dyDescent="0.3">
      <c r="A92" t="s">
        <v>799</v>
      </c>
      <c r="B92" t="s">
        <v>800</v>
      </c>
      <c r="C92" t="s">
        <v>407</v>
      </c>
      <c r="D92" t="s">
        <v>40</v>
      </c>
      <c r="E92" t="s">
        <v>581</v>
      </c>
      <c r="F92">
        <v>2</v>
      </c>
      <c r="G92">
        <v>202</v>
      </c>
      <c r="H92" t="str">
        <f>IF(VLOOKUP(C92,Customers!A:E,5,FALSE)&gt;=1000,"YES","NO")</f>
        <v>YES</v>
      </c>
      <c r="I92">
        <f t="shared" si="1"/>
        <v>101</v>
      </c>
      <c r="J92">
        <f>(I92 - VLOOKUP(E92,Desserts!A:D,4,FALSE)) * F92</f>
        <v>24</v>
      </c>
    </row>
    <row r="93" spans="1:10" x14ac:dyDescent="0.3">
      <c r="A93" t="s">
        <v>801</v>
      </c>
      <c r="B93" t="s">
        <v>802</v>
      </c>
      <c r="C93" t="s">
        <v>361</v>
      </c>
      <c r="D93" t="s">
        <v>151</v>
      </c>
      <c r="E93" t="s">
        <v>533</v>
      </c>
      <c r="F93">
        <v>1</v>
      </c>
      <c r="G93">
        <v>241</v>
      </c>
      <c r="H93" t="str">
        <f>IF(VLOOKUP(C93,Customers!A:E,5,FALSE)&gt;=1000,"YES","NO")</f>
        <v>NO</v>
      </c>
      <c r="I93">
        <f t="shared" si="1"/>
        <v>241</v>
      </c>
      <c r="J93">
        <f>(I93 - VLOOKUP(E93,Desserts!A:D,4,FALSE)) * F93</f>
        <v>174</v>
      </c>
    </row>
    <row r="94" spans="1:10" x14ac:dyDescent="0.3">
      <c r="A94" t="s">
        <v>803</v>
      </c>
      <c r="B94" t="s">
        <v>804</v>
      </c>
      <c r="C94" t="s">
        <v>443</v>
      </c>
      <c r="D94" t="s">
        <v>109</v>
      </c>
      <c r="E94" t="s">
        <v>619</v>
      </c>
      <c r="F94">
        <v>2</v>
      </c>
      <c r="G94">
        <v>183</v>
      </c>
      <c r="H94" t="str">
        <f>IF(VLOOKUP(C94,Customers!A:E,5,FALSE)&gt;=1000,"YES","NO")</f>
        <v>YES</v>
      </c>
      <c r="I94">
        <f t="shared" si="1"/>
        <v>91.5</v>
      </c>
      <c r="J94">
        <f>(I94 - VLOOKUP(E94,Desserts!A:D,4,FALSE)) * F94</f>
        <v>21</v>
      </c>
    </row>
    <row r="95" spans="1:10" x14ac:dyDescent="0.3">
      <c r="A95" t="s">
        <v>805</v>
      </c>
      <c r="B95" t="s">
        <v>806</v>
      </c>
      <c r="C95" t="s">
        <v>491</v>
      </c>
      <c r="D95" t="s">
        <v>20</v>
      </c>
      <c r="E95" t="s">
        <v>595</v>
      </c>
      <c r="F95">
        <v>2</v>
      </c>
      <c r="G95">
        <v>196</v>
      </c>
      <c r="H95" t="str">
        <f>IF(VLOOKUP(C95,Customers!A:E,5,FALSE)&gt;=1000,"YES","NO")</f>
        <v>NO</v>
      </c>
      <c r="I95">
        <f t="shared" si="1"/>
        <v>196</v>
      </c>
      <c r="J95">
        <f>(I95 - VLOOKUP(E95,Desserts!A:D,4,FALSE)) * F95</f>
        <v>252</v>
      </c>
    </row>
    <row r="96" spans="1:10" x14ac:dyDescent="0.3">
      <c r="A96" t="s">
        <v>807</v>
      </c>
      <c r="B96" t="s">
        <v>808</v>
      </c>
      <c r="C96" t="s">
        <v>331</v>
      </c>
      <c r="D96" t="s">
        <v>223</v>
      </c>
      <c r="E96" t="s">
        <v>529</v>
      </c>
      <c r="F96">
        <v>1</v>
      </c>
      <c r="G96">
        <v>126</v>
      </c>
      <c r="H96" t="str">
        <f>IF(VLOOKUP(C96,Customers!A:E,5,FALSE)&gt;=1000,"YES","NO")</f>
        <v>YES</v>
      </c>
      <c r="I96">
        <f t="shared" si="1"/>
        <v>63</v>
      </c>
      <c r="J96">
        <f>(I96 - VLOOKUP(E96,Desserts!A:D,4,FALSE)) * F96</f>
        <v>-5</v>
      </c>
    </row>
    <row r="97" spans="1:10" x14ac:dyDescent="0.3">
      <c r="A97" t="s">
        <v>809</v>
      </c>
      <c r="B97" t="s">
        <v>810</v>
      </c>
      <c r="C97" t="s">
        <v>419</v>
      </c>
      <c r="D97" t="s">
        <v>250</v>
      </c>
      <c r="E97" t="s">
        <v>611</v>
      </c>
      <c r="F97">
        <v>4</v>
      </c>
      <c r="G97">
        <v>206</v>
      </c>
      <c r="H97" t="str">
        <f>IF(VLOOKUP(C97,Customers!A:E,5,FALSE)&gt;=1000,"YES","NO")</f>
        <v>NO</v>
      </c>
      <c r="I97">
        <f t="shared" si="1"/>
        <v>206</v>
      </c>
      <c r="J97">
        <f>(I97 - VLOOKUP(E97,Desserts!A:D,4,FALSE)) * F97</f>
        <v>652</v>
      </c>
    </row>
    <row r="98" spans="1:10" x14ac:dyDescent="0.3">
      <c r="A98" t="s">
        <v>811</v>
      </c>
      <c r="B98" t="s">
        <v>812</v>
      </c>
      <c r="C98" t="s">
        <v>387</v>
      </c>
      <c r="D98" t="s">
        <v>208</v>
      </c>
      <c r="E98" t="s">
        <v>545</v>
      </c>
      <c r="F98">
        <v>1</v>
      </c>
      <c r="G98">
        <v>198</v>
      </c>
      <c r="H98" t="str">
        <f>IF(VLOOKUP(C98,Customers!A:E,5,FALSE)&gt;=1000,"YES","NO")</f>
        <v>NO</v>
      </c>
      <c r="I98">
        <f t="shared" si="1"/>
        <v>198</v>
      </c>
      <c r="J98">
        <f>(I98 - VLOOKUP(E98,Desserts!A:D,4,FALSE)) * F98</f>
        <v>153</v>
      </c>
    </row>
    <row r="99" spans="1:10" x14ac:dyDescent="0.3">
      <c r="A99" t="s">
        <v>813</v>
      </c>
      <c r="B99" t="s">
        <v>814</v>
      </c>
      <c r="C99" t="s">
        <v>385</v>
      </c>
      <c r="D99" t="s">
        <v>265</v>
      </c>
      <c r="E99" t="s">
        <v>537</v>
      </c>
      <c r="F99">
        <v>2</v>
      </c>
      <c r="G99">
        <v>218</v>
      </c>
      <c r="H99" t="str">
        <f>IF(VLOOKUP(C99,Customers!A:E,5,FALSE)&gt;=1000,"YES","NO")</f>
        <v>YES</v>
      </c>
      <c r="I99">
        <f t="shared" si="1"/>
        <v>109</v>
      </c>
      <c r="J99">
        <f>(I99 - VLOOKUP(E99,Desserts!A:D,4,FALSE)) * F99</f>
        <v>50</v>
      </c>
    </row>
    <row r="100" spans="1:10" x14ac:dyDescent="0.3">
      <c r="A100" t="s">
        <v>815</v>
      </c>
      <c r="B100" t="s">
        <v>816</v>
      </c>
      <c r="C100" t="s">
        <v>443</v>
      </c>
      <c r="D100" t="s">
        <v>24</v>
      </c>
      <c r="E100" t="s">
        <v>607</v>
      </c>
      <c r="F100">
        <v>4</v>
      </c>
      <c r="G100">
        <v>193</v>
      </c>
      <c r="H100" t="str">
        <f>IF(VLOOKUP(C100,Customers!A:E,5,FALSE)&gt;=1000,"YES","NO")</f>
        <v>YES</v>
      </c>
      <c r="I100">
        <f t="shared" si="1"/>
        <v>96.5</v>
      </c>
      <c r="J100">
        <f>(I100 - VLOOKUP(E100,Desserts!A:D,4,FALSE)) * F100</f>
        <v>106</v>
      </c>
    </row>
    <row r="101" spans="1:10" x14ac:dyDescent="0.3">
      <c r="A101" t="s">
        <v>817</v>
      </c>
      <c r="B101" t="s">
        <v>818</v>
      </c>
      <c r="C101" t="s">
        <v>411</v>
      </c>
      <c r="D101" t="s">
        <v>112</v>
      </c>
      <c r="E101" t="s">
        <v>531</v>
      </c>
      <c r="F101">
        <v>3</v>
      </c>
      <c r="G101">
        <v>240</v>
      </c>
      <c r="H101" t="str">
        <f>IF(VLOOKUP(C101,Customers!A:E,5,FALSE)&gt;=1000,"YES","NO")</f>
        <v>NO</v>
      </c>
      <c r="I101">
        <f t="shared" si="1"/>
        <v>240</v>
      </c>
      <c r="J101">
        <f>(I101 - VLOOKUP(E101,Desserts!A:D,4,FALSE)) * F101</f>
        <v>465</v>
      </c>
    </row>
    <row r="102" spans="1:10" x14ac:dyDescent="0.3">
      <c r="A102" t="s">
        <v>819</v>
      </c>
      <c r="B102" t="s">
        <v>820</v>
      </c>
      <c r="C102" t="s">
        <v>341</v>
      </c>
      <c r="D102" t="s">
        <v>286</v>
      </c>
      <c r="E102" t="s">
        <v>541</v>
      </c>
      <c r="F102">
        <v>5</v>
      </c>
      <c r="G102">
        <v>107</v>
      </c>
      <c r="H102" t="str">
        <f>IF(VLOOKUP(C102,Customers!A:E,5,FALSE)&gt;=1000,"YES","NO")</f>
        <v>YES</v>
      </c>
      <c r="I102">
        <f t="shared" si="1"/>
        <v>53.5</v>
      </c>
      <c r="J102">
        <f>(I102 - VLOOKUP(E102,Desserts!A:D,4,FALSE)) * F102</f>
        <v>-17.5</v>
      </c>
    </row>
    <row r="103" spans="1:10" x14ac:dyDescent="0.3">
      <c r="A103" t="s">
        <v>821</v>
      </c>
      <c r="B103" t="s">
        <v>822</v>
      </c>
      <c r="C103" t="s">
        <v>387</v>
      </c>
      <c r="D103" t="s">
        <v>97</v>
      </c>
      <c r="E103" t="s">
        <v>601</v>
      </c>
      <c r="F103">
        <v>3</v>
      </c>
      <c r="G103">
        <v>158</v>
      </c>
      <c r="H103" t="str">
        <f>IF(VLOOKUP(C103,Customers!A:E,5,FALSE)&gt;=1000,"YES","NO")</f>
        <v>NO</v>
      </c>
      <c r="I103">
        <f t="shared" si="1"/>
        <v>158</v>
      </c>
      <c r="J103">
        <f>(I103 - VLOOKUP(E103,Desserts!A:D,4,FALSE)) * F103</f>
        <v>309</v>
      </c>
    </row>
    <row r="104" spans="1:10" x14ac:dyDescent="0.3">
      <c r="A104" t="s">
        <v>823</v>
      </c>
      <c r="B104" t="s">
        <v>824</v>
      </c>
      <c r="C104" t="s">
        <v>365</v>
      </c>
      <c r="D104" t="s">
        <v>172</v>
      </c>
      <c r="E104" t="s">
        <v>531</v>
      </c>
      <c r="F104">
        <v>5</v>
      </c>
      <c r="G104">
        <v>111</v>
      </c>
      <c r="H104" t="str">
        <f>IF(VLOOKUP(C104,Customers!A:E,5,FALSE)&gt;=1000,"YES","NO")</f>
        <v>NO</v>
      </c>
      <c r="I104">
        <f t="shared" si="1"/>
        <v>111</v>
      </c>
      <c r="J104">
        <f>(I104 - VLOOKUP(E104,Desserts!A:D,4,FALSE)) * F104</f>
        <v>130</v>
      </c>
    </row>
    <row r="105" spans="1:10" x14ac:dyDescent="0.3">
      <c r="A105" t="s">
        <v>825</v>
      </c>
      <c r="B105" t="s">
        <v>826</v>
      </c>
      <c r="C105" t="s">
        <v>355</v>
      </c>
      <c r="D105" t="s">
        <v>37</v>
      </c>
      <c r="E105" t="s">
        <v>589</v>
      </c>
      <c r="F105">
        <v>4</v>
      </c>
      <c r="G105">
        <v>124</v>
      </c>
      <c r="H105" t="str">
        <f>IF(VLOOKUP(C105,Customers!A:E,5,FALSE)&gt;=1000,"YES","NO")</f>
        <v>YES</v>
      </c>
      <c r="I105">
        <f t="shared" si="1"/>
        <v>62</v>
      </c>
      <c r="J105">
        <f>(I105 - VLOOKUP(E105,Desserts!A:D,4,FALSE)) * F105</f>
        <v>-36</v>
      </c>
    </row>
    <row r="106" spans="1:10" x14ac:dyDescent="0.3">
      <c r="A106" t="s">
        <v>827</v>
      </c>
      <c r="B106" t="s">
        <v>828</v>
      </c>
      <c r="C106" t="s">
        <v>365</v>
      </c>
      <c r="D106" t="s">
        <v>274</v>
      </c>
      <c r="E106" t="s">
        <v>529</v>
      </c>
      <c r="F106">
        <v>3</v>
      </c>
      <c r="G106">
        <v>181</v>
      </c>
      <c r="H106" t="str">
        <f>IF(VLOOKUP(C106,Customers!A:E,5,FALSE)&gt;=1000,"YES","NO")</f>
        <v>NO</v>
      </c>
      <c r="I106">
        <f t="shared" si="1"/>
        <v>181</v>
      </c>
      <c r="J106">
        <f>(I106 - VLOOKUP(E106,Desserts!A:D,4,FALSE)) * F106</f>
        <v>339</v>
      </c>
    </row>
    <row r="107" spans="1:10" x14ac:dyDescent="0.3">
      <c r="A107" t="s">
        <v>829</v>
      </c>
      <c r="B107" t="s">
        <v>830</v>
      </c>
      <c r="C107" t="s">
        <v>425</v>
      </c>
      <c r="D107" t="s">
        <v>72</v>
      </c>
      <c r="E107" t="s">
        <v>573</v>
      </c>
      <c r="F107">
        <v>5</v>
      </c>
      <c r="G107">
        <v>182</v>
      </c>
      <c r="H107" t="str">
        <f>IF(VLOOKUP(C107,Customers!A:E,5,FALSE)&gt;=1000,"YES","NO")</f>
        <v>NO</v>
      </c>
      <c r="I107">
        <f t="shared" si="1"/>
        <v>182</v>
      </c>
      <c r="J107">
        <f>(I107 - VLOOKUP(E107,Desserts!A:D,4,FALSE)) * F107</f>
        <v>660</v>
      </c>
    </row>
    <row r="108" spans="1:10" x14ac:dyDescent="0.3">
      <c r="A108" t="s">
        <v>831</v>
      </c>
      <c r="B108" t="s">
        <v>832</v>
      </c>
      <c r="C108" t="s">
        <v>439</v>
      </c>
      <c r="D108" t="s">
        <v>184</v>
      </c>
      <c r="E108" t="s">
        <v>579</v>
      </c>
      <c r="F108">
        <v>3</v>
      </c>
      <c r="G108">
        <v>124</v>
      </c>
      <c r="H108" t="str">
        <f>IF(VLOOKUP(C108,Customers!A:E,5,FALSE)&gt;=1000,"YES","NO")</f>
        <v>YES</v>
      </c>
      <c r="I108">
        <f t="shared" si="1"/>
        <v>62</v>
      </c>
      <c r="J108">
        <f>(I108 - VLOOKUP(E108,Desserts!A:D,4,FALSE)) * F108</f>
        <v>0</v>
      </c>
    </row>
    <row r="109" spans="1:10" x14ac:dyDescent="0.3">
      <c r="A109" t="s">
        <v>833</v>
      </c>
      <c r="B109" t="s">
        <v>834</v>
      </c>
      <c r="C109" t="s">
        <v>457</v>
      </c>
      <c r="D109" t="s">
        <v>295</v>
      </c>
      <c r="E109" t="s">
        <v>569</v>
      </c>
      <c r="F109">
        <v>4</v>
      </c>
      <c r="G109">
        <v>177</v>
      </c>
      <c r="H109" t="str">
        <f>IF(VLOOKUP(C109,Customers!A:E,5,FALSE)&gt;=1000,"YES","NO")</f>
        <v>YES</v>
      </c>
      <c r="I109">
        <f t="shared" si="1"/>
        <v>88.5</v>
      </c>
      <c r="J109">
        <f>(I109 - VLOOKUP(E109,Desserts!A:D,4,FALSE)) * F109</f>
        <v>46</v>
      </c>
    </row>
    <row r="110" spans="1:10" x14ac:dyDescent="0.3">
      <c r="A110" t="s">
        <v>835</v>
      </c>
      <c r="B110" t="s">
        <v>667</v>
      </c>
      <c r="C110" t="s">
        <v>397</v>
      </c>
      <c r="D110" t="s">
        <v>88</v>
      </c>
      <c r="E110" t="s">
        <v>613</v>
      </c>
      <c r="F110">
        <v>3</v>
      </c>
      <c r="G110">
        <v>112</v>
      </c>
      <c r="H110" t="str">
        <f>IF(VLOOKUP(C110,Customers!A:E,5,FALSE)&gt;=1000,"YES","NO")</f>
        <v>NO</v>
      </c>
      <c r="I110">
        <f t="shared" si="1"/>
        <v>112</v>
      </c>
      <c r="J110">
        <f>(I110 - VLOOKUP(E110,Desserts!A:D,4,FALSE)) * F110</f>
        <v>81</v>
      </c>
    </row>
    <row r="111" spans="1:10" x14ac:dyDescent="0.3">
      <c r="A111" t="s">
        <v>836</v>
      </c>
      <c r="B111" t="s">
        <v>837</v>
      </c>
      <c r="C111" t="s">
        <v>343</v>
      </c>
      <c r="D111" t="s">
        <v>205</v>
      </c>
      <c r="E111" t="s">
        <v>563</v>
      </c>
      <c r="F111">
        <v>4</v>
      </c>
      <c r="G111">
        <v>233</v>
      </c>
      <c r="H111" t="str">
        <f>IF(VLOOKUP(C111,Customers!A:E,5,FALSE)&gt;=1000,"YES","NO")</f>
        <v>YES</v>
      </c>
      <c r="I111">
        <f t="shared" si="1"/>
        <v>116.5</v>
      </c>
      <c r="J111">
        <f>(I111 - VLOOKUP(E111,Desserts!A:D,4,FALSE)) * F111</f>
        <v>206</v>
      </c>
    </row>
    <row r="112" spans="1:10" x14ac:dyDescent="0.3">
      <c r="A112" t="s">
        <v>838</v>
      </c>
      <c r="B112" t="s">
        <v>839</v>
      </c>
      <c r="C112" t="s">
        <v>321</v>
      </c>
      <c r="D112" t="s">
        <v>115</v>
      </c>
      <c r="E112" t="s">
        <v>537</v>
      </c>
      <c r="F112">
        <v>3</v>
      </c>
      <c r="G112">
        <v>182</v>
      </c>
      <c r="H112" t="str">
        <f>IF(VLOOKUP(C112,Customers!A:E,5,FALSE)&gt;=1000,"YES","NO")</f>
        <v>NO</v>
      </c>
      <c r="I112">
        <f t="shared" si="1"/>
        <v>182</v>
      </c>
      <c r="J112">
        <f>(I112 - VLOOKUP(E112,Desserts!A:D,4,FALSE)) * F112</f>
        <v>294</v>
      </c>
    </row>
    <row r="113" spans="1:10" x14ac:dyDescent="0.3">
      <c r="A113" t="s">
        <v>840</v>
      </c>
      <c r="B113" t="s">
        <v>723</v>
      </c>
      <c r="C113" t="s">
        <v>505</v>
      </c>
      <c r="D113" t="s">
        <v>63</v>
      </c>
      <c r="E113" t="s">
        <v>577</v>
      </c>
      <c r="F113">
        <v>3</v>
      </c>
      <c r="G113">
        <v>171</v>
      </c>
      <c r="H113" t="str">
        <f>IF(VLOOKUP(C113,Customers!A:E,5,FALSE)&gt;=1000,"YES","NO")</f>
        <v>YES</v>
      </c>
      <c r="I113">
        <f t="shared" si="1"/>
        <v>85.5</v>
      </c>
      <c r="J113">
        <f>(I113 - VLOOKUP(E113,Desserts!A:D,4,FALSE)) * F113</f>
        <v>46.5</v>
      </c>
    </row>
    <row r="114" spans="1:10" x14ac:dyDescent="0.3">
      <c r="A114" t="s">
        <v>841</v>
      </c>
      <c r="B114" t="s">
        <v>842</v>
      </c>
      <c r="C114" t="s">
        <v>513</v>
      </c>
      <c r="D114" t="s">
        <v>106</v>
      </c>
      <c r="E114" t="s">
        <v>579</v>
      </c>
      <c r="F114">
        <v>2</v>
      </c>
      <c r="G114">
        <v>154</v>
      </c>
      <c r="H114" t="str">
        <f>IF(VLOOKUP(C114,Customers!A:E,5,FALSE)&gt;=1000,"YES","NO")</f>
        <v>YES</v>
      </c>
      <c r="I114">
        <f t="shared" si="1"/>
        <v>77</v>
      </c>
      <c r="J114">
        <f>(I114 - VLOOKUP(E114,Desserts!A:D,4,FALSE)) * F114</f>
        <v>30</v>
      </c>
    </row>
    <row r="115" spans="1:10" x14ac:dyDescent="0.3">
      <c r="A115" t="s">
        <v>843</v>
      </c>
      <c r="B115" t="s">
        <v>844</v>
      </c>
      <c r="C115" t="s">
        <v>437</v>
      </c>
      <c r="D115" t="s">
        <v>76</v>
      </c>
      <c r="E115" t="s">
        <v>567</v>
      </c>
      <c r="F115">
        <v>5</v>
      </c>
      <c r="G115">
        <v>228</v>
      </c>
      <c r="H115" t="str">
        <f>IF(VLOOKUP(C115,Customers!A:E,5,FALSE)&gt;=1000,"YES","NO")</f>
        <v>NO</v>
      </c>
      <c r="I115">
        <f t="shared" si="1"/>
        <v>228</v>
      </c>
      <c r="J115">
        <f>(I115 - VLOOKUP(E115,Desserts!A:D,4,FALSE)) * F115</f>
        <v>860</v>
      </c>
    </row>
    <row r="116" spans="1:10" x14ac:dyDescent="0.3">
      <c r="A116" t="s">
        <v>845</v>
      </c>
      <c r="B116" t="s">
        <v>699</v>
      </c>
      <c r="C116" t="s">
        <v>415</v>
      </c>
      <c r="D116" t="s">
        <v>37</v>
      </c>
      <c r="E116" t="s">
        <v>573</v>
      </c>
      <c r="F116">
        <v>2</v>
      </c>
      <c r="G116">
        <v>131</v>
      </c>
      <c r="H116" t="str">
        <f>IF(VLOOKUP(C116,Customers!A:E,5,FALSE)&gt;=1000,"YES","NO")</f>
        <v>YES</v>
      </c>
      <c r="I116">
        <f t="shared" si="1"/>
        <v>65.5</v>
      </c>
      <c r="J116">
        <f>(I116 - VLOOKUP(E116,Desserts!A:D,4,FALSE)) * F116</f>
        <v>31</v>
      </c>
    </row>
    <row r="117" spans="1:10" x14ac:dyDescent="0.3">
      <c r="A117" t="s">
        <v>846</v>
      </c>
      <c r="B117" t="s">
        <v>847</v>
      </c>
      <c r="C117" t="s">
        <v>341</v>
      </c>
      <c r="D117" t="s">
        <v>256</v>
      </c>
      <c r="E117" t="s">
        <v>605</v>
      </c>
      <c r="F117">
        <v>5</v>
      </c>
      <c r="G117">
        <v>235</v>
      </c>
      <c r="H117" t="str">
        <f>IF(VLOOKUP(C117,Customers!A:E,5,FALSE)&gt;=1000,"YES","NO")</f>
        <v>YES</v>
      </c>
      <c r="I117">
        <f t="shared" si="1"/>
        <v>117.5</v>
      </c>
      <c r="J117">
        <f>(I117 - VLOOKUP(E117,Desserts!A:D,4,FALSE)) * F117</f>
        <v>277.5</v>
      </c>
    </row>
    <row r="118" spans="1:10" x14ac:dyDescent="0.3">
      <c r="A118" t="s">
        <v>848</v>
      </c>
      <c r="B118" t="s">
        <v>849</v>
      </c>
      <c r="C118" t="s">
        <v>491</v>
      </c>
      <c r="D118" t="s">
        <v>184</v>
      </c>
      <c r="E118" t="s">
        <v>601</v>
      </c>
      <c r="F118">
        <v>2</v>
      </c>
      <c r="G118">
        <v>250</v>
      </c>
      <c r="H118" t="str">
        <f>IF(VLOOKUP(C118,Customers!A:E,5,FALSE)&gt;=1000,"YES","NO")</f>
        <v>NO</v>
      </c>
      <c r="I118">
        <f t="shared" si="1"/>
        <v>250</v>
      </c>
      <c r="J118">
        <f>(I118 - VLOOKUP(E118,Desserts!A:D,4,FALSE)) * F118</f>
        <v>390</v>
      </c>
    </row>
    <row r="119" spans="1:10" x14ac:dyDescent="0.3">
      <c r="A119" t="s">
        <v>850</v>
      </c>
      <c r="B119" t="s">
        <v>741</v>
      </c>
      <c r="C119" t="s">
        <v>425</v>
      </c>
      <c r="D119" t="s">
        <v>166</v>
      </c>
      <c r="E119" t="s">
        <v>531</v>
      </c>
      <c r="F119">
        <v>1</v>
      </c>
      <c r="G119">
        <v>242</v>
      </c>
      <c r="H119" t="str">
        <f>IF(VLOOKUP(C119,Customers!A:E,5,FALSE)&gt;=1000,"YES","NO")</f>
        <v>NO</v>
      </c>
      <c r="I119">
        <f t="shared" si="1"/>
        <v>242</v>
      </c>
      <c r="J119">
        <f>(I119 - VLOOKUP(E119,Desserts!A:D,4,FALSE)) * F119</f>
        <v>157</v>
      </c>
    </row>
    <row r="120" spans="1:10" x14ac:dyDescent="0.3">
      <c r="A120" t="s">
        <v>851</v>
      </c>
      <c r="B120" t="s">
        <v>852</v>
      </c>
      <c r="C120" t="s">
        <v>507</v>
      </c>
      <c r="D120" t="s">
        <v>100</v>
      </c>
      <c r="E120" t="s">
        <v>601</v>
      </c>
      <c r="F120">
        <v>5</v>
      </c>
      <c r="G120">
        <v>148</v>
      </c>
      <c r="H120" t="str">
        <f>IF(VLOOKUP(C120,Customers!A:E,5,FALSE)&gt;=1000,"YES","NO")</f>
        <v>NO</v>
      </c>
      <c r="I120">
        <f t="shared" si="1"/>
        <v>148</v>
      </c>
      <c r="J120">
        <f>(I120 - VLOOKUP(E120,Desserts!A:D,4,FALSE)) * F120</f>
        <v>465</v>
      </c>
    </row>
    <row r="121" spans="1:10" x14ac:dyDescent="0.3">
      <c r="A121" t="s">
        <v>853</v>
      </c>
      <c r="B121" t="s">
        <v>839</v>
      </c>
      <c r="C121" t="s">
        <v>405</v>
      </c>
      <c r="D121" t="s">
        <v>103</v>
      </c>
      <c r="E121" t="s">
        <v>575</v>
      </c>
      <c r="F121">
        <v>4</v>
      </c>
      <c r="G121">
        <v>240</v>
      </c>
      <c r="H121" t="str">
        <f>IF(VLOOKUP(C121,Customers!A:E,5,FALSE)&gt;=1000,"YES","NO")</f>
        <v>YES</v>
      </c>
      <c r="I121">
        <f t="shared" si="1"/>
        <v>120</v>
      </c>
      <c r="J121">
        <f>(I121 - VLOOKUP(E121,Desserts!A:D,4,FALSE)) * F121</f>
        <v>180</v>
      </c>
    </row>
    <row r="122" spans="1:10" x14ac:dyDescent="0.3">
      <c r="A122" t="s">
        <v>854</v>
      </c>
      <c r="B122" t="s">
        <v>755</v>
      </c>
      <c r="C122" t="s">
        <v>477</v>
      </c>
      <c r="D122" t="s">
        <v>118</v>
      </c>
      <c r="E122" t="s">
        <v>607</v>
      </c>
      <c r="F122">
        <v>4</v>
      </c>
      <c r="G122">
        <v>109</v>
      </c>
      <c r="H122" t="str">
        <f>IF(VLOOKUP(C122,Customers!A:E,5,FALSE)&gt;=1000,"YES","NO")</f>
        <v>YES</v>
      </c>
      <c r="I122">
        <f t="shared" si="1"/>
        <v>54.5</v>
      </c>
      <c r="J122">
        <f>(I122 - VLOOKUP(E122,Desserts!A:D,4,FALSE)) * F122</f>
        <v>-62</v>
      </c>
    </row>
    <row r="123" spans="1:10" x14ac:dyDescent="0.3">
      <c r="A123" t="s">
        <v>855</v>
      </c>
      <c r="B123" t="s">
        <v>856</v>
      </c>
      <c r="C123" t="s">
        <v>453</v>
      </c>
      <c r="D123" t="s">
        <v>277</v>
      </c>
      <c r="E123" t="s">
        <v>571</v>
      </c>
      <c r="F123">
        <v>5</v>
      </c>
      <c r="G123">
        <v>218</v>
      </c>
      <c r="H123" t="str">
        <f>IF(VLOOKUP(C123,Customers!A:E,5,FALSE)&gt;=1000,"YES","NO")</f>
        <v>YES</v>
      </c>
      <c r="I123">
        <f t="shared" si="1"/>
        <v>109</v>
      </c>
      <c r="J123">
        <f>(I123 - VLOOKUP(E123,Desserts!A:D,4,FALSE)) * F123</f>
        <v>340</v>
      </c>
    </row>
    <row r="124" spans="1:10" x14ac:dyDescent="0.3">
      <c r="A124" t="s">
        <v>857</v>
      </c>
      <c r="B124" t="s">
        <v>673</v>
      </c>
      <c r="C124" t="s">
        <v>497</v>
      </c>
      <c r="D124" t="s">
        <v>136</v>
      </c>
      <c r="E124" t="s">
        <v>537</v>
      </c>
      <c r="F124">
        <v>1</v>
      </c>
      <c r="G124">
        <v>198</v>
      </c>
      <c r="H124" t="str">
        <f>IF(VLOOKUP(C124,Customers!A:E,5,FALSE)&gt;=1000,"YES","NO")</f>
        <v>NO</v>
      </c>
      <c r="I124">
        <f t="shared" si="1"/>
        <v>198</v>
      </c>
      <c r="J124">
        <f>(I124 - VLOOKUP(E124,Desserts!A:D,4,FALSE)) * F124</f>
        <v>114</v>
      </c>
    </row>
    <row r="125" spans="1:10" x14ac:dyDescent="0.3">
      <c r="A125" t="s">
        <v>858</v>
      </c>
      <c r="B125" t="s">
        <v>859</v>
      </c>
      <c r="C125" t="s">
        <v>513</v>
      </c>
      <c r="D125" t="s">
        <v>307</v>
      </c>
      <c r="E125" t="s">
        <v>619</v>
      </c>
      <c r="F125">
        <v>5</v>
      </c>
      <c r="G125">
        <v>117</v>
      </c>
      <c r="H125" t="str">
        <f>IF(VLOOKUP(C125,Customers!A:E,5,FALSE)&gt;=1000,"YES","NO")</f>
        <v>YES</v>
      </c>
      <c r="I125">
        <f t="shared" si="1"/>
        <v>58.5</v>
      </c>
      <c r="J125">
        <f>(I125 - VLOOKUP(E125,Desserts!A:D,4,FALSE)) * F125</f>
        <v>-112.5</v>
      </c>
    </row>
    <row r="126" spans="1:10" x14ac:dyDescent="0.3">
      <c r="A126" t="s">
        <v>860</v>
      </c>
      <c r="B126" t="s">
        <v>861</v>
      </c>
      <c r="C126" t="s">
        <v>363</v>
      </c>
      <c r="D126" t="s">
        <v>94</v>
      </c>
      <c r="E126" t="s">
        <v>547</v>
      </c>
      <c r="F126">
        <v>1</v>
      </c>
      <c r="G126">
        <v>131</v>
      </c>
      <c r="H126" t="str">
        <f>IF(VLOOKUP(C126,Customers!A:E,5,FALSE)&gt;=1000,"YES","NO")</f>
        <v>YES</v>
      </c>
      <c r="I126">
        <f t="shared" si="1"/>
        <v>65.5</v>
      </c>
      <c r="J126">
        <f>(I126 - VLOOKUP(E126,Desserts!A:D,4,FALSE)) * F126</f>
        <v>15.5</v>
      </c>
    </row>
    <row r="127" spans="1:10" x14ac:dyDescent="0.3">
      <c r="A127" t="s">
        <v>862</v>
      </c>
      <c r="B127" t="s">
        <v>739</v>
      </c>
      <c r="C127" t="s">
        <v>501</v>
      </c>
      <c r="D127" t="s">
        <v>304</v>
      </c>
      <c r="E127" t="s">
        <v>577</v>
      </c>
      <c r="F127">
        <v>5</v>
      </c>
      <c r="G127">
        <v>230</v>
      </c>
      <c r="H127" t="str">
        <f>IF(VLOOKUP(C127,Customers!A:E,5,FALSE)&gt;=1000,"YES","NO")</f>
        <v>YES</v>
      </c>
      <c r="I127">
        <f t="shared" si="1"/>
        <v>115</v>
      </c>
      <c r="J127">
        <f>(I127 - VLOOKUP(E127,Desserts!A:D,4,FALSE)) * F127</f>
        <v>225</v>
      </c>
    </row>
    <row r="128" spans="1:10" x14ac:dyDescent="0.3">
      <c r="A128" t="s">
        <v>863</v>
      </c>
      <c r="B128" t="s">
        <v>864</v>
      </c>
      <c r="C128" t="s">
        <v>415</v>
      </c>
      <c r="D128" t="s">
        <v>154</v>
      </c>
      <c r="E128" t="s">
        <v>543</v>
      </c>
      <c r="F128">
        <v>3</v>
      </c>
      <c r="G128">
        <v>114</v>
      </c>
      <c r="H128" t="str">
        <f>IF(VLOOKUP(C128,Customers!A:E,5,FALSE)&gt;=1000,"YES","NO")</f>
        <v>YES</v>
      </c>
      <c r="I128">
        <f t="shared" si="1"/>
        <v>57</v>
      </c>
      <c r="J128">
        <f>(I128 - VLOOKUP(E128,Desserts!A:D,4,FALSE)) * F128</f>
        <v>-48</v>
      </c>
    </row>
    <row r="129" spans="1:10" x14ac:dyDescent="0.3">
      <c r="A129" t="s">
        <v>865</v>
      </c>
      <c r="B129" t="s">
        <v>775</v>
      </c>
      <c r="C129" t="s">
        <v>351</v>
      </c>
      <c r="D129" t="s">
        <v>310</v>
      </c>
      <c r="E129" t="s">
        <v>545</v>
      </c>
      <c r="F129">
        <v>2</v>
      </c>
      <c r="G129">
        <v>180</v>
      </c>
      <c r="H129" t="str">
        <f>IF(VLOOKUP(C129,Customers!A:E,5,FALSE)&gt;=1000,"YES","NO")</f>
        <v>NO</v>
      </c>
      <c r="I129">
        <f t="shared" si="1"/>
        <v>180</v>
      </c>
      <c r="J129">
        <f>(I129 - VLOOKUP(E129,Desserts!A:D,4,FALSE)) * F129</f>
        <v>270</v>
      </c>
    </row>
    <row r="130" spans="1:10" x14ac:dyDescent="0.3">
      <c r="A130" t="s">
        <v>866</v>
      </c>
      <c r="B130" t="s">
        <v>867</v>
      </c>
      <c r="C130" t="s">
        <v>379</v>
      </c>
      <c r="D130" t="s">
        <v>85</v>
      </c>
      <c r="E130" t="s">
        <v>619</v>
      </c>
      <c r="F130">
        <v>2</v>
      </c>
      <c r="G130">
        <v>142</v>
      </c>
      <c r="H130" t="str">
        <f>IF(VLOOKUP(C130,Customers!A:E,5,FALSE)&gt;=1000,"YES","NO")</f>
        <v>NO</v>
      </c>
      <c r="I130">
        <f t="shared" ref="I130:I193" si="2">IF(H130="YES",G130*0.5,G130)</f>
        <v>142</v>
      </c>
      <c r="J130">
        <f>(I130 - VLOOKUP(E130,Desserts!A:D,4,FALSE)) * F130</f>
        <v>122</v>
      </c>
    </row>
    <row r="131" spans="1:10" x14ac:dyDescent="0.3">
      <c r="A131" t="s">
        <v>868</v>
      </c>
      <c r="B131" t="s">
        <v>869</v>
      </c>
      <c r="C131" t="s">
        <v>407</v>
      </c>
      <c r="D131" t="s">
        <v>169</v>
      </c>
      <c r="E131" t="s">
        <v>547</v>
      </c>
      <c r="F131">
        <v>1</v>
      </c>
      <c r="G131">
        <v>193</v>
      </c>
      <c r="H131" t="str">
        <f>IF(VLOOKUP(C131,Customers!A:E,5,FALSE)&gt;=1000,"YES","NO")</f>
        <v>YES</v>
      </c>
      <c r="I131">
        <f t="shared" si="2"/>
        <v>96.5</v>
      </c>
      <c r="J131">
        <f>(I131 - VLOOKUP(E131,Desserts!A:D,4,FALSE)) * F131</f>
        <v>46.5</v>
      </c>
    </row>
    <row r="132" spans="1:10" x14ac:dyDescent="0.3">
      <c r="A132" t="s">
        <v>870</v>
      </c>
      <c r="B132" t="s">
        <v>871</v>
      </c>
      <c r="C132" t="s">
        <v>481</v>
      </c>
      <c r="D132" t="s">
        <v>175</v>
      </c>
      <c r="E132" t="s">
        <v>555</v>
      </c>
      <c r="F132">
        <v>4</v>
      </c>
      <c r="G132">
        <v>194</v>
      </c>
      <c r="H132" t="str">
        <f>IF(VLOOKUP(C132,Customers!A:E,5,FALSE)&gt;=1000,"YES","NO")</f>
        <v>YES</v>
      </c>
      <c r="I132">
        <f t="shared" si="2"/>
        <v>97</v>
      </c>
      <c r="J132">
        <f>(I132 - VLOOKUP(E132,Desserts!A:D,4,FALSE)) * F132</f>
        <v>88</v>
      </c>
    </row>
    <row r="133" spans="1:10" x14ac:dyDescent="0.3">
      <c r="A133" t="s">
        <v>872</v>
      </c>
      <c r="B133" t="s">
        <v>873</v>
      </c>
      <c r="C133" t="s">
        <v>321</v>
      </c>
      <c r="D133" t="s">
        <v>205</v>
      </c>
      <c r="E133" t="s">
        <v>527</v>
      </c>
      <c r="F133">
        <v>2</v>
      </c>
      <c r="G133">
        <v>235</v>
      </c>
      <c r="H133" t="str">
        <f>IF(VLOOKUP(C133,Customers!A:E,5,FALSE)&gt;=1000,"YES","NO")</f>
        <v>NO</v>
      </c>
      <c r="I133">
        <f t="shared" si="2"/>
        <v>235</v>
      </c>
      <c r="J133">
        <f>(I133 - VLOOKUP(E133,Desserts!A:D,4,FALSE)) * F133</f>
        <v>384</v>
      </c>
    </row>
    <row r="134" spans="1:10" x14ac:dyDescent="0.3">
      <c r="A134" t="s">
        <v>874</v>
      </c>
      <c r="B134" t="s">
        <v>875</v>
      </c>
      <c r="C134" t="s">
        <v>377</v>
      </c>
      <c r="D134" t="s">
        <v>259</v>
      </c>
      <c r="E134" t="s">
        <v>525</v>
      </c>
      <c r="F134">
        <v>5</v>
      </c>
      <c r="G134">
        <v>180</v>
      </c>
      <c r="H134" t="str">
        <f>IF(VLOOKUP(C134,Customers!A:E,5,FALSE)&gt;=1000,"YES","NO")</f>
        <v>NO</v>
      </c>
      <c r="I134">
        <f t="shared" si="2"/>
        <v>180</v>
      </c>
      <c r="J134">
        <f>(I134 - VLOOKUP(E134,Desserts!A:D,4,FALSE)) * F134</f>
        <v>480</v>
      </c>
    </row>
    <row r="135" spans="1:10" x14ac:dyDescent="0.3">
      <c r="A135" t="s">
        <v>876</v>
      </c>
      <c r="B135" t="s">
        <v>713</v>
      </c>
      <c r="C135" t="s">
        <v>407</v>
      </c>
      <c r="D135" t="s">
        <v>175</v>
      </c>
      <c r="E135" t="s">
        <v>597</v>
      </c>
      <c r="F135">
        <v>4</v>
      </c>
      <c r="G135">
        <v>184</v>
      </c>
      <c r="H135" t="str">
        <f>IF(VLOOKUP(C135,Customers!A:E,5,FALSE)&gt;=1000,"YES","NO")</f>
        <v>YES</v>
      </c>
      <c r="I135">
        <f t="shared" si="2"/>
        <v>92</v>
      </c>
      <c r="J135">
        <f>(I135 - VLOOKUP(E135,Desserts!A:D,4,FALSE)) * F135</f>
        <v>188</v>
      </c>
    </row>
    <row r="136" spans="1:10" x14ac:dyDescent="0.3">
      <c r="A136" t="s">
        <v>877</v>
      </c>
      <c r="B136" t="s">
        <v>878</v>
      </c>
      <c r="C136" t="s">
        <v>385</v>
      </c>
      <c r="D136" t="s">
        <v>262</v>
      </c>
      <c r="E136" t="s">
        <v>599</v>
      </c>
      <c r="F136">
        <v>2</v>
      </c>
      <c r="G136">
        <v>155</v>
      </c>
      <c r="H136" t="str">
        <f>IF(VLOOKUP(C136,Customers!A:E,5,FALSE)&gt;=1000,"YES","NO")</f>
        <v>YES</v>
      </c>
      <c r="I136">
        <f t="shared" si="2"/>
        <v>77.5</v>
      </c>
      <c r="J136">
        <f>(I136 - VLOOKUP(E136,Desserts!A:D,4,FALSE)) * F136</f>
        <v>-5</v>
      </c>
    </row>
    <row r="137" spans="1:10" x14ac:dyDescent="0.3">
      <c r="A137" t="s">
        <v>879</v>
      </c>
      <c r="B137" t="s">
        <v>880</v>
      </c>
      <c r="C137" t="s">
        <v>353</v>
      </c>
      <c r="D137" t="s">
        <v>190</v>
      </c>
      <c r="E137" t="s">
        <v>605</v>
      </c>
      <c r="F137">
        <v>5</v>
      </c>
      <c r="G137">
        <v>146</v>
      </c>
      <c r="H137" t="str">
        <f>IF(VLOOKUP(C137,Customers!A:E,5,FALSE)&gt;=1000,"YES","NO")</f>
        <v>NO</v>
      </c>
      <c r="I137">
        <f t="shared" si="2"/>
        <v>146</v>
      </c>
      <c r="J137">
        <f>(I137 - VLOOKUP(E137,Desserts!A:D,4,FALSE)) * F137</f>
        <v>420</v>
      </c>
    </row>
    <row r="138" spans="1:10" x14ac:dyDescent="0.3">
      <c r="A138" t="s">
        <v>881</v>
      </c>
      <c r="B138" t="s">
        <v>882</v>
      </c>
      <c r="C138" t="s">
        <v>329</v>
      </c>
      <c r="D138" t="s">
        <v>295</v>
      </c>
      <c r="E138" t="s">
        <v>559</v>
      </c>
      <c r="F138">
        <v>5</v>
      </c>
      <c r="G138">
        <v>250</v>
      </c>
      <c r="H138" t="str">
        <f>IF(VLOOKUP(C138,Customers!A:E,5,FALSE)&gt;=1000,"YES","NO")</f>
        <v>YES</v>
      </c>
      <c r="I138">
        <f t="shared" si="2"/>
        <v>125</v>
      </c>
      <c r="J138">
        <f>(I138 - VLOOKUP(E138,Desserts!A:D,4,FALSE)) * F138</f>
        <v>350</v>
      </c>
    </row>
    <row r="139" spans="1:10" x14ac:dyDescent="0.3">
      <c r="A139" t="s">
        <v>883</v>
      </c>
      <c r="B139" t="s">
        <v>677</v>
      </c>
      <c r="C139" t="s">
        <v>383</v>
      </c>
      <c r="D139" t="s">
        <v>60</v>
      </c>
      <c r="E139" t="s">
        <v>549</v>
      </c>
      <c r="F139">
        <v>1</v>
      </c>
      <c r="G139">
        <v>248</v>
      </c>
      <c r="H139" t="str">
        <f>IF(VLOOKUP(C139,Customers!A:E,5,FALSE)&gt;=1000,"YES","NO")</f>
        <v>NO</v>
      </c>
      <c r="I139">
        <f t="shared" si="2"/>
        <v>248</v>
      </c>
      <c r="J139">
        <f>(I139 - VLOOKUP(E139,Desserts!A:D,4,FALSE)) * F139</f>
        <v>169</v>
      </c>
    </row>
    <row r="140" spans="1:10" x14ac:dyDescent="0.3">
      <c r="A140" t="s">
        <v>884</v>
      </c>
      <c r="B140" t="s">
        <v>802</v>
      </c>
      <c r="C140" t="s">
        <v>489</v>
      </c>
      <c r="D140" t="s">
        <v>40</v>
      </c>
      <c r="E140" t="s">
        <v>547</v>
      </c>
      <c r="F140">
        <v>1</v>
      </c>
      <c r="G140">
        <v>132</v>
      </c>
      <c r="H140" t="str">
        <f>IF(VLOOKUP(C140,Customers!A:E,5,FALSE)&gt;=1000,"YES","NO")</f>
        <v>NO</v>
      </c>
      <c r="I140">
        <f t="shared" si="2"/>
        <v>132</v>
      </c>
      <c r="J140">
        <f>(I140 - VLOOKUP(E140,Desserts!A:D,4,FALSE)) * F140</f>
        <v>82</v>
      </c>
    </row>
    <row r="141" spans="1:10" x14ac:dyDescent="0.3">
      <c r="A141" t="s">
        <v>885</v>
      </c>
      <c r="B141" t="s">
        <v>886</v>
      </c>
      <c r="C141" t="s">
        <v>471</v>
      </c>
      <c r="D141" t="s">
        <v>307</v>
      </c>
      <c r="E141" t="s">
        <v>541</v>
      </c>
      <c r="F141">
        <v>5</v>
      </c>
      <c r="G141">
        <v>108</v>
      </c>
      <c r="H141" t="str">
        <f>IF(VLOOKUP(C141,Customers!A:E,5,FALSE)&gt;=1000,"YES","NO")</f>
        <v>NO</v>
      </c>
      <c r="I141">
        <f t="shared" si="2"/>
        <v>108</v>
      </c>
      <c r="J141">
        <f>(I141 - VLOOKUP(E141,Desserts!A:D,4,FALSE)) * F141</f>
        <v>255</v>
      </c>
    </row>
    <row r="142" spans="1:10" x14ac:dyDescent="0.3">
      <c r="A142" t="s">
        <v>887</v>
      </c>
      <c r="B142" t="s">
        <v>888</v>
      </c>
      <c r="C142" t="s">
        <v>391</v>
      </c>
      <c r="D142" t="s">
        <v>82</v>
      </c>
      <c r="E142" t="s">
        <v>573</v>
      </c>
      <c r="F142">
        <v>1</v>
      </c>
      <c r="G142">
        <v>209</v>
      </c>
      <c r="H142" t="str">
        <f>IF(VLOOKUP(C142,Customers!A:E,5,FALSE)&gt;=1000,"YES","NO")</f>
        <v>YES</v>
      </c>
      <c r="I142">
        <f t="shared" si="2"/>
        <v>104.5</v>
      </c>
      <c r="J142">
        <f>(I142 - VLOOKUP(E142,Desserts!A:D,4,FALSE)) * F142</f>
        <v>54.5</v>
      </c>
    </row>
    <row r="143" spans="1:10" x14ac:dyDescent="0.3">
      <c r="A143" t="s">
        <v>889</v>
      </c>
      <c r="B143" t="s">
        <v>890</v>
      </c>
      <c r="C143" t="s">
        <v>473</v>
      </c>
      <c r="D143" t="s">
        <v>127</v>
      </c>
      <c r="E143" t="s">
        <v>555</v>
      </c>
      <c r="F143">
        <v>1</v>
      </c>
      <c r="G143">
        <v>236</v>
      </c>
      <c r="H143" t="str">
        <f>IF(VLOOKUP(C143,Customers!A:E,5,FALSE)&gt;=1000,"YES","NO")</f>
        <v>NO</v>
      </c>
      <c r="I143">
        <f t="shared" si="2"/>
        <v>236</v>
      </c>
      <c r="J143">
        <f>(I143 - VLOOKUP(E143,Desserts!A:D,4,FALSE)) * F143</f>
        <v>161</v>
      </c>
    </row>
    <row r="144" spans="1:10" x14ac:dyDescent="0.3">
      <c r="A144" t="s">
        <v>891</v>
      </c>
      <c r="B144" t="s">
        <v>892</v>
      </c>
      <c r="C144" t="s">
        <v>397</v>
      </c>
      <c r="D144" t="s">
        <v>280</v>
      </c>
      <c r="E144" t="s">
        <v>615</v>
      </c>
      <c r="F144">
        <v>5</v>
      </c>
      <c r="G144">
        <v>112</v>
      </c>
      <c r="H144" t="str">
        <f>IF(VLOOKUP(C144,Customers!A:E,5,FALSE)&gt;=1000,"YES","NO")</f>
        <v>NO</v>
      </c>
      <c r="I144">
        <f t="shared" si="2"/>
        <v>112</v>
      </c>
      <c r="J144">
        <f>(I144 - VLOOKUP(E144,Desserts!A:D,4,FALSE)) * F144</f>
        <v>350</v>
      </c>
    </row>
    <row r="145" spans="1:10" x14ac:dyDescent="0.3">
      <c r="A145" t="s">
        <v>893</v>
      </c>
      <c r="B145" t="s">
        <v>773</v>
      </c>
      <c r="C145" t="s">
        <v>425</v>
      </c>
      <c r="D145" t="s">
        <v>232</v>
      </c>
      <c r="E145" t="s">
        <v>553</v>
      </c>
      <c r="F145">
        <v>5</v>
      </c>
      <c r="G145">
        <v>162</v>
      </c>
      <c r="H145" t="str">
        <f>IF(VLOOKUP(C145,Customers!A:E,5,FALSE)&gt;=1000,"YES","NO")</f>
        <v>NO</v>
      </c>
      <c r="I145">
        <f t="shared" si="2"/>
        <v>162</v>
      </c>
      <c r="J145">
        <f>(I145 - VLOOKUP(E145,Desserts!A:D,4,FALSE)) * F145</f>
        <v>510</v>
      </c>
    </row>
    <row r="146" spans="1:10" x14ac:dyDescent="0.3">
      <c r="A146" t="s">
        <v>894</v>
      </c>
      <c r="B146" t="s">
        <v>895</v>
      </c>
      <c r="C146" t="s">
        <v>357</v>
      </c>
      <c r="D146" t="s">
        <v>133</v>
      </c>
      <c r="E146" t="s">
        <v>583</v>
      </c>
      <c r="F146">
        <v>1</v>
      </c>
      <c r="G146">
        <v>100</v>
      </c>
      <c r="H146" t="str">
        <f>IF(VLOOKUP(C146,Customers!A:E,5,FALSE)&gt;=1000,"YES","NO")</f>
        <v>NO</v>
      </c>
      <c r="I146">
        <f t="shared" si="2"/>
        <v>100</v>
      </c>
      <c r="J146">
        <f>(I146 - VLOOKUP(E146,Desserts!A:D,4,FALSE)) * F146</f>
        <v>17</v>
      </c>
    </row>
    <row r="147" spans="1:10" x14ac:dyDescent="0.3">
      <c r="A147" t="s">
        <v>896</v>
      </c>
      <c r="B147" t="s">
        <v>897</v>
      </c>
      <c r="C147" t="s">
        <v>503</v>
      </c>
      <c r="D147" t="s">
        <v>57</v>
      </c>
      <c r="E147" t="s">
        <v>563</v>
      </c>
      <c r="F147">
        <v>4</v>
      </c>
      <c r="G147">
        <v>232</v>
      </c>
      <c r="H147" t="str">
        <f>IF(VLOOKUP(C147,Customers!A:E,5,FALSE)&gt;=1000,"YES","NO")</f>
        <v>NO</v>
      </c>
      <c r="I147">
        <f t="shared" si="2"/>
        <v>232</v>
      </c>
      <c r="J147">
        <f>(I147 - VLOOKUP(E147,Desserts!A:D,4,FALSE)) * F147</f>
        <v>668</v>
      </c>
    </row>
    <row r="148" spans="1:10" x14ac:dyDescent="0.3">
      <c r="A148" t="s">
        <v>898</v>
      </c>
      <c r="B148" t="s">
        <v>899</v>
      </c>
      <c r="C148" t="s">
        <v>413</v>
      </c>
      <c r="D148" t="s">
        <v>178</v>
      </c>
      <c r="E148" t="s">
        <v>521</v>
      </c>
      <c r="F148">
        <v>2</v>
      </c>
      <c r="G148">
        <v>117</v>
      </c>
      <c r="H148" t="str">
        <f>IF(VLOOKUP(C148,Customers!A:E,5,FALSE)&gt;=1000,"YES","NO")</f>
        <v>YES</v>
      </c>
      <c r="I148">
        <f t="shared" si="2"/>
        <v>58.5</v>
      </c>
      <c r="J148">
        <f>(I148 - VLOOKUP(E148,Desserts!A:D,4,FALSE)) * F148</f>
        <v>-11</v>
      </c>
    </row>
    <row r="149" spans="1:10" x14ac:dyDescent="0.3">
      <c r="A149" t="s">
        <v>900</v>
      </c>
      <c r="B149" t="s">
        <v>901</v>
      </c>
      <c r="C149" t="s">
        <v>513</v>
      </c>
      <c r="D149" t="s">
        <v>178</v>
      </c>
      <c r="E149" t="s">
        <v>605</v>
      </c>
      <c r="F149">
        <v>2</v>
      </c>
      <c r="G149">
        <v>138</v>
      </c>
      <c r="H149" t="str">
        <f>IF(VLOOKUP(C149,Customers!A:E,5,FALSE)&gt;=1000,"YES","NO")</f>
        <v>YES</v>
      </c>
      <c r="I149">
        <f t="shared" si="2"/>
        <v>69</v>
      </c>
      <c r="J149">
        <f>(I149 - VLOOKUP(E149,Desserts!A:D,4,FALSE)) * F149</f>
        <v>14</v>
      </c>
    </row>
    <row r="150" spans="1:10" x14ac:dyDescent="0.3">
      <c r="A150" t="s">
        <v>902</v>
      </c>
      <c r="B150" t="s">
        <v>733</v>
      </c>
      <c r="C150" t="s">
        <v>377</v>
      </c>
      <c r="D150" t="s">
        <v>109</v>
      </c>
      <c r="E150" t="s">
        <v>549</v>
      </c>
      <c r="F150">
        <v>2</v>
      </c>
      <c r="G150">
        <v>178</v>
      </c>
      <c r="H150" t="str">
        <f>IF(VLOOKUP(C150,Customers!A:E,5,FALSE)&gt;=1000,"YES","NO")</f>
        <v>NO</v>
      </c>
      <c r="I150">
        <f t="shared" si="2"/>
        <v>178</v>
      </c>
      <c r="J150">
        <f>(I150 - VLOOKUP(E150,Desserts!A:D,4,FALSE)) * F150</f>
        <v>198</v>
      </c>
    </row>
    <row r="151" spans="1:10" x14ac:dyDescent="0.3">
      <c r="A151" t="s">
        <v>903</v>
      </c>
      <c r="B151" t="s">
        <v>904</v>
      </c>
      <c r="C151" t="s">
        <v>369</v>
      </c>
      <c r="D151" t="s">
        <v>27</v>
      </c>
      <c r="E151" t="s">
        <v>609</v>
      </c>
      <c r="F151">
        <v>1</v>
      </c>
      <c r="G151">
        <v>188</v>
      </c>
      <c r="H151" t="str">
        <f>IF(VLOOKUP(C151,Customers!A:E,5,FALSE)&gt;=1000,"YES","NO")</f>
        <v>YES</v>
      </c>
      <c r="I151">
        <f t="shared" si="2"/>
        <v>94</v>
      </c>
      <c r="J151">
        <f>(I151 - VLOOKUP(E151,Desserts!A:D,4,FALSE)) * F151</f>
        <v>30</v>
      </c>
    </row>
    <row r="152" spans="1:10" x14ac:dyDescent="0.3">
      <c r="A152" t="s">
        <v>905</v>
      </c>
      <c r="B152" t="s">
        <v>880</v>
      </c>
      <c r="C152" t="s">
        <v>437</v>
      </c>
      <c r="D152" t="s">
        <v>97</v>
      </c>
      <c r="E152" t="s">
        <v>595</v>
      </c>
      <c r="F152">
        <v>1</v>
      </c>
      <c r="G152">
        <v>150</v>
      </c>
      <c r="H152" t="str">
        <f>IF(VLOOKUP(C152,Customers!A:E,5,FALSE)&gt;=1000,"YES","NO")</f>
        <v>NO</v>
      </c>
      <c r="I152">
        <f t="shared" si="2"/>
        <v>150</v>
      </c>
      <c r="J152">
        <f>(I152 - VLOOKUP(E152,Desserts!A:D,4,FALSE)) * F152</f>
        <v>80</v>
      </c>
    </row>
    <row r="153" spans="1:10" x14ac:dyDescent="0.3">
      <c r="A153" t="s">
        <v>906</v>
      </c>
      <c r="B153" t="s">
        <v>733</v>
      </c>
      <c r="C153" t="s">
        <v>455</v>
      </c>
      <c r="D153" t="s">
        <v>211</v>
      </c>
      <c r="E153" t="s">
        <v>525</v>
      </c>
      <c r="F153">
        <v>3</v>
      </c>
      <c r="G153">
        <v>121</v>
      </c>
      <c r="H153" t="str">
        <f>IF(VLOOKUP(C153,Customers!A:E,5,FALSE)&gt;=1000,"YES","NO")</f>
        <v>YES</v>
      </c>
      <c r="I153">
        <f t="shared" si="2"/>
        <v>60.5</v>
      </c>
      <c r="J153">
        <f>(I153 - VLOOKUP(E153,Desserts!A:D,4,FALSE)) * F153</f>
        <v>-70.5</v>
      </c>
    </row>
    <row r="154" spans="1:10" x14ac:dyDescent="0.3">
      <c r="A154" t="s">
        <v>907</v>
      </c>
      <c r="B154" t="s">
        <v>908</v>
      </c>
      <c r="C154" t="s">
        <v>405</v>
      </c>
      <c r="D154" t="s">
        <v>193</v>
      </c>
      <c r="E154" t="s">
        <v>567</v>
      </c>
      <c r="F154">
        <v>3</v>
      </c>
      <c r="G154">
        <v>162</v>
      </c>
      <c r="H154" t="str">
        <f>IF(VLOOKUP(C154,Customers!A:E,5,FALSE)&gt;=1000,"YES","NO")</f>
        <v>YES</v>
      </c>
      <c r="I154">
        <f t="shared" si="2"/>
        <v>81</v>
      </c>
      <c r="J154">
        <f>(I154 - VLOOKUP(E154,Desserts!A:D,4,FALSE)) * F154</f>
        <v>75</v>
      </c>
    </row>
    <row r="155" spans="1:10" x14ac:dyDescent="0.3">
      <c r="A155" t="s">
        <v>909</v>
      </c>
      <c r="B155" t="s">
        <v>910</v>
      </c>
      <c r="C155" t="s">
        <v>341</v>
      </c>
      <c r="D155" t="s">
        <v>265</v>
      </c>
      <c r="E155" t="s">
        <v>557</v>
      </c>
      <c r="F155">
        <v>5</v>
      </c>
      <c r="G155">
        <v>169</v>
      </c>
      <c r="H155" t="str">
        <f>IF(VLOOKUP(C155,Customers!A:E,5,FALSE)&gt;=1000,"YES","NO")</f>
        <v>YES</v>
      </c>
      <c r="I155">
        <f t="shared" si="2"/>
        <v>84.5</v>
      </c>
      <c r="J155">
        <f>(I155 - VLOOKUP(E155,Desserts!A:D,4,FALSE)) * F155</f>
        <v>2.5</v>
      </c>
    </row>
    <row r="156" spans="1:10" x14ac:dyDescent="0.3">
      <c r="A156" t="s">
        <v>911</v>
      </c>
      <c r="B156" t="s">
        <v>630</v>
      </c>
      <c r="C156" t="s">
        <v>339</v>
      </c>
      <c r="D156" t="s">
        <v>136</v>
      </c>
      <c r="E156" t="s">
        <v>569</v>
      </c>
      <c r="F156">
        <v>5</v>
      </c>
      <c r="G156">
        <v>219</v>
      </c>
      <c r="H156" t="str">
        <f>IF(VLOOKUP(C156,Customers!A:E,5,FALSE)&gt;=1000,"YES","NO")</f>
        <v>NO</v>
      </c>
      <c r="I156">
        <f t="shared" si="2"/>
        <v>219</v>
      </c>
      <c r="J156">
        <f>(I156 - VLOOKUP(E156,Desserts!A:D,4,FALSE)) * F156</f>
        <v>710</v>
      </c>
    </row>
    <row r="157" spans="1:10" x14ac:dyDescent="0.3">
      <c r="A157" t="s">
        <v>912</v>
      </c>
      <c r="B157" t="s">
        <v>913</v>
      </c>
      <c r="C157" t="s">
        <v>331</v>
      </c>
      <c r="D157" t="s">
        <v>118</v>
      </c>
      <c r="E157" t="s">
        <v>527</v>
      </c>
      <c r="F157">
        <v>5</v>
      </c>
      <c r="G157">
        <v>133</v>
      </c>
      <c r="H157" t="str">
        <f>IF(VLOOKUP(C157,Customers!A:E,5,FALSE)&gt;=1000,"YES","NO")</f>
        <v>YES</v>
      </c>
      <c r="I157">
        <f t="shared" si="2"/>
        <v>66.5</v>
      </c>
      <c r="J157">
        <f>(I157 - VLOOKUP(E157,Desserts!A:D,4,FALSE)) * F157</f>
        <v>117.5</v>
      </c>
    </row>
    <row r="158" spans="1:10" x14ac:dyDescent="0.3">
      <c r="A158" t="s">
        <v>914</v>
      </c>
      <c r="B158" t="s">
        <v>915</v>
      </c>
      <c r="C158" t="s">
        <v>477</v>
      </c>
      <c r="D158" t="s">
        <v>247</v>
      </c>
      <c r="E158" t="s">
        <v>581</v>
      </c>
      <c r="F158">
        <v>4</v>
      </c>
      <c r="G158">
        <v>240</v>
      </c>
      <c r="H158" t="str">
        <f>IF(VLOOKUP(C158,Customers!A:E,5,FALSE)&gt;=1000,"YES","NO")</f>
        <v>YES</v>
      </c>
      <c r="I158">
        <f t="shared" si="2"/>
        <v>120</v>
      </c>
      <c r="J158">
        <f>(I158 - VLOOKUP(E158,Desserts!A:D,4,FALSE)) * F158</f>
        <v>124</v>
      </c>
    </row>
    <row r="159" spans="1:10" x14ac:dyDescent="0.3">
      <c r="A159" t="s">
        <v>916</v>
      </c>
      <c r="B159" t="s">
        <v>713</v>
      </c>
      <c r="C159" t="s">
        <v>405</v>
      </c>
      <c r="D159" t="s">
        <v>220</v>
      </c>
      <c r="E159" t="s">
        <v>613</v>
      </c>
      <c r="F159">
        <v>2</v>
      </c>
      <c r="G159">
        <v>203</v>
      </c>
      <c r="H159" t="str">
        <f>IF(VLOOKUP(C159,Customers!A:E,5,FALSE)&gt;=1000,"YES","NO")</f>
        <v>YES</v>
      </c>
      <c r="I159">
        <f t="shared" si="2"/>
        <v>101.5</v>
      </c>
      <c r="J159">
        <f>(I159 - VLOOKUP(E159,Desserts!A:D,4,FALSE)) * F159</f>
        <v>33</v>
      </c>
    </row>
    <row r="160" spans="1:10" x14ac:dyDescent="0.3">
      <c r="A160" t="s">
        <v>917</v>
      </c>
      <c r="B160" t="s">
        <v>747</v>
      </c>
      <c r="C160" t="s">
        <v>505</v>
      </c>
      <c r="D160" t="s">
        <v>142</v>
      </c>
      <c r="E160" t="s">
        <v>599</v>
      </c>
      <c r="F160">
        <v>5</v>
      </c>
      <c r="G160">
        <v>236</v>
      </c>
      <c r="H160" t="str">
        <f>IF(VLOOKUP(C160,Customers!A:E,5,FALSE)&gt;=1000,"YES","NO")</f>
        <v>YES</v>
      </c>
      <c r="I160">
        <f t="shared" si="2"/>
        <v>118</v>
      </c>
      <c r="J160">
        <f>(I160 - VLOOKUP(E160,Desserts!A:D,4,FALSE)) * F160</f>
        <v>190</v>
      </c>
    </row>
    <row r="161" spans="1:10" x14ac:dyDescent="0.3">
      <c r="A161" t="s">
        <v>918</v>
      </c>
      <c r="B161" t="s">
        <v>919</v>
      </c>
      <c r="C161" t="s">
        <v>375</v>
      </c>
      <c r="D161" t="s">
        <v>307</v>
      </c>
      <c r="E161" t="s">
        <v>581</v>
      </c>
      <c r="F161">
        <v>3</v>
      </c>
      <c r="G161">
        <v>154</v>
      </c>
      <c r="H161" t="str">
        <f>IF(VLOOKUP(C161,Customers!A:E,5,FALSE)&gt;=1000,"YES","NO")</f>
        <v>NO</v>
      </c>
      <c r="I161">
        <f t="shared" si="2"/>
        <v>154</v>
      </c>
      <c r="J161">
        <f>(I161 - VLOOKUP(E161,Desserts!A:D,4,FALSE)) * F161</f>
        <v>195</v>
      </c>
    </row>
    <row r="162" spans="1:10" x14ac:dyDescent="0.3">
      <c r="A162" t="s">
        <v>920</v>
      </c>
      <c r="B162" t="s">
        <v>921</v>
      </c>
      <c r="C162" t="s">
        <v>399</v>
      </c>
      <c r="D162" t="s">
        <v>238</v>
      </c>
      <c r="E162" t="s">
        <v>563</v>
      </c>
      <c r="F162">
        <v>2</v>
      </c>
      <c r="G162">
        <v>213</v>
      </c>
      <c r="H162" t="str">
        <f>IF(VLOOKUP(C162,Customers!A:E,5,FALSE)&gt;=1000,"YES","NO")</f>
        <v>YES</v>
      </c>
      <c r="I162">
        <f t="shared" si="2"/>
        <v>106.5</v>
      </c>
      <c r="J162">
        <f>(I162 - VLOOKUP(E162,Desserts!A:D,4,FALSE)) * F162</f>
        <v>83</v>
      </c>
    </row>
    <row r="163" spans="1:10" x14ac:dyDescent="0.3">
      <c r="A163" t="s">
        <v>922</v>
      </c>
      <c r="B163" t="s">
        <v>626</v>
      </c>
      <c r="C163" t="s">
        <v>431</v>
      </c>
      <c r="D163" t="s">
        <v>211</v>
      </c>
      <c r="E163" t="s">
        <v>569</v>
      </c>
      <c r="F163">
        <v>3</v>
      </c>
      <c r="G163">
        <v>136</v>
      </c>
      <c r="H163" t="str">
        <f>IF(VLOOKUP(C163,Customers!A:E,5,FALSE)&gt;=1000,"YES","NO")</f>
        <v>YES</v>
      </c>
      <c r="I163">
        <f t="shared" si="2"/>
        <v>68</v>
      </c>
      <c r="J163">
        <f>(I163 - VLOOKUP(E163,Desserts!A:D,4,FALSE)) * F163</f>
        <v>-27</v>
      </c>
    </row>
    <row r="164" spans="1:10" x14ac:dyDescent="0.3">
      <c r="A164" t="s">
        <v>923</v>
      </c>
      <c r="B164" t="s">
        <v>924</v>
      </c>
      <c r="C164" t="s">
        <v>455</v>
      </c>
      <c r="D164" t="s">
        <v>247</v>
      </c>
      <c r="E164" t="s">
        <v>611</v>
      </c>
      <c r="F164">
        <v>2</v>
      </c>
      <c r="G164">
        <v>174</v>
      </c>
      <c r="H164" t="str">
        <f>IF(VLOOKUP(C164,Customers!A:E,5,FALSE)&gt;=1000,"YES","NO")</f>
        <v>YES</v>
      </c>
      <c r="I164">
        <f t="shared" si="2"/>
        <v>87</v>
      </c>
      <c r="J164">
        <f>(I164 - VLOOKUP(E164,Desserts!A:D,4,FALSE)) * F164</f>
        <v>88</v>
      </c>
    </row>
    <row r="165" spans="1:10" x14ac:dyDescent="0.3">
      <c r="A165" t="s">
        <v>925</v>
      </c>
      <c r="B165" t="s">
        <v>739</v>
      </c>
      <c r="C165" t="s">
        <v>341</v>
      </c>
      <c r="D165" t="s">
        <v>88</v>
      </c>
      <c r="E165" t="s">
        <v>593</v>
      </c>
      <c r="F165">
        <v>1</v>
      </c>
      <c r="G165">
        <v>227</v>
      </c>
      <c r="H165" t="str">
        <f>IF(VLOOKUP(C165,Customers!A:E,5,FALSE)&gt;=1000,"YES","NO")</f>
        <v>YES</v>
      </c>
      <c r="I165">
        <f t="shared" si="2"/>
        <v>113.5</v>
      </c>
      <c r="J165">
        <f>(I165 - VLOOKUP(E165,Desserts!A:D,4,FALSE)) * F165</f>
        <v>59.5</v>
      </c>
    </row>
    <row r="166" spans="1:10" x14ac:dyDescent="0.3">
      <c r="A166" t="s">
        <v>926</v>
      </c>
      <c r="B166" t="s">
        <v>761</v>
      </c>
      <c r="C166" t="s">
        <v>371</v>
      </c>
      <c r="D166" t="s">
        <v>205</v>
      </c>
      <c r="E166" t="s">
        <v>549</v>
      </c>
      <c r="F166">
        <v>1</v>
      </c>
      <c r="G166">
        <v>216</v>
      </c>
      <c r="H166" t="str">
        <f>IF(VLOOKUP(C166,Customers!A:E,5,FALSE)&gt;=1000,"YES","NO")</f>
        <v>NO</v>
      </c>
      <c r="I166">
        <f t="shared" si="2"/>
        <v>216</v>
      </c>
      <c r="J166">
        <f>(I166 - VLOOKUP(E166,Desserts!A:D,4,FALSE)) * F166</f>
        <v>137</v>
      </c>
    </row>
    <row r="167" spans="1:10" x14ac:dyDescent="0.3">
      <c r="A167" t="s">
        <v>927</v>
      </c>
      <c r="B167" t="s">
        <v>928</v>
      </c>
      <c r="C167" t="s">
        <v>507</v>
      </c>
      <c r="D167" t="s">
        <v>289</v>
      </c>
      <c r="E167" t="s">
        <v>553</v>
      </c>
      <c r="F167">
        <v>2</v>
      </c>
      <c r="G167">
        <v>245</v>
      </c>
      <c r="H167" t="str">
        <f>IF(VLOOKUP(C167,Customers!A:E,5,FALSE)&gt;=1000,"YES","NO")</f>
        <v>NO</v>
      </c>
      <c r="I167">
        <f t="shared" si="2"/>
        <v>245</v>
      </c>
      <c r="J167">
        <f>(I167 - VLOOKUP(E167,Desserts!A:D,4,FALSE)) * F167</f>
        <v>370</v>
      </c>
    </row>
    <row r="168" spans="1:10" x14ac:dyDescent="0.3">
      <c r="A168" t="s">
        <v>929</v>
      </c>
      <c r="B168" t="s">
        <v>873</v>
      </c>
      <c r="C168" t="s">
        <v>443</v>
      </c>
      <c r="D168" t="s">
        <v>202</v>
      </c>
      <c r="E168" t="s">
        <v>533</v>
      </c>
      <c r="F168">
        <v>2</v>
      </c>
      <c r="G168">
        <v>236</v>
      </c>
      <c r="H168" t="str">
        <f>IF(VLOOKUP(C168,Customers!A:E,5,FALSE)&gt;=1000,"YES","NO")</f>
        <v>YES</v>
      </c>
      <c r="I168">
        <f t="shared" si="2"/>
        <v>118</v>
      </c>
      <c r="J168">
        <f>(I168 - VLOOKUP(E168,Desserts!A:D,4,FALSE)) * F168</f>
        <v>102</v>
      </c>
    </row>
    <row r="169" spans="1:10" x14ac:dyDescent="0.3">
      <c r="A169" t="s">
        <v>930</v>
      </c>
      <c r="B169" t="s">
        <v>749</v>
      </c>
      <c r="C169" t="s">
        <v>427</v>
      </c>
      <c r="D169" t="s">
        <v>286</v>
      </c>
      <c r="E169" t="s">
        <v>557</v>
      </c>
      <c r="F169">
        <v>5</v>
      </c>
      <c r="G169">
        <v>123</v>
      </c>
      <c r="H169" t="str">
        <f>IF(VLOOKUP(C169,Customers!A:E,5,FALSE)&gt;=1000,"YES","NO")</f>
        <v>NO</v>
      </c>
      <c r="I169">
        <f t="shared" si="2"/>
        <v>123</v>
      </c>
      <c r="J169">
        <f>(I169 - VLOOKUP(E169,Desserts!A:D,4,FALSE)) * F169</f>
        <v>195</v>
      </c>
    </row>
    <row r="170" spans="1:10" x14ac:dyDescent="0.3">
      <c r="A170" t="s">
        <v>931</v>
      </c>
      <c r="B170" t="s">
        <v>932</v>
      </c>
      <c r="C170" t="s">
        <v>321</v>
      </c>
      <c r="D170" t="s">
        <v>109</v>
      </c>
      <c r="E170" t="s">
        <v>547</v>
      </c>
      <c r="F170">
        <v>4</v>
      </c>
      <c r="G170">
        <v>105</v>
      </c>
      <c r="H170" t="str">
        <f>IF(VLOOKUP(C170,Customers!A:E,5,FALSE)&gt;=1000,"YES","NO")</f>
        <v>NO</v>
      </c>
      <c r="I170">
        <f t="shared" si="2"/>
        <v>105</v>
      </c>
      <c r="J170">
        <f>(I170 - VLOOKUP(E170,Desserts!A:D,4,FALSE)) * F170</f>
        <v>220</v>
      </c>
    </row>
    <row r="171" spans="1:10" x14ac:dyDescent="0.3">
      <c r="A171" t="s">
        <v>933</v>
      </c>
      <c r="B171" t="s">
        <v>659</v>
      </c>
      <c r="C171" t="s">
        <v>511</v>
      </c>
      <c r="D171" t="s">
        <v>57</v>
      </c>
      <c r="E171" t="s">
        <v>555</v>
      </c>
      <c r="F171">
        <v>2</v>
      </c>
      <c r="G171">
        <v>235</v>
      </c>
      <c r="H171" t="str">
        <f>IF(VLOOKUP(C171,Customers!A:E,5,FALSE)&gt;=1000,"YES","NO")</f>
        <v>YES</v>
      </c>
      <c r="I171">
        <f t="shared" si="2"/>
        <v>117.5</v>
      </c>
      <c r="J171">
        <f>(I171 - VLOOKUP(E171,Desserts!A:D,4,FALSE)) * F171</f>
        <v>85</v>
      </c>
    </row>
    <row r="172" spans="1:10" x14ac:dyDescent="0.3">
      <c r="A172" t="s">
        <v>934</v>
      </c>
      <c r="B172" t="s">
        <v>842</v>
      </c>
      <c r="C172" t="s">
        <v>393</v>
      </c>
      <c r="D172" t="s">
        <v>24</v>
      </c>
      <c r="E172" t="s">
        <v>561</v>
      </c>
      <c r="F172">
        <v>3</v>
      </c>
      <c r="G172">
        <v>212</v>
      </c>
      <c r="H172" t="str">
        <f>IF(VLOOKUP(C172,Customers!A:E,5,FALSE)&gt;=1000,"YES","NO")</f>
        <v>YES</v>
      </c>
      <c r="I172">
        <f t="shared" si="2"/>
        <v>106</v>
      </c>
      <c r="J172">
        <f>(I172 - VLOOKUP(E172,Desserts!A:D,4,FALSE)) * F172</f>
        <v>129</v>
      </c>
    </row>
    <row r="173" spans="1:10" x14ac:dyDescent="0.3">
      <c r="A173" t="s">
        <v>935</v>
      </c>
      <c r="B173" t="s">
        <v>936</v>
      </c>
      <c r="C173" t="s">
        <v>515</v>
      </c>
      <c r="D173" t="s">
        <v>154</v>
      </c>
      <c r="E173" t="s">
        <v>593</v>
      </c>
      <c r="F173">
        <v>2</v>
      </c>
      <c r="G173">
        <v>140</v>
      </c>
      <c r="H173" t="str">
        <f>IF(VLOOKUP(C173,Customers!A:E,5,FALSE)&gt;=1000,"YES","NO")</f>
        <v>YES</v>
      </c>
      <c r="I173">
        <f t="shared" si="2"/>
        <v>70</v>
      </c>
      <c r="J173">
        <f>(I173 - VLOOKUP(E173,Desserts!A:D,4,FALSE)) * F173</f>
        <v>32</v>
      </c>
    </row>
    <row r="174" spans="1:10" x14ac:dyDescent="0.3">
      <c r="A174" t="s">
        <v>937</v>
      </c>
      <c r="B174" t="s">
        <v>938</v>
      </c>
      <c r="C174" t="s">
        <v>507</v>
      </c>
      <c r="D174" t="s">
        <v>85</v>
      </c>
      <c r="E174" t="s">
        <v>521</v>
      </c>
      <c r="F174">
        <v>1</v>
      </c>
      <c r="G174">
        <v>186</v>
      </c>
      <c r="H174" t="str">
        <f>IF(VLOOKUP(C174,Customers!A:E,5,FALSE)&gt;=1000,"YES","NO")</f>
        <v>NO</v>
      </c>
      <c r="I174">
        <f t="shared" si="2"/>
        <v>186</v>
      </c>
      <c r="J174">
        <f>(I174 - VLOOKUP(E174,Desserts!A:D,4,FALSE)) * F174</f>
        <v>122</v>
      </c>
    </row>
    <row r="175" spans="1:10" x14ac:dyDescent="0.3">
      <c r="A175" t="s">
        <v>939</v>
      </c>
      <c r="B175" t="s">
        <v>940</v>
      </c>
      <c r="C175" t="s">
        <v>439</v>
      </c>
      <c r="D175" t="s">
        <v>166</v>
      </c>
      <c r="E175" t="s">
        <v>557</v>
      </c>
      <c r="F175">
        <v>1</v>
      </c>
      <c r="G175">
        <v>109</v>
      </c>
      <c r="H175" t="str">
        <f>IF(VLOOKUP(C175,Customers!A:E,5,FALSE)&gt;=1000,"YES","NO")</f>
        <v>YES</v>
      </c>
      <c r="I175">
        <f t="shared" si="2"/>
        <v>54.5</v>
      </c>
      <c r="J175">
        <f>(I175 - VLOOKUP(E175,Desserts!A:D,4,FALSE)) * F175</f>
        <v>-29.5</v>
      </c>
    </row>
    <row r="176" spans="1:10" x14ac:dyDescent="0.3">
      <c r="A176" t="s">
        <v>941</v>
      </c>
      <c r="B176" t="s">
        <v>942</v>
      </c>
      <c r="C176" t="s">
        <v>491</v>
      </c>
      <c r="D176" t="s">
        <v>151</v>
      </c>
      <c r="E176" t="s">
        <v>617</v>
      </c>
      <c r="F176">
        <v>2</v>
      </c>
      <c r="G176">
        <v>197</v>
      </c>
      <c r="H176" t="str">
        <f>IF(VLOOKUP(C176,Customers!A:E,5,FALSE)&gt;=1000,"YES","NO")</f>
        <v>NO</v>
      </c>
      <c r="I176">
        <f t="shared" si="2"/>
        <v>197</v>
      </c>
      <c r="J176">
        <f>(I176 - VLOOKUP(E176,Desserts!A:D,4,FALSE)) * F176</f>
        <v>312</v>
      </c>
    </row>
    <row r="177" spans="1:10" x14ac:dyDescent="0.3">
      <c r="A177" t="s">
        <v>943</v>
      </c>
      <c r="B177" t="s">
        <v>810</v>
      </c>
      <c r="C177" t="s">
        <v>391</v>
      </c>
      <c r="D177" t="s">
        <v>232</v>
      </c>
      <c r="E177" t="s">
        <v>531</v>
      </c>
      <c r="F177">
        <v>5</v>
      </c>
      <c r="G177">
        <v>193</v>
      </c>
      <c r="H177" t="str">
        <f>IF(VLOOKUP(C177,Customers!A:E,5,FALSE)&gt;=1000,"YES","NO")</f>
        <v>YES</v>
      </c>
      <c r="I177">
        <f t="shared" si="2"/>
        <v>96.5</v>
      </c>
      <c r="J177">
        <f>(I177 - VLOOKUP(E177,Desserts!A:D,4,FALSE)) * F177</f>
        <v>57.5</v>
      </c>
    </row>
    <row r="178" spans="1:10" x14ac:dyDescent="0.3">
      <c r="A178" t="s">
        <v>944</v>
      </c>
      <c r="B178" t="s">
        <v>773</v>
      </c>
      <c r="C178" t="s">
        <v>433</v>
      </c>
      <c r="D178" t="s">
        <v>214</v>
      </c>
      <c r="E178" t="s">
        <v>543</v>
      </c>
      <c r="F178">
        <v>4</v>
      </c>
      <c r="G178">
        <v>164</v>
      </c>
      <c r="H178" t="str">
        <f>IF(VLOOKUP(C178,Customers!A:E,5,FALSE)&gt;=1000,"YES","NO")</f>
        <v>YES</v>
      </c>
      <c r="I178">
        <f t="shared" si="2"/>
        <v>82</v>
      </c>
      <c r="J178">
        <f>(I178 - VLOOKUP(E178,Desserts!A:D,4,FALSE)) * F178</f>
        <v>36</v>
      </c>
    </row>
    <row r="179" spans="1:10" x14ac:dyDescent="0.3">
      <c r="A179" t="s">
        <v>945</v>
      </c>
      <c r="B179" t="s">
        <v>946</v>
      </c>
      <c r="C179" t="s">
        <v>401</v>
      </c>
      <c r="D179" t="s">
        <v>154</v>
      </c>
      <c r="E179" t="s">
        <v>533</v>
      </c>
      <c r="F179">
        <v>2</v>
      </c>
      <c r="G179">
        <v>129</v>
      </c>
      <c r="H179" t="str">
        <f>IF(VLOOKUP(C179,Customers!A:E,5,FALSE)&gt;=1000,"YES","NO")</f>
        <v>YES</v>
      </c>
      <c r="I179">
        <f t="shared" si="2"/>
        <v>64.5</v>
      </c>
      <c r="J179">
        <f>(I179 - VLOOKUP(E179,Desserts!A:D,4,FALSE)) * F179</f>
        <v>-5</v>
      </c>
    </row>
    <row r="180" spans="1:10" x14ac:dyDescent="0.3">
      <c r="A180" t="s">
        <v>947</v>
      </c>
      <c r="B180" t="s">
        <v>948</v>
      </c>
      <c r="C180" t="s">
        <v>497</v>
      </c>
      <c r="D180" t="s">
        <v>181</v>
      </c>
      <c r="E180" t="s">
        <v>601</v>
      </c>
      <c r="F180">
        <v>5</v>
      </c>
      <c r="G180">
        <v>208</v>
      </c>
      <c r="H180" t="str">
        <f>IF(VLOOKUP(C180,Customers!A:E,5,FALSE)&gt;=1000,"YES","NO")</f>
        <v>NO</v>
      </c>
      <c r="I180">
        <f t="shared" si="2"/>
        <v>208</v>
      </c>
      <c r="J180">
        <f>(I180 - VLOOKUP(E180,Desserts!A:D,4,FALSE)) * F180</f>
        <v>765</v>
      </c>
    </row>
    <row r="181" spans="1:10" x14ac:dyDescent="0.3">
      <c r="A181" t="s">
        <v>949</v>
      </c>
      <c r="B181" t="s">
        <v>950</v>
      </c>
      <c r="C181" t="s">
        <v>367</v>
      </c>
      <c r="D181" t="s">
        <v>178</v>
      </c>
      <c r="E181" t="s">
        <v>545</v>
      </c>
      <c r="F181">
        <v>3</v>
      </c>
      <c r="G181">
        <v>138</v>
      </c>
      <c r="H181" t="str">
        <f>IF(VLOOKUP(C181,Customers!A:E,5,FALSE)&gt;=1000,"YES","NO")</f>
        <v>NO</v>
      </c>
      <c r="I181">
        <f t="shared" si="2"/>
        <v>138</v>
      </c>
      <c r="J181">
        <f>(I181 - VLOOKUP(E181,Desserts!A:D,4,FALSE)) * F181</f>
        <v>279</v>
      </c>
    </row>
    <row r="182" spans="1:10" x14ac:dyDescent="0.3">
      <c r="A182" t="s">
        <v>951</v>
      </c>
      <c r="B182" t="s">
        <v>952</v>
      </c>
      <c r="C182" t="s">
        <v>481</v>
      </c>
      <c r="D182" t="s">
        <v>151</v>
      </c>
      <c r="E182" t="s">
        <v>577</v>
      </c>
      <c r="F182">
        <v>1</v>
      </c>
      <c r="G182">
        <v>240</v>
      </c>
      <c r="H182" t="str">
        <f>IF(VLOOKUP(C182,Customers!A:E,5,FALSE)&gt;=1000,"YES","NO")</f>
        <v>YES</v>
      </c>
      <c r="I182">
        <f t="shared" si="2"/>
        <v>120</v>
      </c>
      <c r="J182">
        <f>(I182 - VLOOKUP(E182,Desserts!A:D,4,FALSE)) * F182</f>
        <v>50</v>
      </c>
    </row>
    <row r="183" spans="1:10" x14ac:dyDescent="0.3">
      <c r="A183" t="s">
        <v>953</v>
      </c>
      <c r="B183" t="s">
        <v>713</v>
      </c>
      <c r="C183" t="s">
        <v>401</v>
      </c>
      <c r="D183" t="s">
        <v>157</v>
      </c>
      <c r="E183" t="s">
        <v>543</v>
      </c>
      <c r="F183">
        <v>5</v>
      </c>
      <c r="G183">
        <v>209</v>
      </c>
      <c r="H183" t="str">
        <f>IF(VLOOKUP(C183,Customers!A:E,5,FALSE)&gt;=1000,"YES","NO")</f>
        <v>YES</v>
      </c>
      <c r="I183">
        <f t="shared" si="2"/>
        <v>104.5</v>
      </c>
      <c r="J183">
        <f>(I183 - VLOOKUP(E183,Desserts!A:D,4,FALSE)) * F183</f>
        <v>157.5</v>
      </c>
    </row>
    <row r="184" spans="1:10" x14ac:dyDescent="0.3">
      <c r="A184" t="s">
        <v>954</v>
      </c>
      <c r="B184" t="s">
        <v>955</v>
      </c>
      <c r="C184" t="s">
        <v>439</v>
      </c>
      <c r="D184" t="s">
        <v>202</v>
      </c>
      <c r="E184" t="s">
        <v>547</v>
      </c>
      <c r="F184">
        <v>5</v>
      </c>
      <c r="G184">
        <v>122</v>
      </c>
      <c r="H184" t="str">
        <f>IF(VLOOKUP(C184,Customers!A:E,5,FALSE)&gt;=1000,"YES","NO")</f>
        <v>YES</v>
      </c>
      <c r="I184">
        <f t="shared" si="2"/>
        <v>61</v>
      </c>
      <c r="J184">
        <f>(I184 - VLOOKUP(E184,Desserts!A:D,4,FALSE)) * F184</f>
        <v>55</v>
      </c>
    </row>
    <row r="185" spans="1:10" x14ac:dyDescent="0.3">
      <c r="A185" t="s">
        <v>956</v>
      </c>
      <c r="B185" t="s">
        <v>957</v>
      </c>
      <c r="C185" t="s">
        <v>329</v>
      </c>
      <c r="D185" t="s">
        <v>130</v>
      </c>
      <c r="E185" t="s">
        <v>607</v>
      </c>
      <c r="F185">
        <v>2</v>
      </c>
      <c r="G185">
        <v>106</v>
      </c>
      <c r="H185" t="str">
        <f>IF(VLOOKUP(C185,Customers!A:E,5,FALSE)&gt;=1000,"YES","NO")</f>
        <v>YES</v>
      </c>
      <c r="I185">
        <f t="shared" si="2"/>
        <v>53</v>
      </c>
      <c r="J185">
        <f>(I185 - VLOOKUP(E185,Desserts!A:D,4,FALSE)) * F185</f>
        <v>-34</v>
      </c>
    </row>
    <row r="186" spans="1:10" x14ac:dyDescent="0.3">
      <c r="A186" t="s">
        <v>958</v>
      </c>
      <c r="B186" t="s">
        <v>959</v>
      </c>
      <c r="C186" t="s">
        <v>369</v>
      </c>
      <c r="D186" t="s">
        <v>72</v>
      </c>
      <c r="E186" t="s">
        <v>531</v>
      </c>
      <c r="F186">
        <v>5</v>
      </c>
      <c r="G186">
        <v>219</v>
      </c>
      <c r="H186" t="str">
        <f>IF(VLOOKUP(C186,Customers!A:E,5,FALSE)&gt;=1000,"YES","NO")</f>
        <v>YES</v>
      </c>
      <c r="I186">
        <f t="shared" si="2"/>
        <v>109.5</v>
      </c>
      <c r="J186">
        <f>(I186 - VLOOKUP(E186,Desserts!A:D,4,FALSE)) * F186</f>
        <v>122.5</v>
      </c>
    </row>
    <row r="187" spans="1:10" x14ac:dyDescent="0.3">
      <c r="A187" t="s">
        <v>960</v>
      </c>
      <c r="B187" t="s">
        <v>701</v>
      </c>
      <c r="C187" t="s">
        <v>435</v>
      </c>
      <c r="D187" t="s">
        <v>51</v>
      </c>
      <c r="E187" t="s">
        <v>543</v>
      </c>
      <c r="F187">
        <v>3</v>
      </c>
      <c r="G187">
        <v>130</v>
      </c>
      <c r="H187" t="str">
        <f>IF(VLOOKUP(C187,Customers!A:E,5,FALSE)&gt;=1000,"YES","NO")</f>
        <v>NO</v>
      </c>
      <c r="I187">
        <f t="shared" si="2"/>
        <v>130</v>
      </c>
      <c r="J187">
        <f>(I187 - VLOOKUP(E187,Desserts!A:D,4,FALSE)) * F187</f>
        <v>171</v>
      </c>
    </row>
    <row r="188" spans="1:10" x14ac:dyDescent="0.3">
      <c r="A188" t="s">
        <v>961</v>
      </c>
      <c r="B188" t="s">
        <v>962</v>
      </c>
      <c r="C188" t="s">
        <v>415</v>
      </c>
      <c r="D188" t="s">
        <v>148</v>
      </c>
      <c r="E188" t="s">
        <v>521</v>
      </c>
      <c r="F188">
        <v>4</v>
      </c>
      <c r="G188">
        <v>171</v>
      </c>
      <c r="H188" t="str">
        <f>IF(VLOOKUP(C188,Customers!A:E,5,FALSE)&gt;=1000,"YES","NO")</f>
        <v>YES</v>
      </c>
      <c r="I188">
        <f t="shared" si="2"/>
        <v>85.5</v>
      </c>
      <c r="J188">
        <f>(I188 - VLOOKUP(E188,Desserts!A:D,4,FALSE)) * F188</f>
        <v>86</v>
      </c>
    </row>
    <row r="189" spans="1:10" x14ac:dyDescent="0.3">
      <c r="A189" t="s">
        <v>963</v>
      </c>
      <c r="B189" t="s">
        <v>741</v>
      </c>
      <c r="C189" t="s">
        <v>379</v>
      </c>
      <c r="D189" t="s">
        <v>47</v>
      </c>
      <c r="E189" t="s">
        <v>555</v>
      </c>
      <c r="F189">
        <v>5</v>
      </c>
      <c r="G189">
        <v>233</v>
      </c>
      <c r="H189" t="str">
        <f>IF(VLOOKUP(C189,Customers!A:E,5,FALSE)&gt;=1000,"YES","NO")</f>
        <v>NO</v>
      </c>
      <c r="I189">
        <f t="shared" si="2"/>
        <v>233</v>
      </c>
      <c r="J189">
        <f>(I189 - VLOOKUP(E189,Desserts!A:D,4,FALSE)) * F189</f>
        <v>790</v>
      </c>
    </row>
    <row r="190" spans="1:10" x14ac:dyDescent="0.3">
      <c r="A190" t="s">
        <v>964</v>
      </c>
      <c r="B190" t="s">
        <v>965</v>
      </c>
      <c r="C190" t="s">
        <v>395</v>
      </c>
      <c r="D190" t="s">
        <v>63</v>
      </c>
      <c r="E190" t="s">
        <v>603</v>
      </c>
      <c r="F190">
        <v>3</v>
      </c>
      <c r="G190">
        <v>171</v>
      </c>
      <c r="H190" t="str">
        <f>IF(VLOOKUP(C190,Customers!A:E,5,FALSE)&gt;=1000,"YES","NO")</f>
        <v>NO</v>
      </c>
      <c r="I190">
        <f t="shared" si="2"/>
        <v>171</v>
      </c>
      <c r="J190">
        <f>(I190 - VLOOKUP(E190,Desserts!A:D,4,FALSE)) * F190</f>
        <v>246</v>
      </c>
    </row>
    <row r="191" spans="1:10" x14ac:dyDescent="0.3">
      <c r="A191" t="s">
        <v>966</v>
      </c>
      <c r="B191" t="s">
        <v>901</v>
      </c>
      <c r="C191" t="s">
        <v>403</v>
      </c>
      <c r="D191" t="s">
        <v>220</v>
      </c>
      <c r="E191" t="s">
        <v>593</v>
      </c>
      <c r="F191">
        <v>3</v>
      </c>
      <c r="G191">
        <v>137</v>
      </c>
      <c r="H191" t="str">
        <f>IF(VLOOKUP(C191,Customers!A:E,5,FALSE)&gt;=1000,"YES","NO")</f>
        <v>NO</v>
      </c>
      <c r="I191">
        <f t="shared" si="2"/>
        <v>137</v>
      </c>
      <c r="J191">
        <f>(I191 - VLOOKUP(E191,Desserts!A:D,4,FALSE)) * F191</f>
        <v>249</v>
      </c>
    </row>
    <row r="192" spans="1:10" x14ac:dyDescent="0.3">
      <c r="A192" t="s">
        <v>967</v>
      </c>
      <c r="B192" t="s">
        <v>968</v>
      </c>
      <c r="C192" t="s">
        <v>433</v>
      </c>
      <c r="D192" t="s">
        <v>178</v>
      </c>
      <c r="E192" t="s">
        <v>547</v>
      </c>
      <c r="F192">
        <v>1</v>
      </c>
      <c r="G192">
        <v>227</v>
      </c>
      <c r="H192" t="str">
        <f>IF(VLOOKUP(C192,Customers!A:E,5,FALSE)&gt;=1000,"YES","NO")</f>
        <v>YES</v>
      </c>
      <c r="I192">
        <f t="shared" si="2"/>
        <v>113.5</v>
      </c>
      <c r="J192">
        <f>(I192 - VLOOKUP(E192,Desserts!A:D,4,FALSE)) * F192</f>
        <v>63.5</v>
      </c>
    </row>
    <row r="193" spans="1:10" x14ac:dyDescent="0.3">
      <c r="A193" t="s">
        <v>969</v>
      </c>
      <c r="B193" t="s">
        <v>970</v>
      </c>
      <c r="C193" t="s">
        <v>451</v>
      </c>
      <c r="D193" t="s">
        <v>166</v>
      </c>
      <c r="E193" t="s">
        <v>569</v>
      </c>
      <c r="F193">
        <v>2</v>
      </c>
      <c r="G193">
        <v>146</v>
      </c>
      <c r="H193" t="str">
        <f>IF(VLOOKUP(C193,Customers!A:E,5,FALSE)&gt;=1000,"YES","NO")</f>
        <v>NO</v>
      </c>
      <c r="I193">
        <f t="shared" si="2"/>
        <v>146</v>
      </c>
      <c r="J193">
        <f>(I193 - VLOOKUP(E193,Desserts!A:D,4,FALSE)) * F193</f>
        <v>138</v>
      </c>
    </row>
    <row r="194" spans="1:10" x14ac:dyDescent="0.3">
      <c r="A194" t="s">
        <v>971</v>
      </c>
      <c r="B194" t="s">
        <v>972</v>
      </c>
      <c r="C194" t="s">
        <v>373</v>
      </c>
      <c r="D194" t="s">
        <v>184</v>
      </c>
      <c r="E194" t="s">
        <v>547</v>
      </c>
      <c r="F194">
        <v>2</v>
      </c>
      <c r="G194">
        <v>189</v>
      </c>
      <c r="H194" t="str">
        <f>IF(VLOOKUP(C194,Customers!A:E,5,FALSE)&gt;=1000,"YES","NO")</f>
        <v>NO</v>
      </c>
      <c r="I194">
        <f t="shared" ref="I194:I257" si="3">IF(H194="YES",G194*0.5,G194)</f>
        <v>189</v>
      </c>
      <c r="J194">
        <f>(I194 - VLOOKUP(E194,Desserts!A:D,4,FALSE)) * F194</f>
        <v>278</v>
      </c>
    </row>
    <row r="195" spans="1:10" x14ac:dyDescent="0.3">
      <c r="A195" t="s">
        <v>973</v>
      </c>
      <c r="B195" t="s">
        <v>974</v>
      </c>
      <c r="C195" t="s">
        <v>509</v>
      </c>
      <c r="D195" t="s">
        <v>66</v>
      </c>
      <c r="E195" t="s">
        <v>563</v>
      </c>
      <c r="F195">
        <v>3</v>
      </c>
      <c r="G195">
        <v>240</v>
      </c>
      <c r="H195" t="str">
        <f>IF(VLOOKUP(C195,Customers!A:E,5,FALSE)&gt;=1000,"YES","NO")</f>
        <v>NO</v>
      </c>
      <c r="I195">
        <f t="shared" si="3"/>
        <v>240</v>
      </c>
      <c r="J195">
        <f>(I195 - VLOOKUP(E195,Desserts!A:D,4,FALSE)) * F195</f>
        <v>525</v>
      </c>
    </row>
    <row r="196" spans="1:10" x14ac:dyDescent="0.3">
      <c r="A196" t="s">
        <v>975</v>
      </c>
      <c r="B196" t="s">
        <v>976</v>
      </c>
      <c r="C196" t="s">
        <v>493</v>
      </c>
      <c r="D196" t="s">
        <v>235</v>
      </c>
      <c r="E196" t="s">
        <v>593</v>
      </c>
      <c r="F196">
        <v>5</v>
      </c>
      <c r="G196">
        <v>127</v>
      </c>
      <c r="H196" t="str">
        <f>IF(VLOOKUP(C196,Customers!A:E,5,FALSE)&gt;=1000,"YES","NO")</f>
        <v>NO</v>
      </c>
      <c r="I196">
        <f t="shared" si="3"/>
        <v>127</v>
      </c>
      <c r="J196">
        <f>(I196 - VLOOKUP(E196,Desserts!A:D,4,FALSE)) * F196</f>
        <v>365</v>
      </c>
    </row>
    <row r="197" spans="1:10" x14ac:dyDescent="0.3">
      <c r="A197" t="s">
        <v>977</v>
      </c>
      <c r="B197" t="s">
        <v>978</v>
      </c>
      <c r="C197" t="s">
        <v>347</v>
      </c>
      <c r="D197" t="s">
        <v>280</v>
      </c>
      <c r="E197" t="s">
        <v>581</v>
      </c>
      <c r="F197">
        <v>5</v>
      </c>
      <c r="G197">
        <v>215</v>
      </c>
      <c r="H197" t="str">
        <f>IF(VLOOKUP(C197,Customers!A:E,5,FALSE)&gt;=1000,"YES","NO")</f>
        <v>YES</v>
      </c>
      <c r="I197">
        <f t="shared" si="3"/>
        <v>107.5</v>
      </c>
      <c r="J197">
        <f>(I197 - VLOOKUP(E197,Desserts!A:D,4,FALSE)) * F197</f>
        <v>92.5</v>
      </c>
    </row>
    <row r="198" spans="1:10" x14ac:dyDescent="0.3">
      <c r="A198" t="s">
        <v>979</v>
      </c>
      <c r="B198" t="s">
        <v>796</v>
      </c>
      <c r="C198" t="s">
        <v>459</v>
      </c>
      <c r="D198" t="s">
        <v>214</v>
      </c>
      <c r="E198" t="s">
        <v>563</v>
      </c>
      <c r="F198">
        <v>3</v>
      </c>
      <c r="G198">
        <v>224</v>
      </c>
      <c r="H198" t="str">
        <f>IF(VLOOKUP(C198,Customers!A:E,5,FALSE)&gt;=1000,"YES","NO")</f>
        <v>NO</v>
      </c>
      <c r="I198">
        <f t="shared" si="3"/>
        <v>224</v>
      </c>
      <c r="J198">
        <f>(I198 - VLOOKUP(E198,Desserts!A:D,4,FALSE)) * F198</f>
        <v>477</v>
      </c>
    </row>
    <row r="199" spans="1:10" x14ac:dyDescent="0.3">
      <c r="A199" t="s">
        <v>980</v>
      </c>
      <c r="B199" t="s">
        <v>981</v>
      </c>
      <c r="C199" t="s">
        <v>389</v>
      </c>
      <c r="D199" t="s">
        <v>30</v>
      </c>
      <c r="E199" t="s">
        <v>589</v>
      </c>
      <c r="F199">
        <v>5</v>
      </c>
      <c r="G199">
        <v>135</v>
      </c>
      <c r="H199" t="str">
        <f>IF(VLOOKUP(C199,Customers!A:E,5,FALSE)&gt;=1000,"YES","NO")</f>
        <v>YES</v>
      </c>
      <c r="I199">
        <f t="shared" si="3"/>
        <v>67.5</v>
      </c>
      <c r="J199">
        <f>(I199 - VLOOKUP(E199,Desserts!A:D,4,FALSE)) * F199</f>
        <v>-17.5</v>
      </c>
    </row>
    <row r="200" spans="1:10" x14ac:dyDescent="0.3">
      <c r="A200" t="s">
        <v>982</v>
      </c>
      <c r="B200" t="s">
        <v>634</v>
      </c>
      <c r="C200" t="s">
        <v>323</v>
      </c>
      <c r="D200" t="s">
        <v>54</v>
      </c>
      <c r="E200" t="s">
        <v>577</v>
      </c>
      <c r="F200">
        <v>3</v>
      </c>
      <c r="G200">
        <v>180</v>
      </c>
      <c r="H200" t="str">
        <f>IF(VLOOKUP(C200,Customers!A:E,5,FALSE)&gt;=1000,"YES","NO")</f>
        <v>NO</v>
      </c>
      <c r="I200">
        <f t="shared" si="3"/>
        <v>180</v>
      </c>
      <c r="J200">
        <f>(I200 - VLOOKUP(E200,Desserts!A:D,4,FALSE)) * F200</f>
        <v>330</v>
      </c>
    </row>
    <row r="201" spans="1:10" x14ac:dyDescent="0.3">
      <c r="A201" t="s">
        <v>983</v>
      </c>
      <c r="B201" t="s">
        <v>878</v>
      </c>
      <c r="C201" t="s">
        <v>329</v>
      </c>
      <c r="D201" t="s">
        <v>256</v>
      </c>
      <c r="E201" t="s">
        <v>529</v>
      </c>
      <c r="F201">
        <v>5</v>
      </c>
      <c r="G201">
        <v>211</v>
      </c>
      <c r="H201" t="str">
        <f>IF(VLOOKUP(C201,Customers!A:E,5,FALSE)&gt;=1000,"YES","NO")</f>
        <v>YES</v>
      </c>
      <c r="I201">
        <f t="shared" si="3"/>
        <v>105.5</v>
      </c>
      <c r="J201">
        <f>(I201 - VLOOKUP(E201,Desserts!A:D,4,FALSE)) * F201</f>
        <v>187.5</v>
      </c>
    </row>
    <row r="202" spans="1:10" x14ac:dyDescent="0.3">
      <c r="A202" t="s">
        <v>984</v>
      </c>
      <c r="B202" t="s">
        <v>985</v>
      </c>
      <c r="C202" t="s">
        <v>405</v>
      </c>
      <c r="D202" t="s">
        <v>262</v>
      </c>
      <c r="E202" t="s">
        <v>589</v>
      </c>
      <c r="F202">
        <v>4</v>
      </c>
      <c r="G202">
        <v>153</v>
      </c>
      <c r="H202" t="str">
        <f>IF(VLOOKUP(C202,Customers!A:E,5,FALSE)&gt;=1000,"YES","NO")</f>
        <v>YES</v>
      </c>
      <c r="I202">
        <f t="shared" si="3"/>
        <v>76.5</v>
      </c>
      <c r="J202">
        <f>(I202 - VLOOKUP(E202,Desserts!A:D,4,FALSE)) * F202</f>
        <v>22</v>
      </c>
    </row>
    <row r="203" spans="1:10" x14ac:dyDescent="0.3">
      <c r="A203" t="s">
        <v>986</v>
      </c>
      <c r="B203" t="s">
        <v>834</v>
      </c>
      <c r="C203" t="s">
        <v>349</v>
      </c>
      <c r="D203" t="s">
        <v>220</v>
      </c>
      <c r="E203" t="s">
        <v>591</v>
      </c>
      <c r="F203">
        <v>1</v>
      </c>
      <c r="G203">
        <v>250</v>
      </c>
      <c r="H203" t="str">
        <f>IF(VLOOKUP(C203,Customers!A:E,5,FALSE)&gt;=1000,"YES","NO")</f>
        <v>NO</v>
      </c>
      <c r="I203">
        <f t="shared" si="3"/>
        <v>250</v>
      </c>
      <c r="J203">
        <f>(I203 - VLOOKUP(E203,Desserts!A:D,4,FALSE)) * F203</f>
        <v>188</v>
      </c>
    </row>
    <row r="204" spans="1:10" x14ac:dyDescent="0.3">
      <c r="A204" t="s">
        <v>987</v>
      </c>
      <c r="B204" t="s">
        <v>988</v>
      </c>
      <c r="C204" t="s">
        <v>437</v>
      </c>
      <c r="D204" t="s">
        <v>109</v>
      </c>
      <c r="E204" t="s">
        <v>551</v>
      </c>
      <c r="F204">
        <v>1</v>
      </c>
      <c r="G204">
        <v>112</v>
      </c>
      <c r="H204" t="str">
        <f>IF(VLOOKUP(C204,Customers!A:E,5,FALSE)&gt;=1000,"YES","NO")</f>
        <v>NO</v>
      </c>
      <c r="I204">
        <f t="shared" si="3"/>
        <v>112</v>
      </c>
      <c r="J204">
        <f>(I204 - VLOOKUP(E204,Desserts!A:D,4,FALSE)) * F204</f>
        <v>43</v>
      </c>
    </row>
    <row r="205" spans="1:10" x14ac:dyDescent="0.3">
      <c r="A205" t="s">
        <v>989</v>
      </c>
      <c r="B205" t="s">
        <v>990</v>
      </c>
      <c r="C205" t="s">
        <v>413</v>
      </c>
      <c r="D205" t="s">
        <v>88</v>
      </c>
      <c r="E205" t="s">
        <v>563</v>
      </c>
      <c r="F205">
        <v>2</v>
      </c>
      <c r="G205">
        <v>138</v>
      </c>
      <c r="H205" t="str">
        <f>IF(VLOOKUP(C205,Customers!A:E,5,FALSE)&gt;=1000,"YES","NO")</f>
        <v>YES</v>
      </c>
      <c r="I205">
        <f t="shared" si="3"/>
        <v>69</v>
      </c>
      <c r="J205">
        <f>(I205 - VLOOKUP(E205,Desserts!A:D,4,FALSE)) * F205</f>
        <v>8</v>
      </c>
    </row>
    <row r="206" spans="1:10" x14ac:dyDescent="0.3">
      <c r="A206" t="s">
        <v>991</v>
      </c>
      <c r="B206" t="s">
        <v>992</v>
      </c>
      <c r="C206" t="s">
        <v>507</v>
      </c>
      <c r="D206" t="s">
        <v>115</v>
      </c>
      <c r="E206" t="s">
        <v>589</v>
      </c>
      <c r="F206">
        <v>3</v>
      </c>
      <c r="G206">
        <v>128</v>
      </c>
      <c r="H206" t="str">
        <f>IF(VLOOKUP(C206,Customers!A:E,5,FALSE)&gt;=1000,"YES","NO")</f>
        <v>NO</v>
      </c>
      <c r="I206">
        <f t="shared" si="3"/>
        <v>128</v>
      </c>
      <c r="J206">
        <f>(I206 - VLOOKUP(E206,Desserts!A:D,4,FALSE)) * F206</f>
        <v>171</v>
      </c>
    </row>
    <row r="207" spans="1:10" x14ac:dyDescent="0.3">
      <c r="A207" t="s">
        <v>993</v>
      </c>
      <c r="B207" t="s">
        <v>994</v>
      </c>
      <c r="C207" t="s">
        <v>391</v>
      </c>
      <c r="D207" t="s">
        <v>133</v>
      </c>
      <c r="E207" t="s">
        <v>521</v>
      </c>
      <c r="F207">
        <v>3</v>
      </c>
      <c r="G207">
        <v>147</v>
      </c>
      <c r="H207" t="str">
        <f>IF(VLOOKUP(C207,Customers!A:E,5,FALSE)&gt;=1000,"YES","NO")</f>
        <v>YES</v>
      </c>
      <c r="I207">
        <f t="shared" si="3"/>
        <v>73.5</v>
      </c>
      <c r="J207">
        <f>(I207 - VLOOKUP(E207,Desserts!A:D,4,FALSE)) * F207</f>
        <v>28.5</v>
      </c>
    </row>
    <row r="208" spans="1:10" x14ac:dyDescent="0.3">
      <c r="A208" t="s">
        <v>995</v>
      </c>
      <c r="B208" t="s">
        <v>996</v>
      </c>
      <c r="C208" t="s">
        <v>449</v>
      </c>
      <c r="D208" t="s">
        <v>250</v>
      </c>
      <c r="E208" t="s">
        <v>569</v>
      </c>
      <c r="F208">
        <v>2</v>
      </c>
      <c r="G208">
        <v>188</v>
      </c>
      <c r="H208" t="str">
        <f>IF(VLOOKUP(C208,Customers!A:E,5,FALSE)&gt;=1000,"YES","NO")</f>
        <v>YES</v>
      </c>
      <c r="I208">
        <f t="shared" si="3"/>
        <v>94</v>
      </c>
      <c r="J208">
        <f>(I208 - VLOOKUP(E208,Desserts!A:D,4,FALSE)) * F208</f>
        <v>34</v>
      </c>
    </row>
    <row r="209" spans="1:10" x14ac:dyDescent="0.3">
      <c r="A209" t="s">
        <v>997</v>
      </c>
      <c r="B209" t="s">
        <v>998</v>
      </c>
      <c r="C209" t="s">
        <v>515</v>
      </c>
      <c r="D209" t="s">
        <v>175</v>
      </c>
      <c r="E209" t="s">
        <v>527</v>
      </c>
      <c r="F209">
        <v>3</v>
      </c>
      <c r="G209">
        <v>223</v>
      </c>
      <c r="H209" t="str">
        <f>IF(VLOOKUP(C209,Customers!A:E,5,FALSE)&gt;=1000,"YES","NO")</f>
        <v>YES</v>
      </c>
      <c r="I209">
        <f t="shared" si="3"/>
        <v>111.5</v>
      </c>
      <c r="J209">
        <f>(I209 - VLOOKUP(E209,Desserts!A:D,4,FALSE)) * F209</f>
        <v>205.5</v>
      </c>
    </row>
    <row r="210" spans="1:10" x14ac:dyDescent="0.3">
      <c r="A210" t="s">
        <v>999</v>
      </c>
      <c r="B210" t="s">
        <v>1000</v>
      </c>
      <c r="C210" t="s">
        <v>329</v>
      </c>
      <c r="D210" t="s">
        <v>190</v>
      </c>
      <c r="E210" t="s">
        <v>591</v>
      </c>
      <c r="F210">
        <v>3</v>
      </c>
      <c r="G210">
        <v>145</v>
      </c>
      <c r="H210" t="str">
        <f>IF(VLOOKUP(C210,Customers!A:E,5,FALSE)&gt;=1000,"YES","NO")</f>
        <v>YES</v>
      </c>
      <c r="I210">
        <f t="shared" si="3"/>
        <v>72.5</v>
      </c>
      <c r="J210">
        <f>(I210 - VLOOKUP(E210,Desserts!A:D,4,FALSE)) * F210</f>
        <v>31.5</v>
      </c>
    </row>
    <row r="211" spans="1:10" x14ac:dyDescent="0.3">
      <c r="A211" t="s">
        <v>1001</v>
      </c>
      <c r="B211" t="s">
        <v>683</v>
      </c>
      <c r="C211" t="s">
        <v>437</v>
      </c>
      <c r="D211" t="s">
        <v>60</v>
      </c>
      <c r="E211" t="s">
        <v>527</v>
      </c>
      <c r="F211">
        <v>1</v>
      </c>
      <c r="G211">
        <v>128</v>
      </c>
      <c r="H211" t="str">
        <f>IF(VLOOKUP(C211,Customers!A:E,5,FALSE)&gt;=1000,"YES","NO")</f>
        <v>NO</v>
      </c>
      <c r="I211">
        <f t="shared" si="3"/>
        <v>128</v>
      </c>
      <c r="J211">
        <f>(I211 - VLOOKUP(E211,Desserts!A:D,4,FALSE)) * F211</f>
        <v>85</v>
      </c>
    </row>
    <row r="212" spans="1:10" x14ac:dyDescent="0.3">
      <c r="A212" t="s">
        <v>1002</v>
      </c>
      <c r="B212" t="s">
        <v>655</v>
      </c>
      <c r="C212" t="s">
        <v>323</v>
      </c>
      <c r="D212" t="s">
        <v>40</v>
      </c>
      <c r="E212" t="s">
        <v>533</v>
      </c>
      <c r="F212">
        <v>3</v>
      </c>
      <c r="G212">
        <v>108</v>
      </c>
      <c r="H212" t="str">
        <f>IF(VLOOKUP(C212,Customers!A:E,5,FALSE)&gt;=1000,"YES","NO")</f>
        <v>NO</v>
      </c>
      <c r="I212">
        <f t="shared" si="3"/>
        <v>108</v>
      </c>
      <c r="J212">
        <f>(I212 - VLOOKUP(E212,Desserts!A:D,4,FALSE)) * F212</f>
        <v>123</v>
      </c>
    </row>
    <row r="213" spans="1:10" x14ac:dyDescent="0.3">
      <c r="A213" t="s">
        <v>1003</v>
      </c>
      <c r="B213" t="s">
        <v>1004</v>
      </c>
      <c r="C213" t="s">
        <v>335</v>
      </c>
      <c r="D213" t="s">
        <v>214</v>
      </c>
      <c r="E213" t="s">
        <v>599</v>
      </c>
      <c r="F213">
        <v>3</v>
      </c>
      <c r="G213">
        <v>143</v>
      </c>
      <c r="H213" t="str">
        <f>IF(VLOOKUP(C213,Customers!A:E,5,FALSE)&gt;=1000,"YES","NO")</f>
        <v>NO</v>
      </c>
      <c r="I213">
        <f t="shared" si="3"/>
        <v>143</v>
      </c>
      <c r="J213">
        <f>(I213 - VLOOKUP(E213,Desserts!A:D,4,FALSE)) * F213</f>
        <v>189</v>
      </c>
    </row>
    <row r="214" spans="1:10" x14ac:dyDescent="0.3">
      <c r="A214" t="s">
        <v>1005</v>
      </c>
      <c r="B214" t="s">
        <v>1006</v>
      </c>
      <c r="C214" t="s">
        <v>487</v>
      </c>
      <c r="D214" t="s">
        <v>142</v>
      </c>
      <c r="E214" t="s">
        <v>549</v>
      </c>
      <c r="F214">
        <v>1</v>
      </c>
      <c r="G214">
        <v>231</v>
      </c>
      <c r="H214" t="str">
        <f>IF(VLOOKUP(C214,Customers!A:E,5,FALSE)&gt;=1000,"YES","NO")</f>
        <v>NO</v>
      </c>
      <c r="I214">
        <f t="shared" si="3"/>
        <v>231</v>
      </c>
      <c r="J214">
        <f>(I214 - VLOOKUP(E214,Desserts!A:D,4,FALSE)) * F214</f>
        <v>152</v>
      </c>
    </row>
    <row r="215" spans="1:10" x14ac:dyDescent="0.3">
      <c r="A215" t="s">
        <v>1007</v>
      </c>
      <c r="B215" t="s">
        <v>1008</v>
      </c>
      <c r="C215" t="s">
        <v>343</v>
      </c>
      <c r="D215" t="s">
        <v>43</v>
      </c>
      <c r="E215" t="s">
        <v>585</v>
      </c>
      <c r="F215">
        <v>2</v>
      </c>
      <c r="G215">
        <v>232</v>
      </c>
      <c r="H215" t="str">
        <f>IF(VLOOKUP(C215,Customers!A:E,5,FALSE)&gt;=1000,"YES","NO")</f>
        <v>YES</v>
      </c>
      <c r="I215">
        <f t="shared" si="3"/>
        <v>116</v>
      </c>
      <c r="J215">
        <f>(I215 - VLOOKUP(E215,Desserts!A:D,4,FALSE)) * F215</f>
        <v>138</v>
      </c>
    </row>
    <row r="216" spans="1:10" x14ac:dyDescent="0.3">
      <c r="A216" t="s">
        <v>1009</v>
      </c>
      <c r="B216" t="s">
        <v>646</v>
      </c>
      <c r="C216" t="s">
        <v>413</v>
      </c>
      <c r="D216" t="s">
        <v>193</v>
      </c>
      <c r="E216" t="s">
        <v>593</v>
      </c>
      <c r="F216">
        <v>4</v>
      </c>
      <c r="G216">
        <v>228</v>
      </c>
      <c r="H216" t="str">
        <f>IF(VLOOKUP(C216,Customers!A:E,5,FALSE)&gt;=1000,"YES","NO")</f>
        <v>YES</v>
      </c>
      <c r="I216">
        <f t="shared" si="3"/>
        <v>114</v>
      </c>
      <c r="J216">
        <f>(I216 - VLOOKUP(E216,Desserts!A:D,4,FALSE)) * F216</f>
        <v>240</v>
      </c>
    </row>
    <row r="217" spans="1:10" x14ac:dyDescent="0.3">
      <c r="A217" t="s">
        <v>1010</v>
      </c>
      <c r="B217" t="s">
        <v>626</v>
      </c>
      <c r="C217" t="s">
        <v>457</v>
      </c>
      <c r="D217" t="s">
        <v>250</v>
      </c>
      <c r="E217" t="s">
        <v>589</v>
      </c>
      <c r="F217">
        <v>4</v>
      </c>
      <c r="G217">
        <v>202</v>
      </c>
      <c r="H217" t="str">
        <f>IF(VLOOKUP(C217,Customers!A:E,5,FALSE)&gt;=1000,"YES","NO")</f>
        <v>YES</v>
      </c>
      <c r="I217">
        <f t="shared" si="3"/>
        <v>101</v>
      </c>
      <c r="J217">
        <f>(I217 - VLOOKUP(E217,Desserts!A:D,4,FALSE)) * F217</f>
        <v>120</v>
      </c>
    </row>
    <row r="218" spans="1:10" x14ac:dyDescent="0.3">
      <c r="A218" t="s">
        <v>1011</v>
      </c>
      <c r="B218" t="s">
        <v>864</v>
      </c>
      <c r="C218" t="s">
        <v>369</v>
      </c>
      <c r="D218" t="s">
        <v>301</v>
      </c>
      <c r="E218" t="s">
        <v>567</v>
      </c>
      <c r="F218">
        <v>2</v>
      </c>
      <c r="G218">
        <v>228</v>
      </c>
      <c r="H218" t="str">
        <f>IF(VLOOKUP(C218,Customers!A:E,5,FALSE)&gt;=1000,"YES","NO")</f>
        <v>YES</v>
      </c>
      <c r="I218">
        <f t="shared" si="3"/>
        <v>114</v>
      </c>
      <c r="J218">
        <f>(I218 - VLOOKUP(E218,Desserts!A:D,4,FALSE)) * F218</f>
        <v>116</v>
      </c>
    </row>
    <row r="219" spans="1:10" x14ac:dyDescent="0.3">
      <c r="A219" t="s">
        <v>1012</v>
      </c>
      <c r="B219" t="s">
        <v>1013</v>
      </c>
      <c r="C219" t="s">
        <v>459</v>
      </c>
      <c r="D219" t="s">
        <v>307</v>
      </c>
      <c r="E219" t="s">
        <v>529</v>
      </c>
      <c r="F219">
        <v>3</v>
      </c>
      <c r="G219">
        <v>175</v>
      </c>
      <c r="H219" t="str">
        <f>IF(VLOOKUP(C219,Customers!A:E,5,FALSE)&gt;=1000,"YES","NO")</f>
        <v>NO</v>
      </c>
      <c r="I219">
        <f t="shared" si="3"/>
        <v>175</v>
      </c>
      <c r="J219">
        <f>(I219 - VLOOKUP(E219,Desserts!A:D,4,FALSE)) * F219</f>
        <v>321</v>
      </c>
    </row>
    <row r="220" spans="1:10" x14ac:dyDescent="0.3">
      <c r="A220" t="s">
        <v>1014</v>
      </c>
      <c r="B220" t="s">
        <v>796</v>
      </c>
      <c r="C220" t="s">
        <v>441</v>
      </c>
      <c r="D220" t="s">
        <v>262</v>
      </c>
      <c r="E220" t="s">
        <v>555</v>
      </c>
      <c r="F220">
        <v>4</v>
      </c>
      <c r="G220">
        <v>138</v>
      </c>
      <c r="H220" t="str">
        <f>IF(VLOOKUP(C220,Customers!A:E,5,FALSE)&gt;=1000,"YES","NO")</f>
        <v>NO</v>
      </c>
      <c r="I220">
        <f t="shared" si="3"/>
        <v>138</v>
      </c>
      <c r="J220">
        <f>(I220 - VLOOKUP(E220,Desserts!A:D,4,FALSE)) * F220</f>
        <v>252</v>
      </c>
    </row>
    <row r="221" spans="1:10" x14ac:dyDescent="0.3">
      <c r="A221" t="s">
        <v>1015</v>
      </c>
      <c r="B221" t="s">
        <v>1016</v>
      </c>
      <c r="C221" t="s">
        <v>319</v>
      </c>
      <c r="D221" t="s">
        <v>295</v>
      </c>
      <c r="E221" t="s">
        <v>573</v>
      </c>
      <c r="F221">
        <v>3</v>
      </c>
      <c r="G221">
        <v>210</v>
      </c>
      <c r="H221" t="str">
        <f>IF(VLOOKUP(C221,Customers!A:E,5,FALSE)&gt;=1000,"YES","NO")</f>
        <v>YES</v>
      </c>
      <c r="I221">
        <f t="shared" si="3"/>
        <v>105</v>
      </c>
      <c r="J221">
        <f>(I221 - VLOOKUP(E221,Desserts!A:D,4,FALSE)) * F221</f>
        <v>165</v>
      </c>
    </row>
    <row r="222" spans="1:10" x14ac:dyDescent="0.3">
      <c r="A222" t="s">
        <v>1017</v>
      </c>
      <c r="B222" t="s">
        <v>812</v>
      </c>
      <c r="C222" t="s">
        <v>321</v>
      </c>
      <c r="D222" t="s">
        <v>9</v>
      </c>
      <c r="E222" t="s">
        <v>613</v>
      </c>
      <c r="F222">
        <v>5</v>
      </c>
      <c r="G222">
        <v>170</v>
      </c>
      <c r="H222" t="str">
        <f>IF(VLOOKUP(C222,Customers!A:E,5,FALSE)&gt;=1000,"YES","NO")</f>
        <v>NO</v>
      </c>
      <c r="I222">
        <f t="shared" si="3"/>
        <v>170</v>
      </c>
      <c r="J222">
        <f>(I222 - VLOOKUP(E222,Desserts!A:D,4,FALSE)) * F222</f>
        <v>425</v>
      </c>
    </row>
    <row r="223" spans="1:10" x14ac:dyDescent="0.3">
      <c r="A223" t="s">
        <v>1018</v>
      </c>
      <c r="B223" t="s">
        <v>1019</v>
      </c>
      <c r="C223" t="s">
        <v>513</v>
      </c>
      <c r="D223" t="s">
        <v>54</v>
      </c>
      <c r="E223" t="s">
        <v>617</v>
      </c>
      <c r="F223">
        <v>5</v>
      </c>
      <c r="G223">
        <v>140</v>
      </c>
      <c r="H223" t="str">
        <f>IF(VLOOKUP(C223,Customers!A:E,5,FALSE)&gt;=1000,"YES","NO")</f>
        <v>YES</v>
      </c>
      <c r="I223">
        <f t="shared" si="3"/>
        <v>70</v>
      </c>
      <c r="J223">
        <f>(I223 - VLOOKUP(E223,Desserts!A:D,4,FALSE)) * F223</f>
        <v>145</v>
      </c>
    </row>
    <row r="224" spans="1:10" x14ac:dyDescent="0.3">
      <c r="A224" t="s">
        <v>1020</v>
      </c>
      <c r="B224" t="s">
        <v>1021</v>
      </c>
      <c r="C224" t="s">
        <v>509</v>
      </c>
      <c r="D224" t="s">
        <v>208</v>
      </c>
      <c r="E224" t="s">
        <v>615</v>
      </c>
      <c r="F224">
        <v>1</v>
      </c>
      <c r="G224">
        <v>184</v>
      </c>
      <c r="H224" t="str">
        <f>IF(VLOOKUP(C224,Customers!A:E,5,FALSE)&gt;=1000,"YES","NO")</f>
        <v>NO</v>
      </c>
      <c r="I224">
        <f t="shared" si="3"/>
        <v>184</v>
      </c>
      <c r="J224">
        <f>(I224 - VLOOKUP(E224,Desserts!A:D,4,FALSE)) * F224</f>
        <v>142</v>
      </c>
    </row>
    <row r="225" spans="1:10" x14ac:dyDescent="0.3">
      <c r="A225" t="s">
        <v>1022</v>
      </c>
      <c r="B225" t="s">
        <v>1023</v>
      </c>
      <c r="C225" t="s">
        <v>357</v>
      </c>
      <c r="D225" t="s">
        <v>217</v>
      </c>
      <c r="E225" t="s">
        <v>605</v>
      </c>
      <c r="F225">
        <v>4</v>
      </c>
      <c r="G225">
        <v>164</v>
      </c>
      <c r="H225" t="str">
        <f>IF(VLOOKUP(C225,Customers!A:E,5,FALSE)&gt;=1000,"YES","NO")</f>
        <v>NO</v>
      </c>
      <c r="I225">
        <f t="shared" si="3"/>
        <v>164</v>
      </c>
      <c r="J225">
        <f>(I225 - VLOOKUP(E225,Desserts!A:D,4,FALSE)) * F225</f>
        <v>408</v>
      </c>
    </row>
    <row r="226" spans="1:10" x14ac:dyDescent="0.3">
      <c r="A226" t="s">
        <v>1024</v>
      </c>
      <c r="B226" t="s">
        <v>1025</v>
      </c>
      <c r="C226" t="s">
        <v>499</v>
      </c>
      <c r="D226" t="s">
        <v>259</v>
      </c>
      <c r="E226" t="s">
        <v>575</v>
      </c>
      <c r="F226">
        <v>2</v>
      </c>
      <c r="G226">
        <v>141</v>
      </c>
      <c r="H226" t="str">
        <f>IF(VLOOKUP(C226,Customers!A:E,5,FALSE)&gt;=1000,"YES","NO")</f>
        <v>NO</v>
      </c>
      <c r="I226">
        <f t="shared" si="3"/>
        <v>141</v>
      </c>
      <c r="J226">
        <f>(I226 - VLOOKUP(E226,Desserts!A:D,4,FALSE)) * F226</f>
        <v>132</v>
      </c>
    </row>
    <row r="227" spans="1:10" x14ac:dyDescent="0.3">
      <c r="A227" t="s">
        <v>1026</v>
      </c>
      <c r="B227" t="s">
        <v>985</v>
      </c>
      <c r="C227" t="s">
        <v>349</v>
      </c>
      <c r="D227" t="s">
        <v>208</v>
      </c>
      <c r="E227" t="s">
        <v>557</v>
      </c>
      <c r="F227">
        <v>3</v>
      </c>
      <c r="G227">
        <v>144</v>
      </c>
      <c r="H227" t="str">
        <f>IF(VLOOKUP(C227,Customers!A:E,5,FALSE)&gt;=1000,"YES","NO")</f>
        <v>NO</v>
      </c>
      <c r="I227">
        <f t="shared" si="3"/>
        <v>144</v>
      </c>
      <c r="J227">
        <f>(I227 - VLOOKUP(E227,Desserts!A:D,4,FALSE)) * F227</f>
        <v>180</v>
      </c>
    </row>
    <row r="228" spans="1:10" x14ac:dyDescent="0.3">
      <c r="A228" t="s">
        <v>1027</v>
      </c>
      <c r="B228" t="s">
        <v>789</v>
      </c>
      <c r="C228" t="s">
        <v>431</v>
      </c>
      <c r="D228" t="s">
        <v>220</v>
      </c>
      <c r="E228" t="s">
        <v>607</v>
      </c>
      <c r="F228">
        <v>2</v>
      </c>
      <c r="G228">
        <v>175</v>
      </c>
      <c r="H228" t="str">
        <f>IF(VLOOKUP(C228,Customers!A:E,5,FALSE)&gt;=1000,"YES","NO")</f>
        <v>YES</v>
      </c>
      <c r="I228">
        <f t="shared" si="3"/>
        <v>87.5</v>
      </c>
      <c r="J228">
        <f>(I228 - VLOOKUP(E228,Desserts!A:D,4,FALSE)) * F228</f>
        <v>35</v>
      </c>
    </row>
    <row r="229" spans="1:10" x14ac:dyDescent="0.3">
      <c r="A229" t="s">
        <v>1028</v>
      </c>
      <c r="B229" t="s">
        <v>1029</v>
      </c>
      <c r="C229" t="s">
        <v>349</v>
      </c>
      <c r="D229" t="s">
        <v>202</v>
      </c>
      <c r="E229" t="s">
        <v>559</v>
      </c>
      <c r="F229">
        <v>2</v>
      </c>
      <c r="G229">
        <v>186</v>
      </c>
      <c r="H229" t="str">
        <f>IF(VLOOKUP(C229,Customers!A:E,5,FALSE)&gt;=1000,"YES","NO")</f>
        <v>NO</v>
      </c>
      <c r="I229">
        <f t="shared" si="3"/>
        <v>186</v>
      </c>
      <c r="J229">
        <f>(I229 - VLOOKUP(E229,Desserts!A:D,4,FALSE)) * F229</f>
        <v>262</v>
      </c>
    </row>
    <row r="230" spans="1:10" x14ac:dyDescent="0.3">
      <c r="A230" t="s">
        <v>1030</v>
      </c>
      <c r="B230" t="s">
        <v>1031</v>
      </c>
      <c r="C230" t="s">
        <v>427</v>
      </c>
      <c r="D230" t="s">
        <v>286</v>
      </c>
      <c r="E230" t="s">
        <v>601</v>
      </c>
      <c r="F230">
        <v>1</v>
      </c>
      <c r="G230">
        <v>166</v>
      </c>
      <c r="H230" t="str">
        <f>IF(VLOOKUP(C230,Customers!A:E,5,FALSE)&gt;=1000,"YES","NO")</f>
        <v>NO</v>
      </c>
      <c r="I230">
        <f t="shared" si="3"/>
        <v>166</v>
      </c>
      <c r="J230">
        <f>(I230 - VLOOKUP(E230,Desserts!A:D,4,FALSE)) * F230</f>
        <v>111</v>
      </c>
    </row>
    <row r="231" spans="1:10" x14ac:dyDescent="0.3">
      <c r="A231" t="s">
        <v>1032</v>
      </c>
      <c r="B231" t="s">
        <v>781</v>
      </c>
      <c r="C231" t="s">
        <v>515</v>
      </c>
      <c r="D231" t="s">
        <v>118</v>
      </c>
      <c r="E231" t="s">
        <v>533</v>
      </c>
      <c r="F231">
        <v>5</v>
      </c>
      <c r="G231">
        <v>167</v>
      </c>
      <c r="H231" t="str">
        <f>IF(VLOOKUP(C231,Customers!A:E,5,FALSE)&gt;=1000,"YES","NO")</f>
        <v>YES</v>
      </c>
      <c r="I231">
        <f t="shared" si="3"/>
        <v>83.5</v>
      </c>
      <c r="J231">
        <f>(I231 - VLOOKUP(E231,Desserts!A:D,4,FALSE)) * F231</f>
        <v>82.5</v>
      </c>
    </row>
    <row r="232" spans="1:10" x14ac:dyDescent="0.3">
      <c r="A232" t="s">
        <v>1033</v>
      </c>
      <c r="B232" t="s">
        <v>1034</v>
      </c>
      <c r="C232" t="s">
        <v>507</v>
      </c>
      <c r="D232" t="s">
        <v>214</v>
      </c>
      <c r="E232" t="s">
        <v>543</v>
      </c>
      <c r="F232">
        <v>2</v>
      </c>
      <c r="G232">
        <v>216</v>
      </c>
      <c r="H232" t="str">
        <f>IF(VLOOKUP(C232,Customers!A:E,5,FALSE)&gt;=1000,"YES","NO")</f>
        <v>NO</v>
      </c>
      <c r="I232">
        <f t="shared" si="3"/>
        <v>216</v>
      </c>
      <c r="J232">
        <f>(I232 - VLOOKUP(E232,Desserts!A:D,4,FALSE)) * F232</f>
        <v>286</v>
      </c>
    </row>
    <row r="233" spans="1:10" x14ac:dyDescent="0.3">
      <c r="A233" t="s">
        <v>1035</v>
      </c>
      <c r="B233" t="s">
        <v>1036</v>
      </c>
      <c r="C233" t="s">
        <v>433</v>
      </c>
      <c r="D233" t="s">
        <v>253</v>
      </c>
      <c r="E233" t="s">
        <v>565</v>
      </c>
      <c r="F233">
        <v>3</v>
      </c>
      <c r="G233">
        <v>160</v>
      </c>
      <c r="H233" t="str">
        <f>IF(VLOOKUP(C233,Customers!A:E,5,FALSE)&gt;=1000,"YES","NO")</f>
        <v>YES</v>
      </c>
      <c r="I233">
        <f t="shared" si="3"/>
        <v>80</v>
      </c>
      <c r="J233">
        <f>(I233 - VLOOKUP(E233,Desserts!A:D,4,FALSE)) * F233</f>
        <v>117</v>
      </c>
    </row>
    <row r="234" spans="1:10" x14ac:dyDescent="0.3">
      <c r="A234" t="s">
        <v>1037</v>
      </c>
      <c r="B234" t="s">
        <v>1038</v>
      </c>
      <c r="C234" t="s">
        <v>401</v>
      </c>
      <c r="D234" t="s">
        <v>235</v>
      </c>
      <c r="E234" t="s">
        <v>593</v>
      </c>
      <c r="F234">
        <v>4</v>
      </c>
      <c r="G234">
        <v>110</v>
      </c>
      <c r="H234" t="str">
        <f>IF(VLOOKUP(C234,Customers!A:E,5,FALSE)&gt;=1000,"YES","NO")</f>
        <v>YES</v>
      </c>
      <c r="I234">
        <f t="shared" si="3"/>
        <v>55</v>
      </c>
      <c r="J234">
        <f>(I234 - VLOOKUP(E234,Desserts!A:D,4,FALSE)) * F234</f>
        <v>4</v>
      </c>
    </row>
    <row r="235" spans="1:10" x14ac:dyDescent="0.3">
      <c r="A235" t="s">
        <v>1039</v>
      </c>
      <c r="B235" t="s">
        <v>659</v>
      </c>
      <c r="C235" t="s">
        <v>331</v>
      </c>
      <c r="D235" t="s">
        <v>190</v>
      </c>
      <c r="E235" t="s">
        <v>561</v>
      </c>
      <c r="F235">
        <v>3</v>
      </c>
      <c r="G235">
        <v>103</v>
      </c>
      <c r="H235" t="str">
        <f>IF(VLOOKUP(C235,Customers!A:E,5,FALSE)&gt;=1000,"YES","NO")</f>
        <v>YES</v>
      </c>
      <c r="I235">
        <f t="shared" si="3"/>
        <v>51.5</v>
      </c>
      <c r="J235">
        <f>(I235 - VLOOKUP(E235,Desserts!A:D,4,FALSE)) * F235</f>
        <v>-34.5</v>
      </c>
    </row>
    <row r="236" spans="1:10" x14ac:dyDescent="0.3">
      <c r="A236" t="s">
        <v>1040</v>
      </c>
      <c r="B236" t="s">
        <v>1021</v>
      </c>
      <c r="C236" t="s">
        <v>499</v>
      </c>
      <c r="D236" t="s">
        <v>166</v>
      </c>
      <c r="E236" t="s">
        <v>595</v>
      </c>
      <c r="F236">
        <v>1</v>
      </c>
      <c r="G236">
        <v>207</v>
      </c>
      <c r="H236" t="str">
        <f>IF(VLOOKUP(C236,Customers!A:E,5,FALSE)&gt;=1000,"YES","NO")</f>
        <v>NO</v>
      </c>
      <c r="I236">
        <f t="shared" si="3"/>
        <v>207</v>
      </c>
      <c r="J236">
        <f>(I236 - VLOOKUP(E236,Desserts!A:D,4,FALSE)) * F236</f>
        <v>137</v>
      </c>
    </row>
    <row r="237" spans="1:10" x14ac:dyDescent="0.3">
      <c r="A237" t="s">
        <v>1041</v>
      </c>
      <c r="B237" t="s">
        <v>1023</v>
      </c>
      <c r="C237" t="s">
        <v>411</v>
      </c>
      <c r="D237" t="s">
        <v>202</v>
      </c>
      <c r="E237" t="s">
        <v>553</v>
      </c>
      <c r="F237">
        <v>5</v>
      </c>
      <c r="G237">
        <v>145</v>
      </c>
      <c r="H237" t="str">
        <f>IF(VLOOKUP(C237,Customers!A:E,5,FALSE)&gt;=1000,"YES","NO")</f>
        <v>NO</v>
      </c>
      <c r="I237">
        <f t="shared" si="3"/>
        <v>145</v>
      </c>
      <c r="J237">
        <f>(I237 - VLOOKUP(E237,Desserts!A:D,4,FALSE)) * F237</f>
        <v>425</v>
      </c>
    </row>
    <row r="238" spans="1:10" x14ac:dyDescent="0.3">
      <c r="A238" t="s">
        <v>1042</v>
      </c>
      <c r="B238" t="s">
        <v>1043</v>
      </c>
      <c r="C238" t="s">
        <v>437</v>
      </c>
      <c r="D238" t="s">
        <v>139</v>
      </c>
      <c r="E238" t="s">
        <v>541</v>
      </c>
      <c r="F238">
        <v>1</v>
      </c>
      <c r="G238">
        <v>179</v>
      </c>
      <c r="H238" t="str">
        <f>IF(VLOOKUP(C238,Customers!A:E,5,FALSE)&gt;=1000,"YES","NO")</f>
        <v>NO</v>
      </c>
      <c r="I238">
        <f t="shared" si="3"/>
        <v>179</v>
      </c>
      <c r="J238">
        <f>(I238 - VLOOKUP(E238,Desserts!A:D,4,FALSE)) * F238</f>
        <v>122</v>
      </c>
    </row>
    <row r="239" spans="1:10" x14ac:dyDescent="0.3">
      <c r="A239" t="s">
        <v>1044</v>
      </c>
      <c r="B239" t="s">
        <v>632</v>
      </c>
      <c r="C239" t="s">
        <v>495</v>
      </c>
      <c r="D239" t="s">
        <v>208</v>
      </c>
      <c r="E239" t="s">
        <v>557</v>
      </c>
      <c r="F239">
        <v>4</v>
      </c>
      <c r="G239">
        <v>243</v>
      </c>
      <c r="H239" t="str">
        <f>IF(VLOOKUP(C239,Customers!A:E,5,FALSE)&gt;=1000,"YES","NO")</f>
        <v>NO</v>
      </c>
      <c r="I239">
        <f t="shared" si="3"/>
        <v>243</v>
      </c>
      <c r="J239">
        <f>(I239 - VLOOKUP(E239,Desserts!A:D,4,FALSE)) * F239</f>
        <v>636</v>
      </c>
    </row>
    <row r="240" spans="1:10" x14ac:dyDescent="0.3">
      <c r="A240" t="s">
        <v>1045</v>
      </c>
      <c r="B240" t="s">
        <v>915</v>
      </c>
      <c r="C240" t="s">
        <v>501</v>
      </c>
      <c r="D240" t="s">
        <v>211</v>
      </c>
      <c r="E240" t="s">
        <v>617</v>
      </c>
      <c r="F240">
        <v>3</v>
      </c>
      <c r="G240">
        <v>242</v>
      </c>
      <c r="H240" t="str">
        <f>IF(VLOOKUP(C240,Customers!A:E,5,FALSE)&gt;=1000,"YES","NO")</f>
        <v>YES</v>
      </c>
      <c r="I240">
        <f t="shared" si="3"/>
        <v>121</v>
      </c>
      <c r="J240">
        <f>(I240 - VLOOKUP(E240,Desserts!A:D,4,FALSE)) * F240</f>
        <v>240</v>
      </c>
    </row>
    <row r="241" spans="1:10" x14ac:dyDescent="0.3">
      <c r="A241" t="s">
        <v>1046</v>
      </c>
      <c r="B241" t="s">
        <v>1047</v>
      </c>
      <c r="C241" t="s">
        <v>399</v>
      </c>
      <c r="D241" t="s">
        <v>178</v>
      </c>
      <c r="E241" t="s">
        <v>563</v>
      </c>
      <c r="F241">
        <v>3</v>
      </c>
      <c r="G241">
        <v>238</v>
      </c>
      <c r="H241" t="str">
        <f>IF(VLOOKUP(C241,Customers!A:E,5,FALSE)&gt;=1000,"YES","NO")</f>
        <v>YES</v>
      </c>
      <c r="I241">
        <f t="shared" si="3"/>
        <v>119</v>
      </c>
      <c r="J241">
        <f>(I241 - VLOOKUP(E241,Desserts!A:D,4,FALSE)) * F241</f>
        <v>162</v>
      </c>
    </row>
    <row r="242" spans="1:10" x14ac:dyDescent="0.3">
      <c r="A242" t="s">
        <v>1048</v>
      </c>
      <c r="B242" t="s">
        <v>1049</v>
      </c>
      <c r="C242" t="s">
        <v>451</v>
      </c>
      <c r="D242" t="s">
        <v>187</v>
      </c>
      <c r="E242" t="s">
        <v>541</v>
      </c>
      <c r="F242">
        <v>4</v>
      </c>
      <c r="G242">
        <v>196</v>
      </c>
      <c r="H242" t="str">
        <f>IF(VLOOKUP(C242,Customers!A:E,5,FALSE)&gt;=1000,"YES","NO")</f>
        <v>NO</v>
      </c>
      <c r="I242">
        <f t="shared" si="3"/>
        <v>196</v>
      </c>
      <c r="J242">
        <f>(I242 - VLOOKUP(E242,Desserts!A:D,4,FALSE)) * F242</f>
        <v>556</v>
      </c>
    </row>
    <row r="243" spans="1:10" x14ac:dyDescent="0.3">
      <c r="A243" t="s">
        <v>1050</v>
      </c>
      <c r="B243" t="s">
        <v>1051</v>
      </c>
      <c r="C243" t="s">
        <v>437</v>
      </c>
      <c r="D243" t="s">
        <v>30</v>
      </c>
      <c r="E243" t="s">
        <v>589</v>
      </c>
      <c r="F243">
        <v>3</v>
      </c>
      <c r="G243">
        <v>204</v>
      </c>
      <c r="H243" t="str">
        <f>IF(VLOOKUP(C243,Customers!A:E,5,FALSE)&gt;=1000,"YES","NO")</f>
        <v>NO</v>
      </c>
      <c r="I243">
        <f t="shared" si="3"/>
        <v>204</v>
      </c>
      <c r="J243">
        <f>(I243 - VLOOKUP(E243,Desserts!A:D,4,FALSE)) * F243</f>
        <v>399</v>
      </c>
    </row>
    <row r="244" spans="1:10" x14ac:dyDescent="0.3">
      <c r="A244" t="s">
        <v>1052</v>
      </c>
      <c r="B244" t="s">
        <v>677</v>
      </c>
      <c r="C244" t="s">
        <v>399</v>
      </c>
      <c r="D244" t="s">
        <v>154</v>
      </c>
      <c r="E244" t="s">
        <v>613</v>
      </c>
      <c r="F244">
        <v>1</v>
      </c>
      <c r="G244">
        <v>224</v>
      </c>
      <c r="H244" t="str">
        <f>IF(VLOOKUP(C244,Customers!A:E,5,FALSE)&gt;=1000,"YES","NO")</f>
        <v>YES</v>
      </c>
      <c r="I244">
        <f t="shared" si="3"/>
        <v>112</v>
      </c>
      <c r="J244">
        <f>(I244 - VLOOKUP(E244,Desserts!A:D,4,FALSE)) * F244</f>
        <v>27</v>
      </c>
    </row>
    <row r="245" spans="1:10" x14ac:dyDescent="0.3">
      <c r="A245" t="s">
        <v>1053</v>
      </c>
      <c r="B245" t="s">
        <v>1054</v>
      </c>
      <c r="C245" t="s">
        <v>375</v>
      </c>
      <c r="D245" t="s">
        <v>130</v>
      </c>
      <c r="E245" t="s">
        <v>545</v>
      </c>
      <c r="F245">
        <v>5</v>
      </c>
      <c r="G245">
        <v>232</v>
      </c>
      <c r="H245" t="str">
        <f>IF(VLOOKUP(C245,Customers!A:E,5,FALSE)&gt;=1000,"YES","NO")</f>
        <v>NO</v>
      </c>
      <c r="I245">
        <f t="shared" si="3"/>
        <v>232</v>
      </c>
      <c r="J245">
        <f>(I245 - VLOOKUP(E245,Desserts!A:D,4,FALSE)) * F245</f>
        <v>935</v>
      </c>
    </row>
    <row r="246" spans="1:10" x14ac:dyDescent="0.3">
      <c r="A246" t="s">
        <v>1055</v>
      </c>
      <c r="B246" t="s">
        <v>725</v>
      </c>
      <c r="C246" t="s">
        <v>499</v>
      </c>
      <c r="D246" t="s">
        <v>151</v>
      </c>
      <c r="E246" t="s">
        <v>615</v>
      </c>
      <c r="F246">
        <v>5</v>
      </c>
      <c r="G246">
        <v>141</v>
      </c>
      <c r="H246" t="str">
        <f>IF(VLOOKUP(C246,Customers!A:E,5,FALSE)&gt;=1000,"YES","NO")</f>
        <v>NO</v>
      </c>
      <c r="I246">
        <f t="shared" si="3"/>
        <v>141</v>
      </c>
      <c r="J246">
        <f>(I246 - VLOOKUP(E246,Desserts!A:D,4,FALSE)) * F246</f>
        <v>495</v>
      </c>
    </row>
    <row r="247" spans="1:10" x14ac:dyDescent="0.3">
      <c r="A247" t="s">
        <v>1056</v>
      </c>
      <c r="B247" t="s">
        <v>757</v>
      </c>
      <c r="C247" t="s">
        <v>357</v>
      </c>
      <c r="D247" t="s">
        <v>66</v>
      </c>
      <c r="E247" t="s">
        <v>595</v>
      </c>
      <c r="F247">
        <v>2</v>
      </c>
      <c r="G247">
        <v>179</v>
      </c>
      <c r="H247" t="str">
        <f>IF(VLOOKUP(C247,Customers!A:E,5,FALSE)&gt;=1000,"YES","NO")</f>
        <v>NO</v>
      </c>
      <c r="I247">
        <f t="shared" si="3"/>
        <v>179</v>
      </c>
      <c r="J247">
        <f>(I247 - VLOOKUP(E247,Desserts!A:D,4,FALSE)) * F247</f>
        <v>218</v>
      </c>
    </row>
    <row r="248" spans="1:10" x14ac:dyDescent="0.3">
      <c r="A248" t="s">
        <v>1057</v>
      </c>
      <c r="B248" t="s">
        <v>713</v>
      </c>
      <c r="C248" t="s">
        <v>431</v>
      </c>
      <c r="D248" t="s">
        <v>63</v>
      </c>
      <c r="E248" t="s">
        <v>583</v>
      </c>
      <c r="F248">
        <v>2</v>
      </c>
      <c r="G248">
        <v>156</v>
      </c>
      <c r="H248" t="str">
        <f>IF(VLOOKUP(C248,Customers!A:E,5,FALSE)&gt;=1000,"YES","NO")</f>
        <v>YES</v>
      </c>
      <c r="I248">
        <f t="shared" si="3"/>
        <v>78</v>
      </c>
      <c r="J248">
        <f>(I248 - VLOOKUP(E248,Desserts!A:D,4,FALSE)) * F248</f>
        <v>-10</v>
      </c>
    </row>
    <row r="249" spans="1:10" x14ac:dyDescent="0.3">
      <c r="A249" t="s">
        <v>1058</v>
      </c>
      <c r="B249" t="s">
        <v>1059</v>
      </c>
      <c r="C249" t="s">
        <v>427</v>
      </c>
      <c r="D249" t="s">
        <v>169</v>
      </c>
      <c r="E249" t="s">
        <v>523</v>
      </c>
      <c r="F249">
        <v>3</v>
      </c>
      <c r="G249">
        <v>219</v>
      </c>
      <c r="H249" t="str">
        <f>IF(VLOOKUP(C249,Customers!A:E,5,FALSE)&gt;=1000,"YES","NO")</f>
        <v>NO</v>
      </c>
      <c r="I249">
        <f t="shared" si="3"/>
        <v>219</v>
      </c>
      <c r="J249">
        <f>(I249 - VLOOKUP(E249,Desserts!A:D,4,FALSE)) * F249</f>
        <v>453</v>
      </c>
    </row>
    <row r="250" spans="1:10" x14ac:dyDescent="0.3">
      <c r="A250" t="s">
        <v>1060</v>
      </c>
      <c r="B250" t="s">
        <v>965</v>
      </c>
      <c r="C250" t="s">
        <v>503</v>
      </c>
      <c r="D250" t="s">
        <v>187</v>
      </c>
      <c r="E250" t="s">
        <v>619</v>
      </c>
      <c r="F250">
        <v>4</v>
      </c>
      <c r="G250">
        <v>109</v>
      </c>
      <c r="H250" t="str">
        <f>IF(VLOOKUP(C250,Customers!A:E,5,FALSE)&gt;=1000,"YES","NO")</f>
        <v>NO</v>
      </c>
      <c r="I250">
        <f t="shared" si="3"/>
        <v>109</v>
      </c>
      <c r="J250">
        <f>(I250 - VLOOKUP(E250,Desserts!A:D,4,FALSE)) * F250</f>
        <v>112</v>
      </c>
    </row>
    <row r="251" spans="1:10" x14ac:dyDescent="0.3">
      <c r="A251" t="s">
        <v>1061</v>
      </c>
      <c r="B251" t="s">
        <v>1062</v>
      </c>
      <c r="C251" t="s">
        <v>471</v>
      </c>
      <c r="D251" t="s">
        <v>223</v>
      </c>
      <c r="E251" t="s">
        <v>551</v>
      </c>
      <c r="F251">
        <v>3</v>
      </c>
      <c r="G251">
        <v>103</v>
      </c>
      <c r="H251" t="str">
        <f>IF(VLOOKUP(C251,Customers!A:E,5,FALSE)&gt;=1000,"YES","NO")</f>
        <v>NO</v>
      </c>
      <c r="I251">
        <f t="shared" si="3"/>
        <v>103</v>
      </c>
      <c r="J251">
        <f>(I251 - VLOOKUP(E251,Desserts!A:D,4,FALSE)) * F251</f>
        <v>102</v>
      </c>
    </row>
    <row r="252" spans="1:10" x14ac:dyDescent="0.3">
      <c r="A252" t="s">
        <v>1063</v>
      </c>
      <c r="B252" t="s">
        <v>1064</v>
      </c>
      <c r="C252" t="s">
        <v>503</v>
      </c>
      <c r="D252" t="s">
        <v>27</v>
      </c>
      <c r="E252" t="s">
        <v>553</v>
      </c>
      <c r="F252">
        <v>1</v>
      </c>
      <c r="G252">
        <v>223</v>
      </c>
      <c r="H252" t="str">
        <f>IF(VLOOKUP(C252,Customers!A:E,5,FALSE)&gt;=1000,"YES","NO")</f>
        <v>NO</v>
      </c>
      <c r="I252">
        <f t="shared" si="3"/>
        <v>223</v>
      </c>
      <c r="J252">
        <f>(I252 - VLOOKUP(E252,Desserts!A:D,4,FALSE)) * F252</f>
        <v>163</v>
      </c>
    </row>
    <row r="253" spans="1:10" x14ac:dyDescent="0.3">
      <c r="A253" t="s">
        <v>1065</v>
      </c>
      <c r="B253" t="s">
        <v>1066</v>
      </c>
      <c r="C253" t="s">
        <v>397</v>
      </c>
      <c r="D253" t="s">
        <v>199</v>
      </c>
      <c r="E253" t="s">
        <v>527</v>
      </c>
      <c r="F253">
        <v>2</v>
      </c>
      <c r="G253">
        <v>101</v>
      </c>
      <c r="H253" t="str">
        <f>IF(VLOOKUP(C253,Customers!A:E,5,FALSE)&gt;=1000,"YES","NO")</f>
        <v>NO</v>
      </c>
      <c r="I253">
        <f t="shared" si="3"/>
        <v>101</v>
      </c>
      <c r="J253">
        <f>(I253 - VLOOKUP(E253,Desserts!A:D,4,FALSE)) * F253</f>
        <v>116</v>
      </c>
    </row>
    <row r="254" spans="1:10" x14ac:dyDescent="0.3">
      <c r="A254" t="s">
        <v>1067</v>
      </c>
      <c r="B254" t="s">
        <v>1068</v>
      </c>
      <c r="C254" t="s">
        <v>367</v>
      </c>
      <c r="D254" t="s">
        <v>196</v>
      </c>
      <c r="E254" t="s">
        <v>575</v>
      </c>
      <c r="F254">
        <v>1</v>
      </c>
      <c r="G254">
        <v>160</v>
      </c>
      <c r="H254" t="str">
        <f>IF(VLOOKUP(C254,Customers!A:E,5,FALSE)&gt;=1000,"YES","NO")</f>
        <v>NO</v>
      </c>
      <c r="I254">
        <f t="shared" si="3"/>
        <v>160</v>
      </c>
      <c r="J254">
        <f>(I254 - VLOOKUP(E254,Desserts!A:D,4,FALSE)) * F254</f>
        <v>85</v>
      </c>
    </row>
    <row r="255" spans="1:10" x14ac:dyDescent="0.3">
      <c r="A255" t="s">
        <v>1069</v>
      </c>
      <c r="B255" t="s">
        <v>968</v>
      </c>
      <c r="C255" t="s">
        <v>359</v>
      </c>
      <c r="D255" t="s">
        <v>151</v>
      </c>
      <c r="E255" t="s">
        <v>597</v>
      </c>
      <c r="F255">
        <v>4</v>
      </c>
      <c r="G255">
        <v>110</v>
      </c>
      <c r="H255" t="str">
        <f>IF(VLOOKUP(C255,Customers!A:E,5,FALSE)&gt;=1000,"YES","NO")</f>
        <v>YES</v>
      </c>
      <c r="I255">
        <f t="shared" si="3"/>
        <v>55</v>
      </c>
      <c r="J255">
        <f>(I255 - VLOOKUP(E255,Desserts!A:D,4,FALSE)) * F255</f>
        <v>40</v>
      </c>
    </row>
    <row r="256" spans="1:10" x14ac:dyDescent="0.3">
      <c r="A256" t="s">
        <v>1070</v>
      </c>
      <c r="B256" t="s">
        <v>1071</v>
      </c>
      <c r="C256" t="s">
        <v>389</v>
      </c>
      <c r="D256" t="s">
        <v>187</v>
      </c>
      <c r="E256" t="s">
        <v>605</v>
      </c>
      <c r="F256">
        <v>5</v>
      </c>
      <c r="G256">
        <v>155</v>
      </c>
      <c r="H256" t="str">
        <f>IF(VLOOKUP(C256,Customers!A:E,5,FALSE)&gt;=1000,"YES","NO")</f>
        <v>YES</v>
      </c>
      <c r="I256">
        <f t="shared" si="3"/>
        <v>77.5</v>
      </c>
      <c r="J256">
        <f>(I256 - VLOOKUP(E256,Desserts!A:D,4,FALSE)) * F256</f>
        <v>77.5</v>
      </c>
    </row>
    <row r="257" spans="1:10" x14ac:dyDescent="0.3">
      <c r="A257" t="s">
        <v>1072</v>
      </c>
      <c r="B257" t="s">
        <v>1073</v>
      </c>
      <c r="C257" t="s">
        <v>507</v>
      </c>
      <c r="D257" t="s">
        <v>91</v>
      </c>
      <c r="E257" t="s">
        <v>599</v>
      </c>
      <c r="F257">
        <v>3</v>
      </c>
      <c r="G257">
        <v>236</v>
      </c>
      <c r="H257" t="str">
        <f>IF(VLOOKUP(C257,Customers!A:E,5,FALSE)&gt;=1000,"YES","NO")</f>
        <v>NO</v>
      </c>
      <c r="I257">
        <f t="shared" si="3"/>
        <v>236</v>
      </c>
      <c r="J257">
        <f>(I257 - VLOOKUP(E257,Desserts!A:D,4,FALSE)) * F257</f>
        <v>468</v>
      </c>
    </row>
    <row r="258" spans="1:10" x14ac:dyDescent="0.3">
      <c r="A258" t="s">
        <v>1074</v>
      </c>
      <c r="B258" t="s">
        <v>1075</v>
      </c>
      <c r="C258" t="s">
        <v>405</v>
      </c>
      <c r="D258" t="s">
        <v>166</v>
      </c>
      <c r="E258" t="s">
        <v>531</v>
      </c>
      <c r="F258">
        <v>1</v>
      </c>
      <c r="G258">
        <v>186</v>
      </c>
      <c r="H258" t="str">
        <f>IF(VLOOKUP(C258,Customers!A:E,5,FALSE)&gt;=1000,"YES","NO")</f>
        <v>YES</v>
      </c>
      <c r="I258">
        <f t="shared" ref="I258:I321" si="4">IF(H258="YES",G258*0.5,G258)</f>
        <v>93</v>
      </c>
      <c r="J258">
        <f>(I258 - VLOOKUP(E258,Desserts!A:D,4,FALSE)) * F258</f>
        <v>8</v>
      </c>
    </row>
    <row r="259" spans="1:10" x14ac:dyDescent="0.3">
      <c r="A259" t="s">
        <v>1076</v>
      </c>
      <c r="B259" t="s">
        <v>731</v>
      </c>
      <c r="C259" t="s">
        <v>501</v>
      </c>
      <c r="D259" t="s">
        <v>301</v>
      </c>
      <c r="E259" t="s">
        <v>567</v>
      </c>
      <c r="F259">
        <v>4</v>
      </c>
      <c r="G259">
        <v>153</v>
      </c>
      <c r="H259" t="str">
        <f>IF(VLOOKUP(C259,Customers!A:E,5,FALSE)&gt;=1000,"YES","NO")</f>
        <v>YES</v>
      </c>
      <c r="I259">
        <f t="shared" si="4"/>
        <v>76.5</v>
      </c>
      <c r="J259">
        <f>(I259 - VLOOKUP(E259,Desserts!A:D,4,FALSE)) * F259</f>
        <v>82</v>
      </c>
    </row>
    <row r="260" spans="1:10" x14ac:dyDescent="0.3">
      <c r="A260" t="s">
        <v>1077</v>
      </c>
      <c r="B260" t="s">
        <v>1078</v>
      </c>
      <c r="C260" t="s">
        <v>501</v>
      </c>
      <c r="D260" t="s">
        <v>250</v>
      </c>
      <c r="E260" t="s">
        <v>543</v>
      </c>
      <c r="F260">
        <v>2</v>
      </c>
      <c r="G260">
        <v>185</v>
      </c>
      <c r="H260" t="str">
        <f>IF(VLOOKUP(C260,Customers!A:E,5,FALSE)&gt;=1000,"YES","NO")</f>
        <v>YES</v>
      </c>
      <c r="I260">
        <f t="shared" si="4"/>
        <v>92.5</v>
      </c>
      <c r="J260">
        <f>(I260 - VLOOKUP(E260,Desserts!A:D,4,FALSE)) * F260</f>
        <v>39</v>
      </c>
    </row>
    <row r="261" spans="1:10" x14ac:dyDescent="0.3">
      <c r="A261" t="s">
        <v>1079</v>
      </c>
      <c r="B261" t="s">
        <v>952</v>
      </c>
      <c r="C261" t="s">
        <v>391</v>
      </c>
      <c r="D261" t="s">
        <v>193</v>
      </c>
      <c r="E261" t="s">
        <v>615</v>
      </c>
      <c r="F261">
        <v>5</v>
      </c>
      <c r="G261">
        <v>110</v>
      </c>
      <c r="H261" t="str">
        <f>IF(VLOOKUP(C261,Customers!A:E,5,FALSE)&gt;=1000,"YES","NO")</f>
        <v>YES</v>
      </c>
      <c r="I261">
        <f t="shared" si="4"/>
        <v>55</v>
      </c>
      <c r="J261">
        <f>(I261 - VLOOKUP(E261,Desserts!A:D,4,FALSE)) * F261</f>
        <v>65</v>
      </c>
    </row>
    <row r="262" spans="1:10" x14ac:dyDescent="0.3">
      <c r="A262" t="s">
        <v>1080</v>
      </c>
      <c r="B262" t="s">
        <v>1081</v>
      </c>
      <c r="C262" t="s">
        <v>455</v>
      </c>
      <c r="D262" t="s">
        <v>298</v>
      </c>
      <c r="E262" t="s">
        <v>525</v>
      </c>
      <c r="F262">
        <v>5</v>
      </c>
      <c r="G262">
        <v>164</v>
      </c>
      <c r="H262" t="str">
        <f>IF(VLOOKUP(C262,Customers!A:E,5,FALSE)&gt;=1000,"YES","NO")</f>
        <v>YES</v>
      </c>
      <c r="I262">
        <f t="shared" si="4"/>
        <v>82</v>
      </c>
      <c r="J262">
        <f>(I262 - VLOOKUP(E262,Desserts!A:D,4,FALSE)) * F262</f>
        <v>-10</v>
      </c>
    </row>
    <row r="263" spans="1:10" x14ac:dyDescent="0.3">
      <c r="A263" t="s">
        <v>1082</v>
      </c>
      <c r="B263" t="s">
        <v>901</v>
      </c>
      <c r="C263" t="s">
        <v>455</v>
      </c>
      <c r="D263" t="s">
        <v>57</v>
      </c>
      <c r="E263" t="s">
        <v>575</v>
      </c>
      <c r="F263">
        <v>5</v>
      </c>
      <c r="G263">
        <v>232</v>
      </c>
      <c r="H263" t="str">
        <f>IF(VLOOKUP(C263,Customers!A:E,5,FALSE)&gt;=1000,"YES","NO")</f>
        <v>YES</v>
      </c>
      <c r="I263">
        <f t="shared" si="4"/>
        <v>116</v>
      </c>
      <c r="J263">
        <f>(I263 - VLOOKUP(E263,Desserts!A:D,4,FALSE)) * F263</f>
        <v>205</v>
      </c>
    </row>
    <row r="264" spans="1:10" x14ac:dyDescent="0.3">
      <c r="A264" t="s">
        <v>1083</v>
      </c>
      <c r="B264" t="s">
        <v>1073</v>
      </c>
      <c r="C264" t="s">
        <v>379</v>
      </c>
      <c r="D264" t="s">
        <v>13</v>
      </c>
      <c r="E264" t="s">
        <v>569</v>
      </c>
      <c r="F264">
        <v>3</v>
      </c>
      <c r="G264">
        <v>227</v>
      </c>
      <c r="H264" t="str">
        <f>IF(VLOOKUP(C264,Customers!A:E,5,FALSE)&gt;=1000,"YES","NO")</f>
        <v>NO</v>
      </c>
      <c r="I264">
        <f t="shared" si="4"/>
        <v>227</v>
      </c>
      <c r="J264">
        <f>(I264 - VLOOKUP(E264,Desserts!A:D,4,FALSE)) * F264</f>
        <v>450</v>
      </c>
    </row>
    <row r="265" spans="1:10" x14ac:dyDescent="0.3">
      <c r="A265" t="s">
        <v>1084</v>
      </c>
      <c r="B265" t="s">
        <v>1085</v>
      </c>
      <c r="C265" t="s">
        <v>357</v>
      </c>
      <c r="D265" t="s">
        <v>5</v>
      </c>
      <c r="E265" t="s">
        <v>617</v>
      </c>
      <c r="F265">
        <v>3</v>
      </c>
      <c r="G265">
        <v>248</v>
      </c>
      <c r="H265" t="str">
        <f>IF(VLOOKUP(C265,Customers!A:E,5,FALSE)&gt;=1000,"YES","NO")</f>
        <v>NO</v>
      </c>
      <c r="I265">
        <f t="shared" si="4"/>
        <v>248</v>
      </c>
      <c r="J265">
        <f>(I265 - VLOOKUP(E265,Desserts!A:D,4,FALSE)) * F265</f>
        <v>621</v>
      </c>
    </row>
    <row r="266" spans="1:10" x14ac:dyDescent="0.3">
      <c r="A266" t="s">
        <v>1086</v>
      </c>
      <c r="B266" t="s">
        <v>864</v>
      </c>
      <c r="C266" t="s">
        <v>439</v>
      </c>
      <c r="D266" t="s">
        <v>196</v>
      </c>
      <c r="E266" t="s">
        <v>567</v>
      </c>
      <c r="F266">
        <v>2</v>
      </c>
      <c r="G266">
        <v>136</v>
      </c>
      <c r="H266" t="str">
        <f>IF(VLOOKUP(C266,Customers!A:E,5,FALSE)&gt;=1000,"YES","NO")</f>
        <v>YES</v>
      </c>
      <c r="I266">
        <f t="shared" si="4"/>
        <v>68</v>
      </c>
      <c r="J266">
        <f>(I266 - VLOOKUP(E266,Desserts!A:D,4,FALSE)) * F266</f>
        <v>24</v>
      </c>
    </row>
    <row r="267" spans="1:10" x14ac:dyDescent="0.3">
      <c r="A267" t="s">
        <v>1087</v>
      </c>
      <c r="B267" t="s">
        <v>719</v>
      </c>
      <c r="C267" t="s">
        <v>351</v>
      </c>
      <c r="D267" t="s">
        <v>256</v>
      </c>
      <c r="E267" t="s">
        <v>617</v>
      </c>
      <c r="F267">
        <v>5</v>
      </c>
      <c r="G267">
        <v>181</v>
      </c>
      <c r="H267" t="str">
        <f>IF(VLOOKUP(C267,Customers!A:E,5,FALSE)&gt;=1000,"YES","NO")</f>
        <v>NO</v>
      </c>
      <c r="I267">
        <f t="shared" si="4"/>
        <v>181</v>
      </c>
      <c r="J267">
        <f>(I267 - VLOOKUP(E267,Desserts!A:D,4,FALSE)) * F267</f>
        <v>700</v>
      </c>
    </row>
    <row r="268" spans="1:10" x14ac:dyDescent="0.3">
      <c r="A268" t="s">
        <v>1088</v>
      </c>
      <c r="B268" t="s">
        <v>938</v>
      </c>
      <c r="C268" t="s">
        <v>511</v>
      </c>
      <c r="D268" t="s">
        <v>151</v>
      </c>
      <c r="E268" t="s">
        <v>585</v>
      </c>
      <c r="F268">
        <v>4</v>
      </c>
      <c r="G268">
        <v>128</v>
      </c>
      <c r="H268" t="str">
        <f>IF(VLOOKUP(C268,Customers!A:E,5,FALSE)&gt;=1000,"YES","NO")</f>
        <v>YES</v>
      </c>
      <c r="I268">
        <f t="shared" si="4"/>
        <v>64</v>
      </c>
      <c r="J268">
        <f>(I268 - VLOOKUP(E268,Desserts!A:D,4,FALSE)) * F268</f>
        <v>68</v>
      </c>
    </row>
    <row r="269" spans="1:10" x14ac:dyDescent="0.3">
      <c r="A269" t="s">
        <v>1089</v>
      </c>
      <c r="B269" t="s">
        <v>1090</v>
      </c>
      <c r="C269" t="s">
        <v>445</v>
      </c>
      <c r="D269" t="s">
        <v>145</v>
      </c>
      <c r="E269" t="s">
        <v>581</v>
      </c>
      <c r="F269">
        <v>5</v>
      </c>
      <c r="G269">
        <v>145</v>
      </c>
      <c r="H269" t="str">
        <f>IF(VLOOKUP(C269,Customers!A:E,5,FALSE)&gt;=1000,"YES","NO")</f>
        <v>NO</v>
      </c>
      <c r="I269">
        <f t="shared" si="4"/>
        <v>145</v>
      </c>
      <c r="J269">
        <f>(I269 - VLOOKUP(E269,Desserts!A:D,4,FALSE)) * F269</f>
        <v>280</v>
      </c>
    </row>
    <row r="270" spans="1:10" x14ac:dyDescent="0.3">
      <c r="A270" t="s">
        <v>1091</v>
      </c>
      <c r="B270" t="s">
        <v>675</v>
      </c>
      <c r="C270" t="s">
        <v>469</v>
      </c>
      <c r="D270" t="s">
        <v>51</v>
      </c>
      <c r="E270" t="s">
        <v>597</v>
      </c>
      <c r="F270">
        <v>5</v>
      </c>
      <c r="G270">
        <v>196</v>
      </c>
      <c r="H270" t="str">
        <f>IF(VLOOKUP(C270,Customers!A:E,5,FALSE)&gt;=1000,"YES","NO")</f>
        <v>NO</v>
      </c>
      <c r="I270">
        <f t="shared" si="4"/>
        <v>196</v>
      </c>
      <c r="J270">
        <f>(I270 - VLOOKUP(E270,Desserts!A:D,4,FALSE)) * F270</f>
        <v>755</v>
      </c>
    </row>
    <row r="271" spans="1:10" x14ac:dyDescent="0.3">
      <c r="A271" t="s">
        <v>1092</v>
      </c>
      <c r="B271" t="s">
        <v>1016</v>
      </c>
      <c r="C271" t="s">
        <v>509</v>
      </c>
      <c r="D271" t="s">
        <v>27</v>
      </c>
      <c r="E271" t="s">
        <v>529</v>
      </c>
      <c r="F271">
        <v>4</v>
      </c>
      <c r="G271">
        <v>182</v>
      </c>
      <c r="H271" t="str">
        <f>IF(VLOOKUP(C271,Customers!A:E,5,FALSE)&gt;=1000,"YES","NO")</f>
        <v>NO</v>
      </c>
      <c r="I271">
        <f t="shared" si="4"/>
        <v>182</v>
      </c>
      <c r="J271">
        <f>(I271 - VLOOKUP(E271,Desserts!A:D,4,FALSE)) * F271</f>
        <v>456</v>
      </c>
    </row>
    <row r="272" spans="1:10" x14ac:dyDescent="0.3">
      <c r="A272" t="s">
        <v>1093</v>
      </c>
      <c r="B272" t="s">
        <v>1094</v>
      </c>
      <c r="C272" t="s">
        <v>447</v>
      </c>
      <c r="D272" t="s">
        <v>136</v>
      </c>
      <c r="E272" t="s">
        <v>583</v>
      </c>
      <c r="F272">
        <v>3</v>
      </c>
      <c r="G272">
        <v>187</v>
      </c>
      <c r="H272" t="str">
        <f>IF(VLOOKUP(C272,Customers!A:E,5,FALSE)&gt;=1000,"YES","NO")</f>
        <v>YES</v>
      </c>
      <c r="I272">
        <f t="shared" si="4"/>
        <v>93.5</v>
      </c>
      <c r="J272">
        <f>(I272 - VLOOKUP(E272,Desserts!A:D,4,FALSE)) * F272</f>
        <v>31.5</v>
      </c>
    </row>
    <row r="273" spans="1:10" x14ac:dyDescent="0.3">
      <c r="A273" t="s">
        <v>1095</v>
      </c>
      <c r="B273" t="s">
        <v>1096</v>
      </c>
      <c r="C273" t="s">
        <v>427</v>
      </c>
      <c r="D273" t="s">
        <v>199</v>
      </c>
      <c r="E273" t="s">
        <v>615</v>
      </c>
      <c r="F273">
        <v>5</v>
      </c>
      <c r="G273">
        <v>185</v>
      </c>
      <c r="H273" t="str">
        <f>IF(VLOOKUP(C273,Customers!A:E,5,FALSE)&gt;=1000,"YES","NO")</f>
        <v>NO</v>
      </c>
      <c r="I273">
        <f t="shared" si="4"/>
        <v>185</v>
      </c>
      <c r="J273">
        <f>(I273 - VLOOKUP(E273,Desserts!A:D,4,FALSE)) * F273</f>
        <v>715</v>
      </c>
    </row>
    <row r="274" spans="1:10" x14ac:dyDescent="0.3">
      <c r="A274" t="s">
        <v>1097</v>
      </c>
      <c r="B274" t="s">
        <v>1098</v>
      </c>
      <c r="C274" t="s">
        <v>329</v>
      </c>
      <c r="D274" t="s">
        <v>187</v>
      </c>
      <c r="E274" t="s">
        <v>593</v>
      </c>
      <c r="F274">
        <v>4</v>
      </c>
      <c r="G274">
        <v>185</v>
      </c>
      <c r="H274" t="str">
        <f>IF(VLOOKUP(C274,Customers!A:E,5,FALSE)&gt;=1000,"YES","NO")</f>
        <v>YES</v>
      </c>
      <c r="I274">
        <f t="shared" si="4"/>
        <v>92.5</v>
      </c>
      <c r="J274">
        <f>(I274 - VLOOKUP(E274,Desserts!A:D,4,FALSE)) * F274</f>
        <v>154</v>
      </c>
    </row>
    <row r="275" spans="1:10" x14ac:dyDescent="0.3">
      <c r="A275" t="s">
        <v>1099</v>
      </c>
      <c r="B275" t="s">
        <v>1094</v>
      </c>
      <c r="C275" t="s">
        <v>417</v>
      </c>
      <c r="D275" t="s">
        <v>76</v>
      </c>
      <c r="E275" t="s">
        <v>559</v>
      </c>
      <c r="F275">
        <v>5</v>
      </c>
      <c r="G275">
        <v>218</v>
      </c>
      <c r="H275" t="str">
        <f>IF(VLOOKUP(C275,Customers!A:E,5,FALSE)&gt;=1000,"YES","NO")</f>
        <v>YES</v>
      </c>
      <c r="I275">
        <f t="shared" si="4"/>
        <v>109</v>
      </c>
      <c r="J275">
        <f>(I275 - VLOOKUP(E275,Desserts!A:D,4,FALSE)) * F275</f>
        <v>270</v>
      </c>
    </row>
    <row r="276" spans="1:10" x14ac:dyDescent="0.3">
      <c r="A276" t="s">
        <v>1100</v>
      </c>
      <c r="B276" t="s">
        <v>640</v>
      </c>
      <c r="C276" t="s">
        <v>445</v>
      </c>
      <c r="D276" t="s">
        <v>79</v>
      </c>
      <c r="E276" t="s">
        <v>609</v>
      </c>
      <c r="F276">
        <v>5</v>
      </c>
      <c r="G276">
        <v>195</v>
      </c>
      <c r="H276" t="str">
        <f>IF(VLOOKUP(C276,Customers!A:E,5,FALSE)&gt;=1000,"YES","NO")</f>
        <v>NO</v>
      </c>
      <c r="I276">
        <f t="shared" si="4"/>
        <v>195</v>
      </c>
      <c r="J276">
        <f>(I276 - VLOOKUP(E276,Desserts!A:D,4,FALSE)) * F276</f>
        <v>655</v>
      </c>
    </row>
    <row r="277" spans="1:10" x14ac:dyDescent="0.3">
      <c r="A277" t="s">
        <v>1101</v>
      </c>
      <c r="B277" t="s">
        <v>1102</v>
      </c>
      <c r="C277" t="s">
        <v>451</v>
      </c>
      <c r="D277" t="s">
        <v>5</v>
      </c>
      <c r="E277" t="s">
        <v>571</v>
      </c>
      <c r="F277">
        <v>1</v>
      </c>
      <c r="G277">
        <v>244</v>
      </c>
      <c r="H277" t="str">
        <f>IF(VLOOKUP(C277,Customers!A:E,5,FALSE)&gt;=1000,"YES","NO")</f>
        <v>NO</v>
      </c>
      <c r="I277">
        <f t="shared" si="4"/>
        <v>244</v>
      </c>
      <c r="J277">
        <f>(I277 - VLOOKUP(E277,Desserts!A:D,4,FALSE)) * F277</f>
        <v>203</v>
      </c>
    </row>
    <row r="278" spans="1:10" x14ac:dyDescent="0.3">
      <c r="A278" t="s">
        <v>1103</v>
      </c>
      <c r="B278" t="s">
        <v>1104</v>
      </c>
      <c r="C278" t="s">
        <v>445</v>
      </c>
      <c r="D278" t="s">
        <v>88</v>
      </c>
      <c r="E278" t="s">
        <v>601</v>
      </c>
      <c r="F278">
        <v>3</v>
      </c>
      <c r="G278">
        <v>247</v>
      </c>
      <c r="H278" t="str">
        <f>IF(VLOOKUP(C278,Customers!A:E,5,FALSE)&gt;=1000,"YES","NO")</f>
        <v>NO</v>
      </c>
      <c r="I278">
        <f t="shared" si="4"/>
        <v>247</v>
      </c>
      <c r="J278">
        <f>(I278 - VLOOKUP(E278,Desserts!A:D,4,FALSE)) * F278</f>
        <v>576</v>
      </c>
    </row>
    <row r="279" spans="1:10" x14ac:dyDescent="0.3">
      <c r="A279" t="s">
        <v>1105</v>
      </c>
      <c r="B279" t="s">
        <v>878</v>
      </c>
      <c r="C279" t="s">
        <v>407</v>
      </c>
      <c r="D279" t="s">
        <v>106</v>
      </c>
      <c r="E279" t="s">
        <v>547</v>
      </c>
      <c r="F279">
        <v>2</v>
      </c>
      <c r="G279">
        <v>115</v>
      </c>
      <c r="H279" t="str">
        <f>IF(VLOOKUP(C279,Customers!A:E,5,FALSE)&gt;=1000,"YES","NO")</f>
        <v>YES</v>
      </c>
      <c r="I279">
        <f t="shared" si="4"/>
        <v>57.5</v>
      </c>
      <c r="J279">
        <f>(I279 - VLOOKUP(E279,Desserts!A:D,4,FALSE)) * F279</f>
        <v>15</v>
      </c>
    </row>
    <row r="280" spans="1:10" x14ac:dyDescent="0.3">
      <c r="A280" t="s">
        <v>1106</v>
      </c>
      <c r="B280" t="s">
        <v>1107</v>
      </c>
      <c r="C280" t="s">
        <v>505</v>
      </c>
      <c r="D280" t="s">
        <v>136</v>
      </c>
      <c r="E280" t="s">
        <v>585</v>
      </c>
      <c r="F280">
        <v>1</v>
      </c>
      <c r="G280">
        <v>240</v>
      </c>
      <c r="H280" t="str">
        <f>IF(VLOOKUP(C280,Customers!A:E,5,FALSE)&gt;=1000,"YES","NO")</f>
        <v>YES</v>
      </c>
      <c r="I280">
        <f t="shared" si="4"/>
        <v>120</v>
      </c>
      <c r="J280">
        <f>(I280 - VLOOKUP(E280,Desserts!A:D,4,FALSE)) * F280</f>
        <v>73</v>
      </c>
    </row>
    <row r="281" spans="1:10" x14ac:dyDescent="0.3">
      <c r="A281" t="s">
        <v>1108</v>
      </c>
      <c r="B281" t="s">
        <v>899</v>
      </c>
      <c r="C281" t="s">
        <v>327</v>
      </c>
      <c r="D281" t="s">
        <v>166</v>
      </c>
      <c r="E281" t="s">
        <v>609</v>
      </c>
      <c r="F281">
        <v>5</v>
      </c>
      <c r="G281">
        <v>215</v>
      </c>
      <c r="H281" t="str">
        <f>IF(VLOOKUP(C281,Customers!A:E,5,FALSE)&gt;=1000,"YES","NO")</f>
        <v>YES</v>
      </c>
      <c r="I281">
        <f t="shared" si="4"/>
        <v>107.5</v>
      </c>
      <c r="J281">
        <f>(I281 - VLOOKUP(E281,Desserts!A:D,4,FALSE)) * F281</f>
        <v>217.5</v>
      </c>
    </row>
    <row r="282" spans="1:10" x14ac:dyDescent="0.3">
      <c r="A282" t="s">
        <v>1109</v>
      </c>
      <c r="B282" t="s">
        <v>1110</v>
      </c>
      <c r="C282" t="s">
        <v>429</v>
      </c>
      <c r="D282" t="s">
        <v>69</v>
      </c>
      <c r="E282" t="s">
        <v>575</v>
      </c>
      <c r="F282">
        <v>4</v>
      </c>
      <c r="G282">
        <v>220</v>
      </c>
      <c r="H282" t="str">
        <f>IF(VLOOKUP(C282,Customers!A:E,5,FALSE)&gt;=1000,"YES","NO")</f>
        <v>YES</v>
      </c>
      <c r="I282">
        <f t="shared" si="4"/>
        <v>110</v>
      </c>
      <c r="J282">
        <f>(I282 - VLOOKUP(E282,Desserts!A:D,4,FALSE)) * F282</f>
        <v>140</v>
      </c>
    </row>
    <row r="283" spans="1:10" x14ac:dyDescent="0.3">
      <c r="A283" t="s">
        <v>1111</v>
      </c>
      <c r="B283" t="s">
        <v>644</v>
      </c>
      <c r="C283" t="s">
        <v>515</v>
      </c>
      <c r="D283" t="s">
        <v>181</v>
      </c>
      <c r="E283" t="s">
        <v>545</v>
      </c>
      <c r="F283">
        <v>5</v>
      </c>
      <c r="G283">
        <v>168</v>
      </c>
      <c r="H283" t="str">
        <f>IF(VLOOKUP(C283,Customers!A:E,5,FALSE)&gt;=1000,"YES","NO")</f>
        <v>YES</v>
      </c>
      <c r="I283">
        <f t="shared" si="4"/>
        <v>84</v>
      </c>
      <c r="J283">
        <f>(I283 - VLOOKUP(E283,Desserts!A:D,4,FALSE)) * F283</f>
        <v>195</v>
      </c>
    </row>
    <row r="284" spans="1:10" x14ac:dyDescent="0.3">
      <c r="A284" t="s">
        <v>1112</v>
      </c>
      <c r="B284" t="s">
        <v>1113</v>
      </c>
      <c r="C284" t="s">
        <v>413</v>
      </c>
      <c r="D284" t="s">
        <v>91</v>
      </c>
      <c r="E284" t="s">
        <v>559</v>
      </c>
      <c r="F284">
        <v>2</v>
      </c>
      <c r="G284">
        <v>115</v>
      </c>
      <c r="H284" t="str">
        <f>IF(VLOOKUP(C284,Customers!A:E,5,FALSE)&gt;=1000,"YES","NO")</f>
        <v>YES</v>
      </c>
      <c r="I284">
        <f t="shared" si="4"/>
        <v>57.5</v>
      </c>
      <c r="J284">
        <f>(I284 - VLOOKUP(E284,Desserts!A:D,4,FALSE)) * F284</f>
        <v>5</v>
      </c>
    </row>
    <row r="285" spans="1:10" x14ac:dyDescent="0.3">
      <c r="A285" t="s">
        <v>1114</v>
      </c>
      <c r="B285" t="s">
        <v>830</v>
      </c>
      <c r="C285" t="s">
        <v>411</v>
      </c>
      <c r="D285" t="s">
        <v>217</v>
      </c>
      <c r="E285" t="s">
        <v>537</v>
      </c>
      <c r="F285">
        <v>4</v>
      </c>
      <c r="G285">
        <v>127</v>
      </c>
      <c r="H285" t="str">
        <f>IF(VLOOKUP(C285,Customers!A:E,5,FALSE)&gt;=1000,"YES","NO")</f>
        <v>NO</v>
      </c>
      <c r="I285">
        <f t="shared" si="4"/>
        <v>127</v>
      </c>
      <c r="J285">
        <f>(I285 - VLOOKUP(E285,Desserts!A:D,4,FALSE)) * F285</f>
        <v>172</v>
      </c>
    </row>
    <row r="286" spans="1:10" x14ac:dyDescent="0.3">
      <c r="A286" t="s">
        <v>1115</v>
      </c>
      <c r="B286" t="s">
        <v>839</v>
      </c>
      <c r="C286" t="s">
        <v>505</v>
      </c>
      <c r="D286" t="s">
        <v>208</v>
      </c>
      <c r="E286" t="s">
        <v>577</v>
      </c>
      <c r="F286">
        <v>5</v>
      </c>
      <c r="G286">
        <v>192</v>
      </c>
      <c r="H286" t="str">
        <f>IF(VLOOKUP(C286,Customers!A:E,5,FALSE)&gt;=1000,"YES","NO")</f>
        <v>YES</v>
      </c>
      <c r="I286">
        <f t="shared" si="4"/>
        <v>96</v>
      </c>
      <c r="J286">
        <f>(I286 - VLOOKUP(E286,Desserts!A:D,4,FALSE)) * F286</f>
        <v>130</v>
      </c>
    </row>
    <row r="287" spans="1:10" x14ac:dyDescent="0.3">
      <c r="A287" t="s">
        <v>1116</v>
      </c>
      <c r="B287" t="s">
        <v>1117</v>
      </c>
      <c r="C287" t="s">
        <v>345</v>
      </c>
      <c r="D287" t="s">
        <v>271</v>
      </c>
      <c r="E287" t="s">
        <v>547</v>
      </c>
      <c r="F287">
        <v>2</v>
      </c>
      <c r="G287">
        <v>244</v>
      </c>
      <c r="H287" t="str">
        <f>IF(VLOOKUP(C287,Customers!A:E,5,FALSE)&gt;=1000,"YES","NO")</f>
        <v>YES</v>
      </c>
      <c r="I287">
        <f t="shared" si="4"/>
        <v>122</v>
      </c>
      <c r="J287">
        <f>(I287 - VLOOKUP(E287,Desserts!A:D,4,FALSE)) * F287</f>
        <v>144</v>
      </c>
    </row>
    <row r="288" spans="1:10" x14ac:dyDescent="0.3">
      <c r="A288" t="s">
        <v>1118</v>
      </c>
      <c r="B288" t="s">
        <v>636</v>
      </c>
      <c r="C288" t="s">
        <v>401</v>
      </c>
      <c r="D288" t="s">
        <v>226</v>
      </c>
      <c r="E288" t="s">
        <v>551</v>
      </c>
      <c r="F288">
        <v>2</v>
      </c>
      <c r="G288">
        <v>207</v>
      </c>
      <c r="H288" t="str">
        <f>IF(VLOOKUP(C288,Customers!A:E,5,FALSE)&gt;=1000,"YES","NO")</f>
        <v>YES</v>
      </c>
      <c r="I288">
        <f t="shared" si="4"/>
        <v>103.5</v>
      </c>
      <c r="J288">
        <f>(I288 - VLOOKUP(E288,Desserts!A:D,4,FALSE)) * F288</f>
        <v>69</v>
      </c>
    </row>
    <row r="289" spans="1:10" x14ac:dyDescent="0.3">
      <c r="A289" t="s">
        <v>1119</v>
      </c>
      <c r="B289" t="s">
        <v>919</v>
      </c>
      <c r="C289" t="s">
        <v>383</v>
      </c>
      <c r="D289" t="s">
        <v>57</v>
      </c>
      <c r="E289" t="s">
        <v>561</v>
      </c>
      <c r="F289">
        <v>1</v>
      </c>
      <c r="G289">
        <v>176</v>
      </c>
      <c r="H289" t="str">
        <f>IF(VLOOKUP(C289,Customers!A:E,5,FALSE)&gt;=1000,"YES","NO")</f>
        <v>NO</v>
      </c>
      <c r="I289">
        <f t="shared" si="4"/>
        <v>176</v>
      </c>
      <c r="J289">
        <f>(I289 - VLOOKUP(E289,Desserts!A:D,4,FALSE)) * F289</f>
        <v>113</v>
      </c>
    </row>
    <row r="290" spans="1:10" x14ac:dyDescent="0.3">
      <c r="A290" t="s">
        <v>1120</v>
      </c>
      <c r="B290" t="s">
        <v>1121</v>
      </c>
      <c r="C290" t="s">
        <v>345</v>
      </c>
      <c r="D290" t="s">
        <v>66</v>
      </c>
      <c r="E290" t="s">
        <v>533</v>
      </c>
      <c r="F290">
        <v>2</v>
      </c>
      <c r="G290">
        <v>172</v>
      </c>
      <c r="H290" t="str">
        <f>IF(VLOOKUP(C290,Customers!A:E,5,FALSE)&gt;=1000,"YES","NO")</f>
        <v>YES</v>
      </c>
      <c r="I290">
        <f t="shared" si="4"/>
        <v>86</v>
      </c>
      <c r="J290">
        <f>(I290 - VLOOKUP(E290,Desserts!A:D,4,FALSE)) * F290</f>
        <v>38</v>
      </c>
    </row>
    <row r="291" spans="1:10" x14ac:dyDescent="0.3">
      <c r="A291" t="s">
        <v>1122</v>
      </c>
      <c r="B291" t="s">
        <v>769</v>
      </c>
      <c r="C291" t="s">
        <v>441</v>
      </c>
      <c r="D291" t="s">
        <v>112</v>
      </c>
      <c r="E291" t="s">
        <v>561</v>
      </c>
      <c r="F291">
        <v>3</v>
      </c>
      <c r="G291">
        <v>125</v>
      </c>
      <c r="H291" t="str">
        <f>IF(VLOOKUP(C291,Customers!A:E,5,FALSE)&gt;=1000,"YES","NO")</f>
        <v>NO</v>
      </c>
      <c r="I291">
        <f t="shared" si="4"/>
        <v>125</v>
      </c>
      <c r="J291">
        <f>(I291 - VLOOKUP(E291,Desserts!A:D,4,FALSE)) * F291</f>
        <v>186</v>
      </c>
    </row>
    <row r="292" spans="1:10" x14ac:dyDescent="0.3">
      <c r="A292" t="s">
        <v>1123</v>
      </c>
      <c r="B292" t="s">
        <v>1124</v>
      </c>
      <c r="C292" t="s">
        <v>441</v>
      </c>
      <c r="D292" t="s">
        <v>295</v>
      </c>
      <c r="E292" t="s">
        <v>597</v>
      </c>
      <c r="F292">
        <v>2</v>
      </c>
      <c r="G292">
        <v>169</v>
      </c>
      <c r="H292" t="str">
        <f>IF(VLOOKUP(C292,Customers!A:E,5,FALSE)&gt;=1000,"YES","NO")</f>
        <v>NO</v>
      </c>
      <c r="I292">
        <f t="shared" si="4"/>
        <v>169</v>
      </c>
      <c r="J292">
        <f>(I292 - VLOOKUP(E292,Desserts!A:D,4,FALSE)) * F292</f>
        <v>248</v>
      </c>
    </row>
    <row r="293" spans="1:10" x14ac:dyDescent="0.3">
      <c r="A293" t="s">
        <v>1125</v>
      </c>
      <c r="B293" t="s">
        <v>957</v>
      </c>
      <c r="C293" t="s">
        <v>347</v>
      </c>
      <c r="D293" t="s">
        <v>277</v>
      </c>
      <c r="E293" t="s">
        <v>535</v>
      </c>
      <c r="F293">
        <v>1</v>
      </c>
      <c r="G293">
        <v>157</v>
      </c>
      <c r="H293" t="str">
        <f>IF(VLOOKUP(C293,Customers!A:E,5,FALSE)&gt;=1000,"YES","NO")</f>
        <v>YES</v>
      </c>
      <c r="I293">
        <f t="shared" si="4"/>
        <v>78.5</v>
      </c>
      <c r="J293">
        <f>(I293 - VLOOKUP(E293,Desserts!A:D,4,FALSE)) * F293</f>
        <v>4.5</v>
      </c>
    </row>
    <row r="294" spans="1:10" x14ac:dyDescent="0.3">
      <c r="A294" t="s">
        <v>1126</v>
      </c>
      <c r="B294" t="s">
        <v>968</v>
      </c>
      <c r="C294" t="s">
        <v>335</v>
      </c>
      <c r="D294" t="s">
        <v>20</v>
      </c>
      <c r="E294" t="s">
        <v>575</v>
      </c>
      <c r="F294">
        <v>1</v>
      </c>
      <c r="G294">
        <v>145</v>
      </c>
      <c r="H294" t="str">
        <f>IF(VLOOKUP(C294,Customers!A:E,5,FALSE)&gt;=1000,"YES","NO")</f>
        <v>NO</v>
      </c>
      <c r="I294">
        <f t="shared" si="4"/>
        <v>145</v>
      </c>
      <c r="J294">
        <f>(I294 - VLOOKUP(E294,Desserts!A:D,4,FALSE)) * F294</f>
        <v>70</v>
      </c>
    </row>
    <row r="295" spans="1:10" x14ac:dyDescent="0.3">
      <c r="A295" t="s">
        <v>1127</v>
      </c>
      <c r="B295" t="s">
        <v>1128</v>
      </c>
      <c r="C295" t="s">
        <v>515</v>
      </c>
      <c r="D295" t="s">
        <v>43</v>
      </c>
      <c r="E295" t="s">
        <v>541</v>
      </c>
      <c r="F295">
        <v>1</v>
      </c>
      <c r="G295">
        <v>221</v>
      </c>
      <c r="H295" t="str">
        <f>IF(VLOOKUP(C295,Customers!A:E,5,FALSE)&gt;=1000,"YES","NO")</f>
        <v>YES</v>
      </c>
      <c r="I295">
        <f t="shared" si="4"/>
        <v>110.5</v>
      </c>
      <c r="J295">
        <f>(I295 - VLOOKUP(E295,Desserts!A:D,4,FALSE)) * F295</f>
        <v>53.5</v>
      </c>
    </row>
    <row r="296" spans="1:10" x14ac:dyDescent="0.3">
      <c r="A296" t="s">
        <v>1129</v>
      </c>
      <c r="B296" t="s">
        <v>988</v>
      </c>
      <c r="C296" t="s">
        <v>483</v>
      </c>
      <c r="D296" t="s">
        <v>51</v>
      </c>
      <c r="E296" t="s">
        <v>521</v>
      </c>
      <c r="F296">
        <v>4</v>
      </c>
      <c r="G296">
        <v>228</v>
      </c>
      <c r="H296" t="str">
        <f>IF(VLOOKUP(C296,Customers!A:E,5,FALSE)&gt;=1000,"YES","NO")</f>
        <v>YES</v>
      </c>
      <c r="I296">
        <f t="shared" si="4"/>
        <v>114</v>
      </c>
      <c r="J296">
        <f>(I296 - VLOOKUP(E296,Desserts!A:D,4,FALSE)) * F296</f>
        <v>200</v>
      </c>
    </row>
    <row r="297" spans="1:10" x14ac:dyDescent="0.3">
      <c r="A297" t="s">
        <v>1130</v>
      </c>
      <c r="B297" t="s">
        <v>675</v>
      </c>
      <c r="C297" t="s">
        <v>429</v>
      </c>
      <c r="D297" t="s">
        <v>244</v>
      </c>
      <c r="E297" t="s">
        <v>597</v>
      </c>
      <c r="F297">
        <v>2</v>
      </c>
      <c r="G297">
        <v>206</v>
      </c>
      <c r="H297" t="str">
        <f>IF(VLOOKUP(C297,Customers!A:E,5,FALSE)&gt;=1000,"YES","NO")</f>
        <v>YES</v>
      </c>
      <c r="I297">
        <f t="shared" si="4"/>
        <v>103</v>
      </c>
      <c r="J297">
        <f>(I297 - VLOOKUP(E297,Desserts!A:D,4,FALSE)) * F297</f>
        <v>116</v>
      </c>
    </row>
    <row r="298" spans="1:10" x14ac:dyDescent="0.3">
      <c r="A298" t="s">
        <v>1131</v>
      </c>
      <c r="B298" t="s">
        <v>1132</v>
      </c>
      <c r="C298" t="s">
        <v>335</v>
      </c>
      <c r="D298" t="s">
        <v>103</v>
      </c>
      <c r="E298" t="s">
        <v>597</v>
      </c>
      <c r="F298">
        <v>2</v>
      </c>
      <c r="G298">
        <v>221</v>
      </c>
      <c r="H298" t="str">
        <f>IF(VLOOKUP(C298,Customers!A:E,5,FALSE)&gt;=1000,"YES","NO")</f>
        <v>NO</v>
      </c>
      <c r="I298">
        <f t="shared" si="4"/>
        <v>221</v>
      </c>
      <c r="J298">
        <f>(I298 - VLOOKUP(E298,Desserts!A:D,4,FALSE)) * F298</f>
        <v>352</v>
      </c>
    </row>
    <row r="299" spans="1:10" x14ac:dyDescent="0.3">
      <c r="A299" t="s">
        <v>1133</v>
      </c>
      <c r="B299" t="s">
        <v>1134</v>
      </c>
      <c r="C299" t="s">
        <v>393</v>
      </c>
      <c r="D299" t="s">
        <v>247</v>
      </c>
      <c r="E299" t="s">
        <v>613</v>
      </c>
      <c r="F299">
        <v>2</v>
      </c>
      <c r="G299">
        <v>149</v>
      </c>
      <c r="H299" t="str">
        <f>IF(VLOOKUP(C299,Customers!A:E,5,FALSE)&gt;=1000,"YES","NO")</f>
        <v>YES</v>
      </c>
      <c r="I299">
        <f t="shared" si="4"/>
        <v>74.5</v>
      </c>
      <c r="J299">
        <f>(I299 - VLOOKUP(E299,Desserts!A:D,4,FALSE)) * F299</f>
        <v>-21</v>
      </c>
    </row>
    <row r="300" spans="1:10" x14ac:dyDescent="0.3">
      <c r="A300" t="s">
        <v>1135</v>
      </c>
      <c r="B300" t="s">
        <v>1136</v>
      </c>
      <c r="C300" t="s">
        <v>461</v>
      </c>
      <c r="D300" t="s">
        <v>106</v>
      </c>
      <c r="E300" t="s">
        <v>603</v>
      </c>
      <c r="F300">
        <v>3</v>
      </c>
      <c r="G300">
        <v>110</v>
      </c>
      <c r="H300" t="str">
        <f>IF(VLOOKUP(C300,Customers!A:E,5,FALSE)&gt;=1000,"YES","NO")</f>
        <v>YES</v>
      </c>
      <c r="I300">
        <f t="shared" si="4"/>
        <v>55</v>
      </c>
      <c r="J300">
        <f>(I300 - VLOOKUP(E300,Desserts!A:D,4,FALSE)) * F300</f>
        <v>-102</v>
      </c>
    </row>
    <row r="301" spans="1:10" x14ac:dyDescent="0.3">
      <c r="A301" t="s">
        <v>1137</v>
      </c>
      <c r="B301" t="s">
        <v>1138</v>
      </c>
      <c r="C301" t="s">
        <v>467</v>
      </c>
      <c r="D301" t="s">
        <v>106</v>
      </c>
      <c r="E301" t="s">
        <v>603</v>
      </c>
      <c r="F301">
        <v>2</v>
      </c>
      <c r="G301">
        <v>224</v>
      </c>
      <c r="H301" t="str">
        <f>IF(VLOOKUP(C301,Customers!A:E,5,FALSE)&gt;=1000,"YES","NO")</f>
        <v>YES</v>
      </c>
      <c r="I301">
        <f t="shared" si="4"/>
        <v>112</v>
      </c>
      <c r="J301">
        <f>(I301 - VLOOKUP(E301,Desserts!A:D,4,FALSE)) * F301</f>
        <v>46</v>
      </c>
    </row>
    <row r="302" spans="1:10" x14ac:dyDescent="0.3">
      <c r="A302" t="s">
        <v>1139</v>
      </c>
      <c r="B302" t="s">
        <v>1140</v>
      </c>
      <c r="C302" t="s">
        <v>389</v>
      </c>
      <c r="D302" t="s">
        <v>214</v>
      </c>
      <c r="E302" t="s">
        <v>589</v>
      </c>
      <c r="F302">
        <v>5</v>
      </c>
      <c r="G302">
        <v>189</v>
      </c>
      <c r="H302" t="str">
        <f>IF(VLOOKUP(C302,Customers!A:E,5,FALSE)&gt;=1000,"YES","NO")</f>
        <v>YES</v>
      </c>
      <c r="I302">
        <f t="shared" si="4"/>
        <v>94.5</v>
      </c>
      <c r="J302">
        <f>(I302 - VLOOKUP(E302,Desserts!A:D,4,FALSE)) * F302</f>
        <v>117.5</v>
      </c>
    </row>
    <row r="303" spans="1:10" x14ac:dyDescent="0.3">
      <c r="A303" t="s">
        <v>1141</v>
      </c>
      <c r="B303" t="s">
        <v>1142</v>
      </c>
      <c r="C303" t="s">
        <v>501</v>
      </c>
      <c r="D303" t="s">
        <v>115</v>
      </c>
      <c r="E303" t="s">
        <v>573</v>
      </c>
      <c r="F303">
        <v>2</v>
      </c>
      <c r="G303">
        <v>237</v>
      </c>
      <c r="H303" t="str">
        <f>IF(VLOOKUP(C303,Customers!A:E,5,FALSE)&gt;=1000,"YES","NO")</f>
        <v>YES</v>
      </c>
      <c r="I303">
        <f t="shared" si="4"/>
        <v>118.5</v>
      </c>
      <c r="J303">
        <f>(I303 - VLOOKUP(E303,Desserts!A:D,4,FALSE)) * F303</f>
        <v>137</v>
      </c>
    </row>
    <row r="304" spans="1:10" x14ac:dyDescent="0.3">
      <c r="A304" t="s">
        <v>1143</v>
      </c>
      <c r="B304" t="s">
        <v>988</v>
      </c>
      <c r="C304" t="s">
        <v>337</v>
      </c>
      <c r="D304" t="s">
        <v>136</v>
      </c>
      <c r="E304" t="s">
        <v>553</v>
      </c>
      <c r="F304">
        <v>4</v>
      </c>
      <c r="G304">
        <v>180</v>
      </c>
      <c r="H304" t="str">
        <f>IF(VLOOKUP(C304,Customers!A:E,5,FALSE)&gt;=1000,"YES","NO")</f>
        <v>NO</v>
      </c>
      <c r="I304">
        <f t="shared" si="4"/>
        <v>180</v>
      </c>
      <c r="J304">
        <f>(I304 - VLOOKUP(E304,Desserts!A:D,4,FALSE)) * F304</f>
        <v>480</v>
      </c>
    </row>
    <row r="305" spans="1:10" x14ac:dyDescent="0.3">
      <c r="A305" t="s">
        <v>1144</v>
      </c>
      <c r="B305" t="s">
        <v>1145</v>
      </c>
      <c r="C305" t="s">
        <v>387</v>
      </c>
      <c r="D305" t="s">
        <v>208</v>
      </c>
      <c r="E305" t="s">
        <v>549</v>
      </c>
      <c r="F305">
        <v>3</v>
      </c>
      <c r="G305">
        <v>162</v>
      </c>
      <c r="H305" t="str">
        <f>IF(VLOOKUP(C305,Customers!A:E,5,FALSE)&gt;=1000,"YES","NO")</f>
        <v>NO</v>
      </c>
      <c r="I305">
        <f t="shared" si="4"/>
        <v>162</v>
      </c>
      <c r="J305">
        <f>(I305 - VLOOKUP(E305,Desserts!A:D,4,FALSE)) * F305</f>
        <v>249</v>
      </c>
    </row>
    <row r="306" spans="1:10" x14ac:dyDescent="0.3">
      <c r="A306" t="s">
        <v>1146</v>
      </c>
      <c r="B306" t="s">
        <v>1147</v>
      </c>
      <c r="C306" t="s">
        <v>335</v>
      </c>
      <c r="D306" t="s">
        <v>214</v>
      </c>
      <c r="E306" t="s">
        <v>607</v>
      </c>
      <c r="F306">
        <v>4</v>
      </c>
      <c r="G306">
        <v>138</v>
      </c>
      <c r="H306" t="str">
        <f>IF(VLOOKUP(C306,Customers!A:E,5,FALSE)&gt;=1000,"YES","NO")</f>
        <v>NO</v>
      </c>
      <c r="I306">
        <f t="shared" si="4"/>
        <v>138</v>
      </c>
      <c r="J306">
        <f>(I306 - VLOOKUP(E306,Desserts!A:D,4,FALSE)) * F306</f>
        <v>272</v>
      </c>
    </row>
    <row r="307" spans="1:10" x14ac:dyDescent="0.3">
      <c r="A307" t="s">
        <v>1148</v>
      </c>
      <c r="B307" t="s">
        <v>1149</v>
      </c>
      <c r="C307" t="s">
        <v>319</v>
      </c>
      <c r="D307" t="s">
        <v>115</v>
      </c>
      <c r="E307" t="s">
        <v>603</v>
      </c>
      <c r="F307">
        <v>3</v>
      </c>
      <c r="G307">
        <v>174</v>
      </c>
      <c r="H307" t="str">
        <f>IF(VLOOKUP(C307,Customers!A:E,5,FALSE)&gt;=1000,"YES","NO")</f>
        <v>YES</v>
      </c>
      <c r="I307">
        <f t="shared" si="4"/>
        <v>87</v>
      </c>
      <c r="J307">
        <f>(I307 - VLOOKUP(E307,Desserts!A:D,4,FALSE)) * F307</f>
        <v>-6</v>
      </c>
    </row>
    <row r="308" spans="1:10" x14ac:dyDescent="0.3">
      <c r="A308" t="s">
        <v>1150</v>
      </c>
      <c r="B308" t="s">
        <v>1151</v>
      </c>
      <c r="C308" t="s">
        <v>491</v>
      </c>
      <c r="D308" t="s">
        <v>301</v>
      </c>
      <c r="E308" t="s">
        <v>613</v>
      </c>
      <c r="F308">
        <v>3</v>
      </c>
      <c r="G308">
        <v>119</v>
      </c>
      <c r="H308" t="str">
        <f>IF(VLOOKUP(C308,Customers!A:E,5,FALSE)&gt;=1000,"YES","NO")</f>
        <v>NO</v>
      </c>
      <c r="I308">
        <f t="shared" si="4"/>
        <v>119</v>
      </c>
      <c r="J308">
        <f>(I308 - VLOOKUP(E308,Desserts!A:D,4,FALSE)) * F308</f>
        <v>102</v>
      </c>
    </row>
    <row r="309" spans="1:10" x14ac:dyDescent="0.3">
      <c r="A309" t="s">
        <v>1152</v>
      </c>
      <c r="B309" t="s">
        <v>1153</v>
      </c>
      <c r="C309" t="s">
        <v>503</v>
      </c>
      <c r="D309" t="s">
        <v>193</v>
      </c>
      <c r="E309" t="s">
        <v>611</v>
      </c>
      <c r="F309">
        <v>5</v>
      </c>
      <c r="G309">
        <v>111</v>
      </c>
      <c r="H309" t="str">
        <f>IF(VLOOKUP(C309,Customers!A:E,5,FALSE)&gt;=1000,"YES","NO")</f>
        <v>NO</v>
      </c>
      <c r="I309">
        <f t="shared" si="4"/>
        <v>111</v>
      </c>
      <c r="J309">
        <f>(I309 - VLOOKUP(E309,Desserts!A:D,4,FALSE)) * F309</f>
        <v>340</v>
      </c>
    </row>
    <row r="310" spans="1:10" x14ac:dyDescent="0.3">
      <c r="A310" t="s">
        <v>1154</v>
      </c>
      <c r="B310" t="s">
        <v>1155</v>
      </c>
      <c r="C310" t="s">
        <v>389</v>
      </c>
      <c r="D310" t="s">
        <v>133</v>
      </c>
      <c r="E310" t="s">
        <v>609</v>
      </c>
      <c r="F310">
        <v>2</v>
      </c>
      <c r="G310">
        <v>147</v>
      </c>
      <c r="H310" t="str">
        <f>IF(VLOOKUP(C310,Customers!A:E,5,FALSE)&gt;=1000,"YES","NO")</f>
        <v>YES</v>
      </c>
      <c r="I310">
        <f t="shared" si="4"/>
        <v>73.5</v>
      </c>
      <c r="J310">
        <f>(I310 - VLOOKUP(E310,Desserts!A:D,4,FALSE)) * F310</f>
        <v>19</v>
      </c>
    </row>
    <row r="311" spans="1:10" x14ac:dyDescent="0.3">
      <c r="A311" t="s">
        <v>1156</v>
      </c>
      <c r="B311" t="s">
        <v>761</v>
      </c>
      <c r="C311" t="s">
        <v>379</v>
      </c>
      <c r="D311" t="s">
        <v>118</v>
      </c>
      <c r="E311" t="s">
        <v>615</v>
      </c>
      <c r="F311">
        <v>4</v>
      </c>
      <c r="G311">
        <v>156</v>
      </c>
      <c r="H311" t="str">
        <f>IF(VLOOKUP(C311,Customers!A:E,5,FALSE)&gt;=1000,"YES","NO")</f>
        <v>NO</v>
      </c>
      <c r="I311">
        <f t="shared" si="4"/>
        <v>156</v>
      </c>
      <c r="J311">
        <f>(I311 - VLOOKUP(E311,Desserts!A:D,4,FALSE)) * F311</f>
        <v>456</v>
      </c>
    </row>
    <row r="312" spans="1:10" x14ac:dyDescent="0.3">
      <c r="A312" t="s">
        <v>1157</v>
      </c>
      <c r="B312" t="s">
        <v>1158</v>
      </c>
      <c r="C312" t="s">
        <v>337</v>
      </c>
      <c r="D312" t="s">
        <v>13</v>
      </c>
      <c r="E312" t="s">
        <v>521</v>
      </c>
      <c r="F312">
        <v>1</v>
      </c>
      <c r="G312">
        <v>225</v>
      </c>
      <c r="H312" t="str">
        <f>IF(VLOOKUP(C312,Customers!A:E,5,FALSE)&gt;=1000,"YES","NO")</f>
        <v>NO</v>
      </c>
      <c r="I312">
        <f t="shared" si="4"/>
        <v>225</v>
      </c>
      <c r="J312">
        <f>(I312 - VLOOKUP(E312,Desserts!A:D,4,FALSE)) * F312</f>
        <v>161</v>
      </c>
    </row>
    <row r="313" spans="1:10" x14ac:dyDescent="0.3">
      <c r="A313" t="s">
        <v>1159</v>
      </c>
      <c r="B313" t="s">
        <v>899</v>
      </c>
      <c r="C313" t="s">
        <v>457</v>
      </c>
      <c r="D313" t="s">
        <v>37</v>
      </c>
      <c r="E313" t="s">
        <v>599</v>
      </c>
      <c r="F313">
        <v>2</v>
      </c>
      <c r="G313">
        <v>213</v>
      </c>
      <c r="H313" t="str">
        <f>IF(VLOOKUP(C313,Customers!A:E,5,FALSE)&gt;=1000,"YES","NO")</f>
        <v>YES</v>
      </c>
      <c r="I313">
        <f t="shared" si="4"/>
        <v>106.5</v>
      </c>
      <c r="J313">
        <f>(I313 - VLOOKUP(E313,Desserts!A:D,4,FALSE)) * F313</f>
        <v>53</v>
      </c>
    </row>
    <row r="314" spans="1:10" x14ac:dyDescent="0.3">
      <c r="A314" t="s">
        <v>1160</v>
      </c>
      <c r="B314" t="s">
        <v>1161</v>
      </c>
      <c r="C314" t="s">
        <v>495</v>
      </c>
      <c r="D314" t="s">
        <v>208</v>
      </c>
      <c r="E314" t="s">
        <v>533</v>
      </c>
      <c r="F314">
        <v>1</v>
      </c>
      <c r="G314">
        <v>247</v>
      </c>
      <c r="H314" t="str">
        <f>IF(VLOOKUP(C314,Customers!A:E,5,FALSE)&gt;=1000,"YES","NO")</f>
        <v>NO</v>
      </c>
      <c r="I314">
        <f t="shared" si="4"/>
        <v>247</v>
      </c>
      <c r="J314">
        <f>(I314 - VLOOKUP(E314,Desserts!A:D,4,FALSE)) * F314</f>
        <v>180</v>
      </c>
    </row>
    <row r="315" spans="1:10" x14ac:dyDescent="0.3">
      <c r="A315" t="s">
        <v>1162</v>
      </c>
      <c r="B315" t="s">
        <v>1163</v>
      </c>
      <c r="C315" t="s">
        <v>445</v>
      </c>
      <c r="D315" t="s">
        <v>301</v>
      </c>
      <c r="E315" t="s">
        <v>559</v>
      </c>
      <c r="F315">
        <v>2</v>
      </c>
      <c r="G315">
        <v>245</v>
      </c>
      <c r="H315" t="str">
        <f>IF(VLOOKUP(C315,Customers!A:E,5,FALSE)&gt;=1000,"YES","NO")</f>
        <v>NO</v>
      </c>
      <c r="I315">
        <f t="shared" si="4"/>
        <v>245</v>
      </c>
      <c r="J315">
        <f>(I315 - VLOOKUP(E315,Desserts!A:D,4,FALSE)) * F315</f>
        <v>380</v>
      </c>
    </row>
    <row r="316" spans="1:10" x14ac:dyDescent="0.3">
      <c r="A316" t="s">
        <v>1164</v>
      </c>
      <c r="B316" t="s">
        <v>733</v>
      </c>
      <c r="C316" t="s">
        <v>429</v>
      </c>
      <c r="D316" t="s">
        <v>175</v>
      </c>
      <c r="E316" t="s">
        <v>559</v>
      </c>
      <c r="F316">
        <v>2</v>
      </c>
      <c r="G316">
        <v>130</v>
      </c>
      <c r="H316" t="str">
        <f>IF(VLOOKUP(C316,Customers!A:E,5,FALSE)&gt;=1000,"YES","NO")</f>
        <v>YES</v>
      </c>
      <c r="I316">
        <f t="shared" si="4"/>
        <v>65</v>
      </c>
      <c r="J316">
        <f>(I316 - VLOOKUP(E316,Desserts!A:D,4,FALSE)) * F316</f>
        <v>20</v>
      </c>
    </row>
    <row r="317" spans="1:10" x14ac:dyDescent="0.3">
      <c r="A317" t="s">
        <v>1165</v>
      </c>
      <c r="B317" t="s">
        <v>955</v>
      </c>
      <c r="C317" t="s">
        <v>369</v>
      </c>
      <c r="D317" t="s">
        <v>256</v>
      </c>
      <c r="E317" t="s">
        <v>575</v>
      </c>
      <c r="F317">
        <v>1</v>
      </c>
      <c r="G317">
        <v>200</v>
      </c>
      <c r="H317" t="str">
        <f>IF(VLOOKUP(C317,Customers!A:E,5,FALSE)&gt;=1000,"YES","NO")</f>
        <v>YES</v>
      </c>
      <c r="I317">
        <f t="shared" si="4"/>
        <v>100</v>
      </c>
      <c r="J317">
        <f>(I317 - VLOOKUP(E317,Desserts!A:D,4,FALSE)) * F317</f>
        <v>25</v>
      </c>
    </row>
    <row r="318" spans="1:10" x14ac:dyDescent="0.3">
      <c r="A318" t="s">
        <v>1166</v>
      </c>
      <c r="B318" t="s">
        <v>1167</v>
      </c>
      <c r="C318" t="s">
        <v>385</v>
      </c>
      <c r="D318" t="s">
        <v>214</v>
      </c>
      <c r="E318" t="s">
        <v>575</v>
      </c>
      <c r="F318">
        <v>3</v>
      </c>
      <c r="G318">
        <v>244</v>
      </c>
      <c r="H318" t="str">
        <f>IF(VLOOKUP(C318,Customers!A:E,5,FALSE)&gt;=1000,"YES","NO")</f>
        <v>YES</v>
      </c>
      <c r="I318">
        <f t="shared" si="4"/>
        <v>122</v>
      </c>
      <c r="J318">
        <f>(I318 - VLOOKUP(E318,Desserts!A:D,4,FALSE)) * F318</f>
        <v>141</v>
      </c>
    </row>
    <row r="319" spans="1:10" x14ac:dyDescent="0.3">
      <c r="A319" t="s">
        <v>1168</v>
      </c>
      <c r="B319" t="s">
        <v>1169</v>
      </c>
      <c r="C319" t="s">
        <v>429</v>
      </c>
      <c r="D319" t="s">
        <v>211</v>
      </c>
      <c r="E319" t="s">
        <v>603</v>
      </c>
      <c r="F319">
        <v>5</v>
      </c>
      <c r="G319">
        <v>246</v>
      </c>
      <c r="H319" t="str">
        <f>IF(VLOOKUP(C319,Customers!A:E,5,FALSE)&gt;=1000,"YES","NO")</f>
        <v>YES</v>
      </c>
      <c r="I319">
        <f t="shared" si="4"/>
        <v>123</v>
      </c>
      <c r="J319">
        <f>(I319 - VLOOKUP(E319,Desserts!A:D,4,FALSE)) * F319</f>
        <v>170</v>
      </c>
    </row>
    <row r="320" spans="1:10" x14ac:dyDescent="0.3">
      <c r="A320" t="s">
        <v>1170</v>
      </c>
      <c r="B320" t="s">
        <v>959</v>
      </c>
      <c r="C320" t="s">
        <v>323</v>
      </c>
      <c r="D320" t="s">
        <v>229</v>
      </c>
      <c r="E320" t="s">
        <v>597</v>
      </c>
      <c r="F320">
        <v>4</v>
      </c>
      <c r="G320">
        <v>119</v>
      </c>
      <c r="H320" t="str">
        <f>IF(VLOOKUP(C320,Customers!A:E,5,FALSE)&gt;=1000,"YES","NO")</f>
        <v>NO</v>
      </c>
      <c r="I320">
        <f t="shared" si="4"/>
        <v>119</v>
      </c>
      <c r="J320">
        <f>(I320 - VLOOKUP(E320,Desserts!A:D,4,FALSE)) * F320</f>
        <v>296</v>
      </c>
    </row>
    <row r="321" spans="1:10" x14ac:dyDescent="0.3">
      <c r="A321" t="s">
        <v>1171</v>
      </c>
      <c r="B321" t="s">
        <v>653</v>
      </c>
      <c r="C321" t="s">
        <v>375</v>
      </c>
      <c r="D321" t="s">
        <v>235</v>
      </c>
      <c r="E321" t="s">
        <v>577</v>
      </c>
      <c r="F321">
        <v>4</v>
      </c>
      <c r="G321">
        <v>121</v>
      </c>
      <c r="H321" t="str">
        <f>IF(VLOOKUP(C321,Customers!A:E,5,FALSE)&gt;=1000,"YES","NO")</f>
        <v>NO</v>
      </c>
      <c r="I321">
        <f t="shared" si="4"/>
        <v>121</v>
      </c>
      <c r="J321">
        <f>(I321 - VLOOKUP(E321,Desserts!A:D,4,FALSE)) * F321</f>
        <v>204</v>
      </c>
    </row>
    <row r="322" spans="1:10" x14ac:dyDescent="0.3">
      <c r="A322" t="s">
        <v>1172</v>
      </c>
      <c r="B322" t="s">
        <v>867</v>
      </c>
      <c r="C322" t="s">
        <v>473</v>
      </c>
      <c r="D322" t="s">
        <v>109</v>
      </c>
      <c r="E322" t="s">
        <v>577</v>
      </c>
      <c r="F322">
        <v>3</v>
      </c>
      <c r="G322">
        <v>155</v>
      </c>
      <c r="H322" t="str">
        <f>IF(VLOOKUP(C322,Customers!A:E,5,FALSE)&gt;=1000,"YES","NO")</f>
        <v>NO</v>
      </c>
      <c r="I322">
        <f t="shared" ref="I322:I385" si="5">IF(H322="YES",G322*0.5,G322)</f>
        <v>155</v>
      </c>
      <c r="J322">
        <f>(I322 - VLOOKUP(E322,Desserts!A:D,4,FALSE)) * F322</f>
        <v>255</v>
      </c>
    </row>
    <row r="323" spans="1:10" x14ac:dyDescent="0.3">
      <c r="A323" t="s">
        <v>1173</v>
      </c>
      <c r="B323" t="s">
        <v>1174</v>
      </c>
      <c r="C323" t="s">
        <v>343</v>
      </c>
      <c r="D323" t="s">
        <v>256</v>
      </c>
      <c r="E323" t="s">
        <v>583</v>
      </c>
      <c r="F323">
        <v>2</v>
      </c>
      <c r="G323">
        <v>250</v>
      </c>
      <c r="H323" t="str">
        <f>IF(VLOOKUP(C323,Customers!A:E,5,FALSE)&gt;=1000,"YES","NO")</f>
        <v>YES</v>
      </c>
      <c r="I323">
        <f t="shared" si="5"/>
        <v>125</v>
      </c>
      <c r="J323">
        <f>(I323 - VLOOKUP(E323,Desserts!A:D,4,FALSE)) * F323</f>
        <v>84</v>
      </c>
    </row>
    <row r="324" spans="1:10" x14ac:dyDescent="0.3">
      <c r="A324" t="s">
        <v>1175</v>
      </c>
      <c r="B324" t="s">
        <v>751</v>
      </c>
      <c r="C324" t="s">
        <v>445</v>
      </c>
      <c r="D324" t="s">
        <v>103</v>
      </c>
      <c r="E324" t="s">
        <v>547</v>
      </c>
      <c r="F324">
        <v>5</v>
      </c>
      <c r="G324">
        <v>224</v>
      </c>
      <c r="H324" t="str">
        <f>IF(VLOOKUP(C324,Customers!A:E,5,FALSE)&gt;=1000,"YES","NO")</f>
        <v>NO</v>
      </c>
      <c r="I324">
        <f t="shared" si="5"/>
        <v>224</v>
      </c>
      <c r="J324">
        <f>(I324 - VLOOKUP(E324,Desserts!A:D,4,FALSE)) * F324</f>
        <v>870</v>
      </c>
    </row>
    <row r="325" spans="1:10" x14ac:dyDescent="0.3">
      <c r="A325" t="s">
        <v>1176</v>
      </c>
      <c r="B325" t="s">
        <v>1177</v>
      </c>
      <c r="C325" t="s">
        <v>487</v>
      </c>
      <c r="D325" t="s">
        <v>47</v>
      </c>
      <c r="E325" t="s">
        <v>559</v>
      </c>
      <c r="F325">
        <v>2</v>
      </c>
      <c r="G325">
        <v>203</v>
      </c>
      <c r="H325" t="str">
        <f>IF(VLOOKUP(C325,Customers!A:E,5,FALSE)&gt;=1000,"YES","NO")</f>
        <v>NO</v>
      </c>
      <c r="I325">
        <f t="shared" si="5"/>
        <v>203</v>
      </c>
      <c r="J325">
        <f>(I325 - VLOOKUP(E325,Desserts!A:D,4,FALSE)) * F325</f>
        <v>296</v>
      </c>
    </row>
    <row r="326" spans="1:10" x14ac:dyDescent="0.3">
      <c r="A326" t="s">
        <v>1178</v>
      </c>
      <c r="B326" t="s">
        <v>759</v>
      </c>
      <c r="C326" t="s">
        <v>501</v>
      </c>
      <c r="D326" t="s">
        <v>310</v>
      </c>
      <c r="E326" t="s">
        <v>589</v>
      </c>
      <c r="F326">
        <v>3</v>
      </c>
      <c r="G326">
        <v>159</v>
      </c>
      <c r="H326" t="str">
        <f>IF(VLOOKUP(C326,Customers!A:E,5,FALSE)&gt;=1000,"YES","NO")</f>
        <v>YES</v>
      </c>
      <c r="I326">
        <f t="shared" si="5"/>
        <v>79.5</v>
      </c>
      <c r="J326">
        <f>(I326 - VLOOKUP(E326,Desserts!A:D,4,FALSE)) * F326</f>
        <v>25.5</v>
      </c>
    </row>
    <row r="327" spans="1:10" x14ac:dyDescent="0.3">
      <c r="A327" t="s">
        <v>1179</v>
      </c>
      <c r="B327" t="s">
        <v>998</v>
      </c>
      <c r="C327" t="s">
        <v>515</v>
      </c>
      <c r="D327" t="s">
        <v>169</v>
      </c>
      <c r="E327" t="s">
        <v>607</v>
      </c>
      <c r="F327">
        <v>5</v>
      </c>
      <c r="G327">
        <v>139</v>
      </c>
      <c r="H327" t="str">
        <f>IF(VLOOKUP(C327,Customers!A:E,5,FALSE)&gt;=1000,"YES","NO")</f>
        <v>YES</v>
      </c>
      <c r="I327">
        <f t="shared" si="5"/>
        <v>69.5</v>
      </c>
      <c r="J327">
        <f>(I327 - VLOOKUP(E327,Desserts!A:D,4,FALSE)) * F327</f>
        <v>-2.5</v>
      </c>
    </row>
    <row r="328" spans="1:10" x14ac:dyDescent="0.3">
      <c r="A328" t="s">
        <v>1180</v>
      </c>
      <c r="B328" t="s">
        <v>798</v>
      </c>
      <c r="C328" t="s">
        <v>367</v>
      </c>
      <c r="D328" t="s">
        <v>72</v>
      </c>
      <c r="E328" t="s">
        <v>595</v>
      </c>
      <c r="F328">
        <v>4</v>
      </c>
      <c r="G328">
        <v>177</v>
      </c>
      <c r="H328" t="str">
        <f>IF(VLOOKUP(C328,Customers!A:E,5,FALSE)&gt;=1000,"YES","NO")</f>
        <v>NO</v>
      </c>
      <c r="I328">
        <f t="shared" si="5"/>
        <v>177</v>
      </c>
      <c r="J328">
        <f>(I328 - VLOOKUP(E328,Desserts!A:D,4,FALSE)) * F328</f>
        <v>428</v>
      </c>
    </row>
    <row r="329" spans="1:10" x14ac:dyDescent="0.3">
      <c r="A329" t="s">
        <v>1181</v>
      </c>
      <c r="B329" t="s">
        <v>847</v>
      </c>
      <c r="C329" t="s">
        <v>497</v>
      </c>
      <c r="D329" t="s">
        <v>118</v>
      </c>
      <c r="E329" t="s">
        <v>589</v>
      </c>
      <c r="F329">
        <v>4</v>
      </c>
      <c r="G329">
        <v>224</v>
      </c>
      <c r="H329" t="str">
        <f>IF(VLOOKUP(C329,Customers!A:E,5,FALSE)&gt;=1000,"YES","NO")</f>
        <v>NO</v>
      </c>
      <c r="I329">
        <f t="shared" si="5"/>
        <v>224</v>
      </c>
      <c r="J329">
        <f>(I329 - VLOOKUP(E329,Desserts!A:D,4,FALSE)) * F329</f>
        <v>612</v>
      </c>
    </row>
    <row r="330" spans="1:10" x14ac:dyDescent="0.3">
      <c r="A330" t="s">
        <v>1182</v>
      </c>
      <c r="B330" t="s">
        <v>1183</v>
      </c>
      <c r="C330" t="s">
        <v>375</v>
      </c>
      <c r="D330" t="s">
        <v>256</v>
      </c>
      <c r="E330" t="s">
        <v>583</v>
      </c>
      <c r="F330">
        <v>5</v>
      </c>
      <c r="G330">
        <v>138</v>
      </c>
      <c r="H330" t="str">
        <f>IF(VLOOKUP(C330,Customers!A:E,5,FALSE)&gt;=1000,"YES","NO")</f>
        <v>NO</v>
      </c>
      <c r="I330">
        <f t="shared" si="5"/>
        <v>138</v>
      </c>
      <c r="J330">
        <f>(I330 - VLOOKUP(E330,Desserts!A:D,4,FALSE)) * F330</f>
        <v>275</v>
      </c>
    </row>
    <row r="331" spans="1:10" x14ac:dyDescent="0.3">
      <c r="A331" t="s">
        <v>1184</v>
      </c>
      <c r="B331" t="s">
        <v>1185</v>
      </c>
      <c r="C331" t="s">
        <v>385</v>
      </c>
      <c r="D331" t="s">
        <v>277</v>
      </c>
      <c r="E331" t="s">
        <v>527</v>
      </c>
      <c r="F331">
        <v>2</v>
      </c>
      <c r="G331">
        <v>229</v>
      </c>
      <c r="H331" t="str">
        <f>IF(VLOOKUP(C331,Customers!A:E,5,FALSE)&gt;=1000,"YES","NO")</f>
        <v>YES</v>
      </c>
      <c r="I331">
        <f t="shared" si="5"/>
        <v>114.5</v>
      </c>
      <c r="J331">
        <f>(I331 - VLOOKUP(E331,Desserts!A:D,4,FALSE)) * F331</f>
        <v>143</v>
      </c>
    </row>
    <row r="332" spans="1:10" x14ac:dyDescent="0.3">
      <c r="A332" t="s">
        <v>1186</v>
      </c>
      <c r="B332" t="s">
        <v>1153</v>
      </c>
      <c r="C332" t="s">
        <v>501</v>
      </c>
      <c r="D332" t="s">
        <v>54</v>
      </c>
      <c r="E332" t="s">
        <v>601</v>
      </c>
      <c r="F332">
        <v>4</v>
      </c>
      <c r="G332">
        <v>102</v>
      </c>
      <c r="H332" t="str">
        <f>IF(VLOOKUP(C332,Customers!A:E,5,FALSE)&gt;=1000,"YES","NO")</f>
        <v>YES</v>
      </c>
      <c r="I332">
        <f t="shared" si="5"/>
        <v>51</v>
      </c>
      <c r="J332">
        <f>(I332 - VLOOKUP(E332,Desserts!A:D,4,FALSE)) * F332</f>
        <v>-16</v>
      </c>
    </row>
    <row r="333" spans="1:10" x14ac:dyDescent="0.3">
      <c r="A333" t="s">
        <v>1187</v>
      </c>
      <c r="B333" t="s">
        <v>1188</v>
      </c>
      <c r="C333" t="s">
        <v>369</v>
      </c>
      <c r="D333" t="s">
        <v>289</v>
      </c>
      <c r="E333" t="s">
        <v>535</v>
      </c>
      <c r="F333">
        <v>5</v>
      </c>
      <c r="G333">
        <v>222</v>
      </c>
      <c r="H333" t="str">
        <f>IF(VLOOKUP(C333,Customers!A:E,5,FALSE)&gt;=1000,"YES","NO")</f>
        <v>YES</v>
      </c>
      <c r="I333">
        <f t="shared" si="5"/>
        <v>111</v>
      </c>
      <c r="J333">
        <f>(I333 - VLOOKUP(E333,Desserts!A:D,4,FALSE)) * F333</f>
        <v>185</v>
      </c>
    </row>
    <row r="334" spans="1:10" x14ac:dyDescent="0.3">
      <c r="A334" t="s">
        <v>1189</v>
      </c>
      <c r="B334" t="s">
        <v>1190</v>
      </c>
      <c r="C334" t="s">
        <v>387</v>
      </c>
      <c r="D334" t="s">
        <v>268</v>
      </c>
      <c r="E334" t="s">
        <v>573</v>
      </c>
      <c r="F334">
        <v>3</v>
      </c>
      <c r="G334">
        <v>229</v>
      </c>
      <c r="H334" t="str">
        <f>IF(VLOOKUP(C334,Customers!A:E,5,FALSE)&gt;=1000,"YES","NO")</f>
        <v>NO</v>
      </c>
      <c r="I334">
        <f t="shared" si="5"/>
        <v>229</v>
      </c>
      <c r="J334">
        <f>(I334 - VLOOKUP(E334,Desserts!A:D,4,FALSE)) * F334</f>
        <v>537</v>
      </c>
    </row>
    <row r="335" spans="1:10" x14ac:dyDescent="0.3">
      <c r="A335" t="s">
        <v>1191</v>
      </c>
      <c r="B335" t="s">
        <v>886</v>
      </c>
      <c r="C335" t="s">
        <v>395</v>
      </c>
      <c r="D335" t="s">
        <v>88</v>
      </c>
      <c r="E335" t="s">
        <v>593</v>
      </c>
      <c r="F335">
        <v>2</v>
      </c>
      <c r="G335">
        <v>246</v>
      </c>
      <c r="H335" t="str">
        <f>IF(VLOOKUP(C335,Customers!A:E,5,FALSE)&gt;=1000,"YES","NO")</f>
        <v>NO</v>
      </c>
      <c r="I335">
        <f t="shared" si="5"/>
        <v>246</v>
      </c>
      <c r="J335">
        <f>(I335 - VLOOKUP(E335,Desserts!A:D,4,FALSE)) * F335</f>
        <v>384</v>
      </c>
    </row>
    <row r="336" spans="1:10" x14ac:dyDescent="0.3">
      <c r="A336" t="s">
        <v>1192</v>
      </c>
      <c r="B336" t="s">
        <v>687</v>
      </c>
      <c r="C336" t="s">
        <v>351</v>
      </c>
      <c r="D336" t="s">
        <v>286</v>
      </c>
      <c r="E336" t="s">
        <v>529</v>
      </c>
      <c r="F336">
        <v>5</v>
      </c>
      <c r="G336">
        <v>145</v>
      </c>
      <c r="H336" t="str">
        <f>IF(VLOOKUP(C336,Customers!A:E,5,FALSE)&gt;=1000,"YES","NO")</f>
        <v>NO</v>
      </c>
      <c r="I336">
        <f t="shared" si="5"/>
        <v>145</v>
      </c>
      <c r="J336">
        <f>(I336 - VLOOKUP(E336,Desserts!A:D,4,FALSE)) * F336</f>
        <v>385</v>
      </c>
    </row>
    <row r="337" spans="1:10" x14ac:dyDescent="0.3">
      <c r="A337" t="s">
        <v>1193</v>
      </c>
      <c r="B337" t="s">
        <v>1194</v>
      </c>
      <c r="C337" t="s">
        <v>419</v>
      </c>
      <c r="D337" t="s">
        <v>139</v>
      </c>
      <c r="E337" t="s">
        <v>547</v>
      </c>
      <c r="F337">
        <v>5</v>
      </c>
      <c r="G337">
        <v>222</v>
      </c>
      <c r="H337" t="str">
        <f>IF(VLOOKUP(C337,Customers!A:E,5,FALSE)&gt;=1000,"YES","NO")</f>
        <v>NO</v>
      </c>
      <c r="I337">
        <f t="shared" si="5"/>
        <v>222</v>
      </c>
      <c r="J337">
        <f>(I337 - VLOOKUP(E337,Desserts!A:D,4,FALSE)) * F337</f>
        <v>860</v>
      </c>
    </row>
    <row r="338" spans="1:10" x14ac:dyDescent="0.3">
      <c r="A338" t="s">
        <v>1195</v>
      </c>
      <c r="B338" t="s">
        <v>1196</v>
      </c>
      <c r="C338" t="s">
        <v>479</v>
      </c>
      <c r="D338" t="s">
        <v>5</v>
      </c>
      <c r="E338" t="s">
        <v>557</v>
      </c>
      <c r="F338">
        <v>4</v>
      </c>
      <c r="G338">
        <v>149</v>
      </c>
      <c r="H338" t="str">
        <f>IF(VLOOKUP(C338,Customers!A:E,5,FALSE)&gt;=1000,"YES","NO")</f>
        <v>YES</v>
      </c>
      <c r="I338">
        <f t="shared" si="5"/>
        <v>74.5</v>
      </c>
      <c r="J338">
        <f>(I338 - VLOOKUP(E338,Desserts!A:D,4,FALSE)) * F338</f>
        <v>-38</v>
      </c>
    </row>
    <row r="339" spans="1:10" x14ac:dyDescent="0.3">
      <c r="A339" t="s">
        <v>1197</v>
      </c>
      <c r="B339" t="s">
        <v>1128</v>
      </c>
      <c r="C339" t="s">
        <v>373</v>
      </c>
      <c r="D339" t="s">
        <v>298</v>
      </c>
      <c r="E339" t="s">
        <v>525</v>
      </c>
      <c r="F339">
        <v>5</v>
      </c>
      <c r="G339">
        <v>175</v>
      </c>
      <c r="H339" t="str">
        <f>IF(VLOOKUP(C339,Customers!A:E,5,FALSE)&gt;=1000,"YES","NO")</f>
        <v>NO</v>
      </c>
      <c r="I339">
        <f t="shared" si="5"/>
        <v>175</v>
      </c>
      <c r="J339">
        <f>(I339 - VLOOKUP(E339,Desserts!A:D,4,FALSE)) * F339</f>
        <v>455</v>
      </c>
    </row>
    <row r="340" spans="1:10" x14ac:dyDescent="0.3">
      <c r="A340" t="s">
        <v>1198</v>
      </c>
      <c r="B340" t="s">
        <v>1199</v>
      </c>
      <c r="C340" t="s">
        <v>511</v>
      </c>
      <c r="D340" t="s">
        <v>54</v>
      </c>
      <c r="E340" t="s">
        <v>589</v>
      </c>
      <c r="F340">
        <v>2</v>
      </c>
      <c r="G340">
        <v>116</v>
      </c>
      <c r="H340" t="str">
        <f>IF(VLOOKUP(C340,Customers!A:E,5,FALSE)&gt;=1000,"YES","NO")</f>
        <v>YES</v>
      </c>
      <c r="I340">
        <f t="shared" si="5"/>
        <v>58</v>
      </c>
      <c r="J340">
        <f>(I340 - VLOOKUP(E340,Desserts!A:D,4,FALSE)) * F340</f>
        <v>-26</v>
      </c>
    </row>
    <row r="341" spans="1:10" x14ac:dyDescent="0.3">
      <c r="A341" t="s">
        <v>1200</v>
      </c>
      <c r="B341" t="s">
        <v>976</v>
      </c>
      <c r="C341" t="s">
        <v>329</v>
      </c>
      <c r="D341" t="s">
        <v>5</v>
      </c>
      <c r="E341" t="s">
        <v>561</v>
      </c>
      <c r="F341">
        <v>1</v>
      </c>
      <c r="G341">
        <v>138</v>
      </c>
      <c r="H341" t="str">
        <f>IF(VLOOKUP(C341,Customers!A:E,5,FALSE)&gt;=1000,"YES","NO")</f>
        <v>YES</v>
      </c>
      <c r="I341">
        <f t="shared" si="5"/>
        <v>69</v>
      </c>
      <c r="J341">
        <f>(I341 - VLOOKUP(E341,Desserts!A:D,4,FALSE)) * F341</f>
        <v>6</v>
      </c>
    </row>
    <row r="342" spans="1:10" x14ac:dyDescent="0.3">
      <c r="A342" t="s">
        <v>1201</v>
      </c>
      <c r="B342" t="s">
        <v>721</v>
      </c>
      <c r="C342" t="s">
        <v>361</v>
      </c>
      <c r="D342" t="s">
        <v>193</v>
      </c>
      <c r="E342" t="s">
        <v>599</v>
      </c>
      <c r="F342">
        <v>3</v>
      </c>
      <c r="G342">
        <v>186</v>
      </c>
      <c r="H342" t="str">
        <f>IF(VLOOKUP(C342,Customers!A:E,5,FALSE)&gt;=1000,"YES","NO")</f>
        <v>NO</v>
      </c>
      <c r="I342">
        <f t="shared" si="5"/>
        <v>186</v>
      </c>
      <c r="J342">
        <f>(I342 - VLOOKUP(E342,Desserts!A:D,4,FALSE)) * F342</f>
        <v>318</v>
      </c>
    </row>
    <row r="343" spans="1:10" x14ac:dyDescent="0.3">
      <c r="A343" t="s">
        <v>1202</v>
      </c>
      <c r="B343" t="s">
        <v>1203</v>
      </c>
      <c r="C343" t="s">
        <v>375</v>
      </c>
      <c r="D343" t="s">
        <v>115</v>
      </c>
      <c r="E343" t="s">
        <v>529</v>
      </c>
      <c r="F343">
        <v>1</v>
      </c>
      <c r="G343">
        <v>143</v>
      </c>
      <c r="H343" t="str">
        <f>IF(VLOOKUP(C343,Customers!A:E,5,FALSE)&gt;=1000,"YES","NO")</f>
        <v>NO</v>
      </c>
      <c r="I343">
        <f t="shared" si="5"/>
        <v>143</v>
      </c>
      <c r="J343">
        <f>(I343 - VLOOKUP(E343,Desserts!A:D,4,FALSE)) * F343</f>
        <v>75</v>
      </c>
    </row>
    <row r="344" spans="1:10" x14ac:dyDescent="0.3">
      <c r="A344" t="s">
        <v>1204</v>
      </c>
      <c r="B344" t="s">
        <v>1205</v>
      </c>
      <c r="C344" t="s">
        <v>487</v>
      </c>
      <c r="D344" t="s">
        <v>205</v>
      </c>
      <c r="E344" t="s">
        <v>607</v>
      </c>
      <c r="F344">
        <v>3</v>
      </c>
      <c r="G344">
        <v>130</v>
      </c>
      <c r="H344" t="str">
        <f>IF(VLOOKUP(C344,Customers!A:E,5,FALSE)&gt;=1000,"YES","NO")</f>
        <v>NO</v>
      </c>
      <c r="I344">
        <f t="shared" si="5"/>
        <v>130</v>
      </c>
      <c r="J344">
        <f>(I344 - VLOOKUP(E344,Desserts!A:D,4,FALSE)) * F344</f>
        <v>180</v>
      </c>
    </row>
    <row r="345" spans="1:10" x14ac:dyDescent="0.3">
      <c r="A345" t="s">
        <v>1206</v>
      </c>
      <c r="B345" t="s">
        <v>655</v>
      </c>
      <c r="C345" t="s">
        <v>457</v>
      </c>
      <c r="D345" t="s">
        <v>79</v>
      </c>
      <c r="E345" t="s">
        <v>583</v>
      </c>
      <c r="F345">
        <v>5</v>
      </c>
      <c r="G345">
        <v>207</v>
      </c>
      <c r="H345" t="str">
        <f>IF(VLOOKUP(C345,Customers!A:E,5,FALSE)&gt;=1000,"YES","NO")</f>
        <v>YES</v>
      </c>
      <c r="I345">
        <f t="shared" si="5"/>
        <v>103.5</v>
      </c>
      <c r="J345">
        <f>(I345 - VLOOKUP(E345,Desserts!A:D,4,FALSE)) * F345</f>
        <v>102.5</v>
      </c>
    </row>
    <row r="346" spans="1:10" x14ac:dyDescent="0.3">
      <c r="A346" t="s">
        <v>1207</v>
      </c>
      <c r="B346" t="s">
        <v>1208</v>
      </c>
      <c r="C346" t="s">
        <v>423</v>
      </c>
      <c r="D346" t="s">
        <v>148</v>
      </c>
      <c r="E346" t="s">
        <v>549</v>
      </c>
      <c r="F346">
        <v>3</v>
      </c>
      <c r="G346">
        <v>120</v>
      </c>
      <c r="H346" t="str">
        <f>IF(VLOOKUP(C346,Customers!A:E,5,FALSE)&gt;=1000,"YES","NO")</f>
        <v>NO</v>
      </c>
      <c r="I346">
        <f t="shared" si="5"/>
        <v>120</v>
      </c>
      <c r="J346">
        <f>(I346 - VLOOKUP(E346,Desserts!A:D,4,FALSE)) * F346</f>
        <v>123</v>
      </c>
    </row>
    <row r="347" spans="1:10" x14ac:dyDescent="0.3">
      <c r="A347" t="s">
        <v>1209</v>
      </c>
      <c r="B347" t="s">
        <v>992</v>
      </c>
      <c r="C347" t="s">
        <v>469</v>
      </c>
      <c r="D347" t="s">
        <v>175</v>
      </c>
      <c r="E347" t="s">
        <v>543</v>
      </c>
      <c r="F347">
        <v>4</v>
      </c>
      <c r="G347">
        <v>237</v>
      </c>
      <c r="H347" t="str">
        <f>IF(VLOOKUP(C347,Customers!A:E,5,FALSE)&gt;=1000,"YES","NO")</f>
        <v>NO</v>
      </c>
      <c r="I347">
        <f t="shared" si="5"/>
        <v>237</v>
      </c>
      <c r="J347">
        <f>(I347 - VLOOKUP(E347,Desserts!A:D,4,FALSE)) * F347</f>
        <v>656</v>
      </c>
    </row>
    <row r="348" spans="1:10" x14ac:dyDescent="0.3">
      <c r="A348" t="s">
        <v>1210</v>
      </c>
      <c r="B348" t="s">
        <v>739</v>
      </c>
      <c r="C348" t="s">
        <v>335</v>
      </c>
      <c r="D348" t="s">
        <v>244</v>
      </c>
      <c r="E348" t="s">
        <v>557</v>
      </c>
      <c r="F348">
        <v>2</v>
      </c>
      <c r="G348">
        <v>189</v>
      </c>
      <c r="H348" t="str">
        <f>IF(VLOOKUP(C348,Customers!A:E,5,FALSE)&gt;=1000,"YES","NO")</f>
        <v>NO</v>
      </c>
      <c r="I348">
        <f t="shared" si="5"/>
        <v>189</v>
      </c>
      <c r="J348">
        <f>(I348 - VLOOKUP(E348,Desserts!A:D,4,FALSE)) * F348</f>
        <v>210</v>
      </c>
    </row>
    <row r="349" spans="1:10" x14ac:dyDescent="0.3">
      <c r="A349" t="s">
        <v>1211</v>
      </c>
      <c r="B349" t="s">
        <v>1212</v>
      </c>
      <c r="C349" t="s">
        <v>509</v>
      </c>
      <c r="D349" t="s">
        <v>27</v>
      </c>
      <c r="E349" t="s">
        <v>533</v>
      </c>
      <c r="F349">
        <v>3</v>
      </c>
      <c r="G349">
        <v>204</v>
      </c>
      <c r="H349" t="str">
        <f>IF(VLOOKUP(C349,Customers!A:E,5,FALSE)&gt;=1000,"YES","NO")</f>
        <v>NO</v>
      </c>
      <c r="I349">
        <f t="shared" si="5"/>
        <v>204</v>
      </c>
      <c r="J349">
        <f>(I349 - VLOOKUP(E349,Desserts!A:D,4,FALSE)) * F349</f>
        <v>411</v>
      </c>
    </row>
    <row r="350" spans="1:10" x14ac:dyDescent="0.3">
      <c r="A350" t="s">
        <v>1213</v>
      </c>
      <c r="B350" t="s">
        <v>1078</v>
      </c>
      <c r="C350" t="s">
        <v>491</v>
      </c>
      <c r="D350" t="s">
        <v>157</v>
      </c>
      <c r="E350" t="s">
        <v>579</v>
      </c>
      <c r="F350">
        <v>1</v>
      </c>
      <c r="G350">
        <v>157</v>
      </c>
      <c r="H350" t="str">
        <f>IF(VLOOKUP(C350,Customers!A:E,5,FALSE)&gt;=1000,"YES","NO")</f>
        <v>NO</v>
      </c>
      <c r="I350">
        <f t="shared" si="5"/>
        <v>157</v>
      </c>
      <c r="J350">
        <f>(I350 - VLOOKUP(E350,Desserts!A:D,4,FALSE)) * F350</f>
        <v>95</v>
      </c>
    </row>
    <row r="351" spans="1:10" x14ac:dyDescent="0.3">
      <c r="A351" t="s">
        <v>1214</v>
      </c>
      <c r="B351" t="s">
        <v>1215</v>
      </c>
      <c r="C351" t="s">
        <v>389</v>
      </c>
      <c r="D351" t="s">
        <v>181</v>
      </c>
      <c r="E351" t="s">
        <v>541</v>
      </c>
      <c r="F351">
        <v>5</v>
      </c>
      <c r="G351">
        <v>107</v>
      </c>
      <c r="H351" t="str">
        <f>IF(VLOOKUP(C351,Customers!A:E,5,FALSE)&gt;=1000,"YES","NO")</f>
        <v>YES</v>
      </c>
      <c r="I351">
        <f t="shared" si="5"/>
        <v>53.5</v>
      </c>
      <c r="J351">
        <f>(I351 - VLOOKUP(E351,Desserts!A:D,4,FALSE)) * F351</f>
        <v>-17.5</v>
      </c>
    </row>
    <row r="352" spans="1:10" x14ac:dyDescent="0.3">
      <c r="A352" t="s">
        <v>1216</v>
      </c>
      <c r="B352" t="s">
        <v>1062</v>
      </c>
      <c r="C352" t="s">
        <v>495</v>
      </c>
      <c r="D352" t="s">
        <v>60</v>
      </c>
      <c r="E352" t="s">
        <v>563</v>
      </c>
      <c r="F352">
        <v>3</v>
      </c>
      <c r="G352">
        <v>108</v>
      </c>
      <c r="H352" t="str">
        <f>IF(VLOOKUP(C352,Customers!A:E,5,FALSE)&gt;=1000,"YES","NO")</f>
        <v>NO</v>
      </c>
      <c r="I352">
        <f t="shared" si="5"/>
        <v>108</v>
      </c>
      <c r="J352">
        <f>(I352 - VLOOKUP(E352,Desserts!A:D,4,FALSE)) * F352</f>
        <v>129</v>
      </c>
    </row>
    <row r="353" spans="1:10" x14ac:dyDescent="0.3">
      <c r="A353" t="s">
        <v>1217</v>
      </c>
      <c r="B353" t="s">
        <v>910</v>
      </c>
      <c r="C353" t="s">
        <v>359</v>
      </c>
      <c r="D353" t="s">
        <v>232</v>
      </c>
      <c r="E353" t="s">
        <v>537</v>
      </c>
      <c r="F353">
        <v>1</v>
      </c>
      <c r="G353">
        <v>185</v>
      </c>
      <c r="H353" t="str">
        <f>IF(VLOOKUP(C353,Customers!A:E,5,FALSE)&gt;=1000,"YES","NO")</f>
        <v>YES</v>
      </c>
      <c r="I353">
        <f t="shared" si="5"/>
        <v>92.5</v>
      </c>
      <c r="J353">
        <f>(I353 - VLOOKUP(E353,Desserts!A:D,4,FALSE)) * F353</f>
        <v>8.5</v>
      </c>
    </row>
    <row r="354" spans="1:10" x14ac:dyDescent="0.3">
      <c r="A354" t="s">
        <v>1218</v>
      </c>
      <c r="B354" t="s">
        <v>1219</v>
      </c>
      <c r="C354" t="s">
        <v>497</v>
      </c>
      <c r="D354" t="s">
        <v>33</v>
      </c>
      <c r="E354" t="s">
        <v>581</v>
      </c>
      <c r="F354">
        <v>1</v>
      </c>
      <c r="G354">
        <v>106</v>
      </c>
      <c r="H354" t="str">
        <f>IF(VLOOKUP(C354,Customers!A:E,5,FALSE)&gt;=1000,"YES","NO")</f>
        <v>NO</v>
      </c>
      <c r="I354">
        <f t="shared" si="5"/>
        <v>106</v>
      </c>
      <c r="J354">
        <f>(I354 - VLOOKUP(E354,Desserts!A:D,4,FALSE)) * F354</f>
        <v>17</v>
      </c>
    </row>
    <row r="355" spans="1:10" x14ac:dyDescent="0.3">
      <c r="A355" t="s">
        <v>1220</v>
      </c>
      <c r="B355" t="s">
        <v>996</v>
      </c>
      <c r="C355" t="s">
        <v>411</v>
      </c>
      <c r="D355" t="s">
        <v>229</v>
      </c>
      <c r="E355" t="s">
        <v>547</v>
      </c>
      <c r="F355">
        <v>1</v>
      </c>
      <c r="G355">
        <v>178</v>
      </c>
      <c r="H355" t="str">
        <f>IF(VLOOKUP(C355,Customers!A:E,5,FALSE)&gt;=1000,"YES","NO")</f>
        <v>NO</v>
      </c>
      <c r="I355">
        <f t="shared" si="5"/>
        <v>178</v>
      </c>
      <c r="J355">
        <f>(I355 - VLOOKUP(E355,Desserts!A:D,4,FALSE)) * F355</f>
        <v>128</v>
      </c>
    </row>
    <row r="356" spans="1:10" x14ac:dyDescent="0.3">
      <c r="A356" t="s">
        <v>1221</v>
      </c>
      <c r="B356" t="s">
        <v>1222</v>
      </c>
      <c r="C356" t="s">
        <v>421</v>
      </c>
      <c r="D356" t="s">
        <v>262</v>
      </c>
      <c r="E356" t="s">
        <v>559</v>
      </c>
      <c r="F356">
        <v>3</v>
      </c>
      <c r="G356">
        <v>145</v>
      </c>
      <c r="H356" t="str">
        <f>IF(VLOOKUP(C356,Customers!A:E,5,FALSE)&gt;=1000,"YES","NO")</f>
        <v>YES</v>
      </c>
      <c r="I356">
        <f t="shared" si="5"/>
        <v>72.5</v>
      </c>
      <c r="J356">
        <f>(I356 - VLOOKUP(E356,Desserts!A:D,4,FALSE)) * F356</f>
        <v>52.5</v>
      </c>
    </row>
    <row r="357" spans="1:10" x14ac:dyDescent="0.3">
      <c r="A357" t="s">
        <v>1223</v>
      </c>
      <c r="B357" t="s">
        <v>1224</v>
      </c>
      <c r="C357" t="s">
        <v>401</v>
      </c>
      <c r="D357" t="s">
        <v>115</v>
      </c>
      <c r="E357" t="s">
        <v>591</v>
      </c>
      <c r="F357">
        <v>3</v>
      </c>
      <c r="G357">
        <v>238</v>
      </c>
      <c r="H357" t="str">
        <f>IF(VLOOKUP(C357,Customers!A:E,5,FALSE)&gt;=1000,"YES","NO")</f>
        <v>YES</v>
      </c>
      <c r="I357">
        <f t="shared" si="5"/>
        <v>119</v>
      </c>
      <c r="J357">
        <f>(I357 - VLOOKUP(E357,Desserts!A:D,4,FALSE)) * F357</f>
        <v>171</v>
      </c>
    </row>
    <row r="358" spans="1:10" x14ac:dyDescent="0.3">
      <c r="A358" t="s">
        <v>1225</v>
      </c>
      <c r="B358" t="s">
        <v>1226</v>
      </c>
      <c r="C358" t="s">
        <v>501</v>
      </c>
      <c r="D358" t="s">
        <v>196</v>
      </c>
      <c r="E358" t="s">
        <v>531</v>
      </c>
      <c r="F358">
        <v>1</v>
      </c>
      <c r="G358">
        <v>169</v>
      </c>
      <c r="H358" t="str">
        <f>IF(VLOOKUP(C358,Customers!A:E,5,FALSE)&gt;=1000,"YES","NO")</f>
        <v>YES</v>
      </c>
      <c r="I358">
        <f t="shared" si="5"/>
        <v>84.5</v>
      </c>
      <c r="J358">
        <f>(I358 - VLOOKUP(E358,Desserts!A:D,4,FALSE)) * F358</f>
        <v>-0.5</v>
      </c>
    </row>
    <row r="359" spans="1:10" x14ac:dyDescent="0.3">
      <c r="A359" t="s">
        <v>1227</v>
      </c>
      <c r="B359" t="s">
        <v>1016</v>
      </c>
      <c r="C359" t="s">
        <v>407</v>
      </c>
      <c r="D359" t="s">
        <v>268</v>
      </c>
      <c r="E359" t="s">
        <v>617</v>
      </c>
      <c r="F359">
        <v>1</v>
      </c>
      <c r="G359">
        <v>180</v>
      </c>
      <c r="H359" t="str">
        <f>IF(VLOOKUP(C359,Customers!A:E,5,FALSE)&gt;=1000,"YES","NO")</f>
        <v>YES</v>
      </c>
      <c r="I359">
        <f t="shared" si="5"/>
        <v>90</v>
      </c>
      <c r="J359">
        <f>(I359 - VLOOKUP(E359,Desserts!A:D,4,FALSE)) * F359</f>
        <v>49</v>
      </c>
    </row>
    <row r="360" spans="1:10" x14ac:dyDescent="0.3">
      <c r="A360" t="s">
        <v>1228</v>
      </c>
      <c r="B360" t="s">
        <v>775</v>
      </c>
      <c r="C360" t="s">
        <v>403</v>
      </c>
      <c r="D360" t="s">
        <v>196</v>
      </c>
      <c r="E360" t="s">
        <v>541</v>
      </c>
      <c r="F360">
        <v>4</v>
      </c>
      <c r="G360">
        <v>164</v>
      </c>
      <c r="H360" t="str">
        <f>IF(VLOOKUP(C360,Customers!A:E,5,FALSE)&gt;=1000,"YES","NO")</f>
        <v>NO</v>
      </c>
      <c r="I360">
        <f t="shared" si="5"/>
        <v>164</v>
      </c>
      <c r="J360">
        <f>(I360 - VLOOKUP(E360,Desserts!A:D,4,FALSE)) * F360</f>
        <v>428</v>
      </c>
    </row>
    <row r="361" spans="1:10" x14ac:dyDescent="0.3">
      <c r="A361" t="s">
        <v>1229</v>
      </c>
      <c r="B361" t="s">
        <v>626</v>
      </c>
      <c r="C361" t="s">
        <v>515</v>
      </c>
      <c r="D361" t="s">
        <v>310</v>
      </c>
      <c r="E361" t="s">
        <v>597</v>
      </c>
      <c r="F361">
        <v>1</v>
      </c>
      <c r="G361">
        <v>177</v>
      </c>
      <c r="H361" t="str">
        <f>IF(VLOOKUP(C361,Customers!A:E,5,FALSE)&gt;=1000,"YES","NO")</f>
        <v>YES</v>
      </c>
      <c r="I361">
        <f t="shared" si="5"/>
        <v>88.5</v>
      </c>
      <c r="J361">
        <f>(I361 - VLOOKUP(E361,Desserts!A:D,4,FALSE)) * F361</f>
        <v>43.5</v>
      </c>
    </row>
    <row r="362" spans="1:10" x14ac:dyDescent="0.3">
      <c r="A362" t="s">
        <v>1230</v>
      </c>
      <c r="B362" t="s">
        <v>644</v>
      </c>
      <c r="C362" t="s">
        <v>437</v>
      </c>
      <c r="D362" t="s">
        <v>283</v>
      </c>
      <c r="E362" t="s">
        <v>611</v>
      </c>
      <c r="F362">
        <v>4</v>
      </c>
      <c r="G362">
        <v>153</v>
      </c>
      <c r="H362" t="str">
        <f>IF(VLOOKUP(C362,Customers!A:E,5,FALSE)&gt;=1000,"YES","NO")</f>
        <v>NO</v>
      </c>
      <c r="I362">
        <f t="shared" si="5"/>
        <v>153</v>
      </c>
      <c r="J362">
        <f>(I362 - VLOOKUP(E362,Desserts!A:D,4,FALSE)) * F362</f>
        <v>440</v>
      </c>
    </row>
    <row r="363" spans="1:10" x14ac:dyDescent="0.3">
      <c r="A363" t="s">
        <v>1231</v>
      </c>
      <c r="B363" t="s">
        <v>1098</v>
      </c>
      <c r="C363" t="s">
        <v>499</v>
      </c>
      <c r="D363" t="s">
        <v>310</v>
      </c>
      <c r="E363" t="s">
        <v>615</v>
      </c>
      <c r="F363">
        <v>1</v>
      </c>
      <c r="G363">
        <v>183</v>
      </c>
      <c r="H363" t="str">
        <f>IF(VLOOKUP(C363,Customers!A:E,5,FALSE)&gt;=1000,"YES","NO")</f>
        <v>NO</v>
      </c>
      <c r="I363">
        <f t="shared" si="5"/>
        <v>183</v>
      </c>
      <c r="J363">
        <f>(I363 - VLOOKUP(E363,Desserts!A:D,4,FALSE)) * F363</f>
        <v>141</v>
      </c>
    </row>
    <row r="364" spans="1:10" x14ac:dyDescent="0.3">
      <c r="A364" t="s">
        <v>1232</v>
      </c>
      <c r="B364" t="s">
        <v>1233</v>
      </c>
      <c r="C364" t="s">
        <v>331</v>
      </c>
      <c r="D364" t="s">
        <v>13</v>
      </c>
      <c r="E364" t="s">
        <v>583</v>
      </c>
      <c r="F364">
        <v>1</v>
      </c>
      <c r="G364">
        <v>153</v>
      </c>
      <c r="H364" t="str">
        <f>IF(VLOOKUP(C364,Customers!A:E,5,FALSE)&gt;=1000,"YES","NO")</f>
        <v>YES</v>
      </c>
      <c r="I364">
        <f t="shared" si="5"/>
        <v>76.5</v>
      </c>
      <c r="J364">
        <f>(I364 - VLOOKUP(E364,Desserts!A:D,4,FALSE)) * F364</f>
        <v>-6.5</v>
      </c>
    </row>
    <row r="365" spans="1:10" x14ac:dyDescent="0.3">
      <c r="A365" t="s">
        <v>1234</v>
      </c>
      <c r="B365" t="s">
        <v>1169</v>
      </c>
      <c r="C365" t="s">
        <v>499</v>
      </c>
      <c r="D365" t="s">
        <v>66</v>
      </c>
      <c r="E365" t="s">
        <v>555</v>
      </c>
      <c r="F365">
        <v>2</v>
      </c>
      <c r="G365">
        <v>159</v>
      </c>
      <c r="H365" t="str">
        <f>IF(VLOOKUP(C365,Customers!A:E,5,FALSE)&gt;=1000,"YES","NO")</f>
        <v>NO</v>
      </c>
      <c r="I365">
        <f t="shared" si="5"/>
        <v>159</v>
      </c>
      <c r="J365">
        <f>(I365 - VLOOKUP(E365,Desserts!A:D,4,FALSE)) * F365</f>
        <v>168</v>
      </c>
    </row>
    <row r="366" spans="1:10" x14ac:dyDescent="0.3">
      <c r="A366" t="s">
        <v>1235</v>
      </c>
      <c r="B366" t="s">
        <v>985</v>
      </c>
      <c r="C366" t="s">
        <v>395</v>
      </c>
      <c r="D366" t="s">
        <v>30</v>
      </c>
      <c r="E366" t="s">
        <v>553</v>
      </c>
      <c r="F366">
        <v>1</v>
      </c>
      <c r="G366">
        <v>222</v>
      </c>
      <c r="H366" t="str">
        <f>IF(VLOOKUP(C366,Customers!A:E,5,FALSE)&gt;=1000,"YES","NO")</f>
        <v>NO</v>
      </c>
      <c r="I366">
        <f t="shared" si="5"/>
        <v>222</v>
      </c>
      <c r="J366">
        <f>(I366 - VLOOKUP(E366,Desserts!A:D,4,FALSE)) * F366</f>
        <v>162</v>
      </c>
    </row>
    <row r="367" spans="1:10" x14ac:dyDescent="0.3">
      <c r="A367" t="s">
        <v>1236</v>
      </c>
      <c r="B367" t="s">
        <v>1237</v>
      </c>
      <c r="C367" t="s">
        <v>445</v>
      </c>
      <c r="D367" t="s">
        <v>310</v>
      </c>
      <c r="E367" t="s">
        <v>559</v>
      </c>
      <c r="F367">
        <v>4</v>
      </c>
      <c r="G367">
        <v>119</v>
      </c>
      <c r="H367" t="str">
        <f>IF(VLOOKUP(C367,Customers!A:E,5,FALSE)&gt;=1000,"YES","NO")</f>
        <v>NO</v>
      </c>
      <c r="I367">
        <f t="shared" si="5"/>
        <v>119</v>
      </c>
      <c r="J367">
        <f>(I367 - VLOOKUP(E367,Desserts!A:D,4,FALSE)) * F367</f>
        <v>256</v>
      </c>
    </row>
    <row r="368" spans="1:10" x14ac:dyDescent="0.3">
      <c r="A368" t="s">
        <v>1238</v>
      </c>
      <c r="B368" t="s">
        <v>689</v>
      </c>
      <c r="C368" t="s">
        <v>379</v>
      </c>
      <c r="D368" t="s">
        <v>9</v>
      </c>
      <c r="E368" t="s">
        <v>593</v>
      </c>
      <c r="F368">
        <v>5</v>
      </c>
      <c r="G368">
        <v>216</v>
      </c>
      <c r="H368" t="str">
        <f>IF(VLOOKUP(C368,Customers!A:E,5,FALSE)&gt;=1000,"YES","NO")</f>
        <v>NO</v>
      </c>
      <c r="I368">
        <f t="shared" si="5"/>
        <v>216</v>
      </c>
      <c r="J368">
        <f>(I368 - VLOOKUP(E368,Desserts!A:D,4,FALSE)) * F368</f>
        <v>810</v>
      </c>
    </row>
    <row r="369" spans="1:10" x14ac:dyDescent="0.3">
      <c r="A369" t="s">
        <v>1239</v>
      </c>
      <c r="B369" t="s">
        <v>1240</v>
      </c>
      <c r="C369" t="s">
        <v>513</v>
      </c>
      <c r="D369" t="s">
        <v>145</v>
      </c>
      <c r="E369" t="s">
        <v>523</v>
      </c>
      <c r="F369">
        <v>2</v>
      </c>
      <c r="G369">
        <v>103</v>
      </c>
      <c r="H369" t="str">
        <f>IF(VLOOKUP(C369,Customers!A:E,5,FALSE)&gt;=1000,"YES","NO")</f>
        <v>YES</v>
      </c>
      <c r="I369">
        <f t="shared" si="5"/>
        <v>51.5</v>
      </c>
      <c r="J369">
        <f>(I369 - VLOOKUP(E369,Desserts!A:D,4,FALSE)) * F369</f>
        <v>-33</v>
      </c>
    </row>
    <row r="370" spans="1:10" x14ac:dyDescent="0.3">
      <c r="A370" t="s">
        <v>1241</v>
      </c>
      <c r="B370" t="s">
        <v>1242</v>
      </c>
      <c r="C370" t="s">
        <v>363</v>
      </c>
      <c r="D370" t="s">
        <v>265</v>
      </c>
      <c r="E370" t="s">
        <v>583</v>
      </c>
      <c r="F370">
        <v>4</v>
      </c>
      <c r="G370">
        <v>248</v>
      </c>
      <c r="H370" t="str">
        <f>IF(VLOOKUP(C370,Customers!A:E,5,FALSE)&gt;=1000,"YES","NO")</f>
        <v>YES</v>
      </c>
      <c r="I370">
        <f t="shared" si="5"/>
        <v>124</v>
      </c>
      <c r="J370">
        <f>(I370 - VLOOKUP(E370,Desserts!A:D,4,FALSE)) * F370</f>
        <v>164</v>
      </c>
    </row>
    <row r="371" spans="1:10" x14ac:dyDescent="0.3">
      <c r="A371" t="s">
        <v>1243</v>
      </c>
      <c r="B371" t="s">
        <v>1142</v>
      </c>
      <c r="C371" t="s">
        <v>327</v>
      </c>
      <c r="D371" t="s">
        <v>232</v>
      </c>
      <c r="E371" t="s">
        <v>587</v>
      </c>
      <c r="F371">
        <v>2</v>
      </c>
      <c r="G371">
        <v>248</v>
      </c>
      <c r="H371" t="str">
        <f>IF(VLOOKUP(C371,Customers!A:E,5,FALSE)&gt;=1000,"YES","NO")</f>
        <v>YES</v>
      </c>
      <c r="I371">
        <f t="shared" si="5"/>
        <v>124</v>
      </c>
      <c r="J371">
        <f>(I371 - VLOOKUP(E371,Desserts!A:D,4,FALSE)) * F371</f>
        <v>104</v>
      </c>
    </row>
    <row r="372" spans="1:10" x14ac:dyDescent="0.3">
      <c r="A372" t="s">
        <v>1244</v>
      </c>
      <c r="B372" t="s">
        <v>1245</v>
      </c>
      <c r="C372" t="s">
        <v>513</v>
      </c>
      <c r="D372" t="s">
        <v>241</v>
      </c>
      <c r="E372" t="s">
        <v>599</v>
      </c>
      <c r="F372">
        <v>3</v>
      </c>
      <c r="G372">
        <v>215</v>
      </c>
      <c r="H372" t="str">
        <f>IF(VLOOKUP(C372,Customers!A:E,5,FALSE)&gt;=1000,"YES","NO")</f>
        <v>YES</v>
      </c>
      <c r="I372">
        <f t="shared" si="5"/>
        <v>107.5</v>
      </c>
      <c r="J372">
        <f>(I372 - VLOOKUP(E372,Desserts!A:D,4,FALSE)) * F372</f>
        <v>82.5</v>
      </c>
    </row>
    <row r="373" spans="1:10" x14ac:dyDescent="0.3">
      <c r="A373" t="s">
        <v>1246</v>
      </c>
      <c r="B373" t="s">
        <v>1247</v>
      </c>
      <c r="C373" t="s">
        <v>493</v>
      </c>
      <c r="D373" t="s">
        <v>199</v>
      </c>
      <c r="E373" t="s">
        <v>611</v>
      </c>
      <c r="F373">
        <v>4</v>
      </c>
      <c r="G373">
        <v>185</v>
      </c>
      <c r="H373" t="str">
        <f>IF(VLOOKUP(C373,Customers!A:E,5,FALSE)&gt;=1000,"YES","NO")</f>
        <v>NO</v>
      </c>
      <c r="I373">
        <f t="shared" si="5"/>
        <v>185</v>
      </c>
      <c r="J373">
        <f>(I373 - VLOOKUP(E373,Desserts!A:D,4,FALSE)) * F373</f>
        <v>568</v>
      </c>
    </row>
    <row r="374" spans="1:10" x14ac:dyDescent="0.3">
      <c r="A374" t="s">
        <v>1248</v>
      </c>
      <c r="B374" t="s">
        <v>976</v>
      </c>
      <c r="C374" t="s">
        <v>331</v>
      </c>
      <c r="D374" t="s">
        <v>214</v>
      </c>
      <c r="E374" t="s">
        <v>539</v>
      </c>
      <c r="F374">
        <v>3</v>
      </c>
      <c r="G374">
        <v>122</v>
      </c>
      <c r="H374" t="str">
        <f>IF(VLOOKUP(C374,Customers!A:E,5,FALSE)&gt;=1000,"YES","NO")</f>
        <v>YES</v>
      </c>
      <c r="I374">
        <f t="shared" si="5"/>
        <v>61</v>
      </c>
      <c r="J374">
        <f>(I374 - VLOOKUP(E374,Desserts!A:D,4,FALSE)) * F374</f>
        <v>-3</v>
      </c>
    </row>
    <row r="375" spans="1:10" x14ac:dyDescent="0.3">
      <c r="A375" t="s">
        <v>1249</v>
      </c>
      <c r="B375" t="s">
        <v>1222</v>
      </c>
      <c r="C375" t="s">
        <v>349</v>
      </c>
      <c r="D375" t="s">
        <v>76</v>
      </c>
      <c r="E375" t="s">
        <v>579</v>
      </c>
      <c r="F375">
        <v>5</v>
      </c>
      <c r="G375">
        <v>239</v>
      </c>
      <c r="H375" t="str">
        <f>IF(VLOOKUP(C375,Customers!A:E,5,FALSE)&gt;=1000,"YES","NO")</f>
        <v>NO</v>
      </c>
      <c r="I375">
        <f t="shared" si="5"/>
        <v>239</v>
      </c>
      <c r="J375">
        <f>(I375 - VLOOKUP(E375,Desserts!A:D,4,FALSE)) * F375</f>
        <v>885</v>
      </c>
    </row>
    <row r="376" spans="1:10" x14ac:dyDescent="0.3">
      <c r="A376" t="s">
        <v>1250</v>
      </c>
      <c r="B376" t="s">
        <v>890</v>
      </c>
      <c r="C376" t="s">
        <v>399</v>
      </c>
      <c r="D376" t="s">
        <v>172</v>
      </c>
      <c r="E376" t="s">
        <v>571</v>
      </c>
      <c r="F376">
        <v>4</v>
      </c>
      <c r="G376">
        <v>149</v>
      </c>
      <c r="H376" t="str">
        <f>IF(VLOOKUP(C376,Customers!A:E,5,FALSE)&gt;=1000,"YES","NO")</f>
        <v>YES</v>
      </c>
      <c r="I376">
        <f t="shared" si="5"/>
        <v>74.5</v>
      </c>
      <c r="J376">
        <f>(I376 - VLOOKUP(E376,Desserts!A:D,4,FALSE)) * F376</f>
        <v>134</v>
      </c>
    </row>
    <row r="377" spans="1:10" x14ac:dyDescent="0.3">
      <c r="A377" t="s">
        <v>1251</v>
      </c>
      <c r="B377" t="s">
        <v>735</v>
      </c>
      <c r="C377" t="s">
        <v>475</v>
      </c>
      <c r="D377" t="s">
        <v>214</v>
      </c>
      <c r="E377" t="s">
        <v>539</v>
      </c>
      <c r="F377">
        <v>2</v>
      </c>
      <c r="G377">
        <v>194</v>
      </c>
      <c r="H377" t="str">
        <f>IF(VLOOKUP(C377,Customers!A:E,5,FALSE)&gt;=1000,"YES","NO")</f>
        <v>NO</v>
      </c>
      <c r="I377">
        <f t="shared" si="5"/>
        <v>194</v>
      </c>
      <c r="J377">
        <f>(I377 - VLOOKUP(E377,Desserts!A:D,4,FALSE)) * F377</f>
        <v>264</v>
      </c>
    </row>
    <row r="378" spans="1:10" x14ac:dyDescent="0.3">
      <c r="A378" t="s">
        <v>1252</v>
      </c>
      <c r="B378" t="s">
        <v>1253</v>
      </c>
      <c r="C378" t="s">
        <v>475</v>
      </c>
      <c r="D378" t="s">
        <v>30</v>
      </c>
      <c r="E378" t="s">
        <v>529</v>
      </c>
      <c r="F378">
        <v>5</v>
      </c>
      <c r="G378">
        <v>133</v>
      </c>
      <c r="H378" t="str">
        <f>IF(VLOOKUP(C378,Customers!A:E,5,FALSE)&gt;=1000,"YES","NO")</f>
        <v>NO</v>
      </c>
      <c r="I378">
        <f t="shared" si="5"/>
        <v>133</v>
      </c>
      <c r="J378">
        <f>(I378 - VLOOKUP(E378,Desserts!A:D,4,FALSE)) * F378</f>
        <v>325</v>
      </c>
    </row>
    <row r="379" spans="1:10" x14ac:dyDescent="0.3">
      <c r="A379" t="s">
        <v>1254</v>
      </c>
      <c r="B379" t="s">
        <v>753</v>
      </c>
      <c r="C379" t="s">
        <v>349</v>
      </c>
      <c r="D379" t="s">
        <v>40</v>
      </c>
      <c r="E379" t="s">
        <v>539</v>
      </c>
      <c r="F379">
        <v>3</v>
      </c>
      <c r="G379">
        <v>164</v>
      </c>
      <c r="H379" t="str">
        <f>IF(VLOOKUP(C379,Customers!A:E,5,FALSE)&gt;=1000,"YES","NO")</f>
        <v>NO</v>
      </c>
      <c r="I379">
        <f t="shared" si="5"/>
        <v>164</v>
      </c>
      <c r="J379">
        <f>(I379 - VLOOKUP(E379,Desserts!A:D,4,FALSE)) * F379</f>
        <v>306</v>
      </c>
    </row>
    <row r="380" spans="1:10" x14ac:dyDescent="0.3">
      <c r="A380" t="s">
        <v>1255</v>
      </c>
      <c r="B380" t="s">
        <v>1199</v>
      </c>
      <c r="C380" t="s">
        <v>387</v>
      </c>
      <c r="D380" t="s">
        <v>196</v>
      </c>
      <c r="E380" t="s">
        <v>527</v>
      </c>
      <c r="F380">
        <v>4</v>
      </c>
      <c r="G380">
        <v>139</v>
      </c>
      <c r="H380" t="str">
        <f>IF(VLOOKUP(C380,Customers!A:E,5,FALSE)&gt;=1000,"YES","NO")</f>
        <v>NO</v>
      </c>
      <c r="I380">
        <f t="shared" si="5"/>
        <v>139</v>
      </c>
      <c r="J380">
        <f>(I380 - VLOOKUP(E380,Desserts!A:D,4,FALSE)) * F380</f>
        <v>384</v>
      </c>
    </row>
    <row r="381" spans="1:10" x14ac:dyDescent="0.3">
      <c r="A381" t="s">
        <v>1256</v>
      </c>
      <c r="B381" t="s">
        <v>789</v>
      </c>
      <c r="C381" t="s">
        <v>469</v>
      </c>
      <c r="D381" t="s">
        <v>27</v>
      </c>
      <c r="E381" t="s">
        <v>601</v>
      </c>
      <c r="F381">
        <v>4</v>
      </c>
      <c r="G381">
        <v>226</v>
      </c>
      <c r="H381" t="str">
        <f>IF(VLOOKUP(C381,Customers!A:E,5,FALSE)&gt;=1000,"YES","NO")</f>
        <v>NO</v>
      </c>
      <c r="I381">
        <f t="shared" si="5"/>
        <v>226</v>
      </c>
      <c r="J381">
        <f>(I381 - VLOOKUP(E381,Desserts!A:D,4,FALSE)) * F381</f>
        <v>684</v>
      </c>
    </row>
    <row r="382" spans="1:10" x14ac:dyDescent="0.3">
      <c r="A382" t="s">
        <v>1257</v>
      </c>
      <c r="B382" t="s">
        <v>1258</v>
      </c>
      <c r="C382" t="s">
        <v>381</v>
      </c>
      <c r="D382" t="s">
        <v>43</v>
      </c>
      <c r="E382" t="s">
        <v>521</v>
      </c>
      <c r="F382">
        <v>1</v>
      </c>
      <c r="G382">
        <v>120</v>
      </c>
      <c r="H382" t="str">
        <f>IF(VLOOKUP(C382,Customers!A:E,5,FALSE)&gt;=1000,"YES","NO")</f>
        <v>NO</v>
      </c>
      <c r="I382">
        <f t="shared" si="5"/>
        <v>120</v>
      </c>
      <c r="J382">
        <f>(I382 - VLOOKUP(E382,Desserts!A:D,4,FALSE)) * F382</f>
        <v>56</v>
      </c>
    </row>
    <row r="383" spans="1:10" x14ac:dyDescent="0.3">
      <c r="A383" t="s">
        <v>1259</v>
      </c>
      <c r="B383" t="s">
        <v>675</v>
      </c>
      <c r="C383" t="s">
        <v>333</v>
      </c>
      <c r="D383" t="s">
        <v>66</v>
      </c>
      <c r="E383" t="s">
        <v>529</v>
      </c>
      <c r="F383">
        <v>2</v>
      </c>
      <c r="G383">
        <v>116</v>
      </c>
      <c r="H383" t="str">
        <f>IF(VLOOKUP(C383,Customers!A:E,5,FALSE)&gt;=1000,"YES","NO")</f>
        <v>YES</v>
      </c>
      <c r="I383">
        <f t="shared" si="5"/>
        <v>58</v>
      </c>
      <c r="J383">
        <f>(I383 - VLOOKUP(E383,Desserts!A:D,4,FALSE)) * F383</f>
        <v>-20</v>
      </c>
    </row>
    <row r="384" spans="1:10" x14ac:dyDescent="0.3">
      <c r="A384" t="s">
        <v>1260</v>
      </c>
      <c r="B384" t="s">
        <v>1261</v>
      </c>
      <c r="C384" t="s">
        <v>457</v>
      </c>
      <c r="D384" t="s">
        <v>187</v>
      </c>
      <c r="E384" t="s">
        <v>539</v>
      </c>
      <c r="F384">
        <v>3</v>
      </c>
      <c r="G384">
        <v>121</v>
      </c>
      <c r="H384" t="str">
        <f>IF(VLOOKUP(C384,Customers!A:E,5,FALSE)&gt;=1000,"YES","NO")</f>
        <v>YES</v>
      </c>
      <c r="I384">
        <f t="shared" si="5"/>
        <v>60.5</v>
      </c>
      <c r="J384">
        <f>(I384 - VLOOKUP(E384,Desserts!A:D,4,FALSE)) * F384</f>
        <v>-4.5</v>
      </c>
    </row>
    <row r="385" spans="1:10" x14ac:dyDescent="0.3">
      <c r="A385" t="s">
        <v>1262</v>
      </c>
      <c r="B385" t="s">
        <v>1253</v>
      </c>
      <c r="C385" t="s">
        <v>467</v>
      </c>
      <c r="D385" t="s">
        <v>13</v>
      </c>
      <c r="E385" t="s">
        <v>575</v>
      </c>
      <c r="F385">
        <v>3</v>
      </c>
      <c r="G385">
        <v>221</v>
      </c>
      <c r="H385" t="str">
        <f>IF(VLOOKUP(C385,Customers!A:E,5,FALSE)&gt;=1000,"YES","NO")</f>
        <v>YES</v>
      </c>
      <c r="I385">
        <f t="shared" si="5"/>
        <v>110.5</v>
      </c>
      <c r="J385">
        <f>(I385 - VLOOKUP(E385,Desserts!A:D,4,FALSE)) * F385</f>
        <v>106.5</v>
      </c>
    </row>
    <row r="386" spans="1:10" x14ac:dyDescent="0.3">
      <c r="A386" t="s">
        <v>1263</v>
      </c>
      <c r="B386" t="s">
        <v>1194</v>
      </c>
      <c r="C386" t="s">
        <v>505</v>
      </c>
      <c r="D386" t="s">
        <v>229</v>
      </c>
      <c r="E386" t="s">
        <v>559</v>
      </c>
      <c r="F386">
        <v>3</v>
      </c>
      <c r="G386">
        <v>230</v>
      </c>
      <c r="H386" t="str">
        <f>IF(VLOOKUP(C386,Customers!A:E,5,FALSE)&gt;=1000,"YES","NO")</f>
        <v>YES</v>
      </c>
      <c r="I386">
        <f t="shared" ref="I386:I449" si="6">IF(H386="YES",G386*0.5,G386)</f>
        <v>115</v>
      </c>
      <c r="J386">
        <f>(I386 - VLOOKUP(E386,Desserts!A:D,4,FALSE)) * F386</f>
        <v>180</v>
      </c>
    </row>
    <row r="387" spans="1:10" x14ac:dyDescent="0.3">
      <c r="A387" t="s">
        <v>1264</v>
      </c>
      <c r="B387" t="s">
        <v>1265</v>
      </c>
      <c r="C387" t="s">
        <v>433</v>
      </c>
      <c r="D387" t="s">
        <v>130</v>
      </c>
      <c r="E387" t="s">
        <v>533</v>
      </c>
      <c r="F387">
        <v>1</v>
      </c>
      <c r="G387">
        <v>249</v>
      </c>
      <c r="H387" t="str">
        <f>IF(VLOOKUP(C387,Customers!A:E,5,FALSE)&gt;=1000,"YES","NO")</f>
        <v>YES</v>
      </c>
      <c r="I387">
        <f t="shared" si="6"/>
        <v>124.5</v>
      </c>
      <c r="J387">
        <f>(I387 - VLOOKUP(E387,Desserts!A:D,4,FALSE)) * F387</f>
        <v>57.5</v>
      </c>
    </row>
    <row r="388" spans="1:10" x14ac:dyDescent="0.3">
      <c r="A388" t="s">
        <v>1266</v>
      </c>
      <c r="B388" t="s">
        <v>669</v>
      </c>
      <c r="C388" t="s">
        <v>359</v>
      </c>
      <c r="D388" t="s">
        <v>268</v>
      </c>
      <c r="E388" t="s">
        <v>545</v>
      </c>
      <c r="F388">
        <v>1</v>
      </c>
      <c r="G388">
        <v>195</v>
      </c>
      <c r="H388" t="str">
        <f>IF(VLOOKUP(C388,Customers!A:E,5,FALSE)&gt;=1000,"YES","NO")</f>
        <v>YES</v>
      </c>
      <c r="I388">
        <f t="shared" si="6"/>
        <v>97.5</v>
      </c>
      <c r="J388">
        <f>(I388 - VLOOKUP(E388,Desserts!A:D,4,FALSE)) * F388</f>
        <v>52.5</v>
      </c>
    </row>
    <row r="389" spans="1:10" x14ac:dyDescent="0.3">
      <c r="A389" t="s">
        <v>1267</v>
      </c>
      <c r="B389" t="s">
        <v>1096</v>
      </c>
      <c r="C389" t="s">
        <v>461</v>
      </c>
      <c r="D389" t="s">
        <v>262</v>
      </c>
      <c r="E389" t="s">
        <v>551</v>
      </c>
      <c r="F389">
        <v>4</v>
      </c>
      <c r="G389">
        <v>156</v>
      </c>
      <c r="H389" t="str">
        <f>IF(VLOOKUP(C389,Customers!A:E,5,FALSE)&gt;=1000,"YES","NO")</f>
        <v>YES</v>
      </c>
      <c r="I389">
        <f t="shared" si="6"/>
        <v>78</v>
      </c>
      <c r="J389">
        <f>(I389 - VLOOKUP(E389,Desserts!A:D,4,FALSE)) * F389</f>
        <v>36</v>
      </c>
    </row>
    <row r="390" spans="1:10" x14ac:dyDescent="0.3">
      <c r="A390" t="s">
        <v>1268</v>
      </c>
      <c r="B390" t="s">
        <v>1208</v>
      </c>
      <c r="C390" t="s">
        <v>425</v>
      </c>
      <c r="D390" t="s">
        <v>124</v>
      </c>
      <c r="E390" t="s">
        <v>593</v>
      </c>
      <c r="F390">
        <v>3</v>
      </c>
      <c r="G390">
        <v>208</v>
      </c>
      <c r="H390" t="str">
        <f>IF(VLOOKUP(C390,Customers!A:E,5,FALSE)&gt;=1000,"YES","NO")</f>
        <v>NO</v>
      </c>
      <c r="I390">
        <f t="shared" si="6"/>
        <v>208</v>
      </c>
      <c r="J390">
        <f>(I390 - VLOOKUP(E390,Desserts!A:D,4,FALSE)) * F390</f>
        <v>462</v>
      </c>
    </row>
    <row r="391" spans="1:10" x14ac:dyDescent="0.3">
      <c r="A391" t="s">
        <v>1269</v>
      </c>
      <c r="B391" t="s">
        <v>1090</v>
      </c>
      <c r="C391" t="s">
        <v>323</v>
      </c>
      <c r="D391" t="s">
        <v>20</v>
      </c>
      <c r="E391" t="s">
        <v>539</v>
      </c>
      <c r="F391">
        <v>4</v>
      </c>
      <c r="G391">
        <v>139</v>
      </c>
      <c r="H391" t="str">
        <f>IF(VLOOKUP(C391,Customers!A:E,5,FALSE)&gt;=1000,"YES","NO")</f>
        <v>NO</v>
      </c>
      <c r="I391">
        <f t="shared" si="6"/>
        <v>139</v>
      </c>
      <c r="J391">
        <f>(I391 - VLOOKUP(E391,Desserts!A:D,4,FALSE)) * F391</f>
        <v>308</v>
      </c>
    </row>
    <row r="392" spans="1:10" x14ac:dyDescent="0.3">
      <c r="A392" t="s">
        <v>1270</v>
      </c>
      <c r="B392" t="s">
        <v>882</v>
      </c>
      <c r="C392" t="s">
        <v>339</v>
      </c>
      <c r="D392" t="s">
        <v>241</v>
      </c>
      <c r="E392" t="s">
        <v>557</v>
      </c>
      <c r="F392">
        <v>2</v>
      </c>
      <c r="G392">
        <v>169</v>
      </c>
      <c r="H392" t="str">
        <f>IF(VLOOKUP(C392,Customers!A:E,5,FALSE)&gt;=1000,"YES","NO")</f>
        <v>NO</v>
      </c>
      <c r="I392">
        <f t="shared" si="6"/>
        <v>169</v>
      </c>
      <c r="J392">
        <f>(I392 - VLOOKUP(E392,Desserts!A:D,4,FALSE)) * F392</f>
        <v>170</v>
      </c>
    </row>
    <row r="393" spans="1:10" x14ac:dyDescent="0.3">
      <c r="A393" t="s">
        <v>1271</v>
      </c>
      <c r="B393" t="s">
        <v>1240</v>
      </c>
      <c r="C393" t="s">
        <v>363</v>
      </c>
      <c r="D393" t="s">
        <v>118</v>
      </c>
      <c r="E393" t="s">
        <v>583</v>
      </c>
      <c r="F393">
        <v>4</v>
      </c>
      <c r="G393">
        <v>190</v>
      </c>
      <c r="H393" t="str">
        <f>IF(VLOOKUP(C393,Customers!A:E,5,FALSE)&gt;=1000,"YES","NO")</f>
        <v>YES</v>
      </c>
      <c r="I393">
        <f t="shared" si="6"/>
        <v>95</v>
      </c>
      <c r="J393">
        <f>(I393 - VLOOKUP(E393,Desserts!A:D,4,FALSE)) * F393</f>
        <v>48</v>
      </c>
    </row>
    <row r="394" spans="1:10" x14ac:dyDescent="0.3">
      <c r="A394" t="s">
        <v>1272</v>
      </c>
      <c r="B394" t="s">
        <v>940</v>
      </c>
      <c r="C394" t="s">
        <v>323</v>
      </c>
      <c r="D394" t="s">
        <v>289</v>
      </c>
      <c r="E394" t="s">
        <v>593</v>
      </c>
      <c r="F394">
        <v>3</v>
      </c>
      <c r="G394">
        <v>201</v>
      </c>
      <c r="H394" t="str">
        <f>IF(VLOOKUP(C394,Customers!A:E,5,FALSE)&gt;=1000,"YES","NO")</f>
        <v>NO</v>
      </c>
      <c r="I394">
        <f t="shared" si="6"/>
        <v>201</v>
      </c>
      <c r="J394">
        <f>(I394 - VLOOKUP(E394,Desserts!A:D,4,FALSE)) * F394</f>
        <v>441</v>
      </c>
    </row>
    <row r="395" spans="1:10" x14ac:dyDescent="0.3">
      <c r="A395" t="s">
        <v>1273</v>
      </c>
      <c r="B395" t="s">
        <v>1274</v>
      </c>
      <c r="C395" t="s">
        <v>501</v>
      </c>
      <c r="D395" t="s">
        <v>289</v>
      </c>
      <c r="E395" t="s">
        <v>545</v>
      </c>
      <c r="F395">
        <v>5</v>
      </c>
      <c r="G395">
        <v>114</v>
      </c>
      <c r="H395" t="str">
        <f>IF(VLOOKUP(C395,Customers!A:E,5,FALSE)&gt;=1000,"YES","NO")</f>
        <v>YES</v>
      </c>
      <c r="I395">
        <f t="shared" si="6"/>
        <v>57</v>
      </c>
      <c r="J395">
        <f>(I395 - VLOOKUP(E395,Desserts!A:D,4,FALSE)) * F395</f>
        <v>60</v>
      </c>
    </row>
    <row r="396" spans="1:10" x14ac:dyDescent="0.3">
      <c r="A396" t="s">
        <v>1275</v>
      </c>
      <c r="B396" t="s">
        <v>1059</v>
      </c>
      <c r="C396" t="s">
        <v>467</v>
      </c>
      <c r="D396" t="s">
        <v>253</v>
      </c>
      <c r="E396" t="s">
        <v>557</v>
      </c>
      <c r="F396">
        <v>1</v>
      </c>
      <c r="G396">
        <v>111</v>
      </c>
      <c r="H396" t="str">
        <f>IF(VLOOKUP(C396,Customers!A:E,5,FALSE)&gt;=1000,"YES","NO")</f>
        <v>YES</v>
      </c>
      <c r="I396">
        <f t="shared" si="6"/>
        <v>55.5</v>
      </c>
      <c r="J396">
        <f>(I396 - VLOOKUP(E396,Desserts!A:D,4,FALSE)) * F396</f>
        <v>-28.5</v>
      </c>
    </row>
    <row r="397" spans="1:10" x14ac:dyDescent="0.3">
      <c r="A397" t="s">
        <v>1276</v>
      </c>
      <c r="B397" t="s">
        <v>1277</v>
      </c>
      <c r="C397" t="s">
        <v>447</v>
      </c>
      <c r="D397" t="s">
        <v>205</v>
      </c>
      <c r="E397" t="s">
        <v>559</v>
      </c>
      <c r="F397">
        <v>3</v>
      </c>
      <c r="G397">
        <v>123</v>
      </c>
      <c r="H397" t="str">
        <f>IF(VLOOKUP(C397,Customers!A:E,5,FALSE)&gt;=1000,"YES","NO")</f>
        <v>YES</v>
      </c>
      <c r="I397">
        <f t="shared" si="6"/>
        <v>61.5</v>
      </c>
      <c r="J397">
        <f>(I397 - VLOOKUP(E397,Desserts!A:D,4,FALSE)) * F397</f>
        <v>19.5</v>
      </c>
    </row>
    <row r="398" spans="1:10" x14ac:dyDescent="0.3">
      <c r="A398" t="s">
        <v>1278</v>
      </c>
      <c r="B398" t="s">
        <v>1190</v>
      </c>
      <c r="C398" t="s">
        <v>437</v>
      </c>
      <c r="D398" t="s">
        <v>292</v>
      </c>
      <c r="E398" t="s">
        <v>551</v>
      </c>
      <c r="F398">
        <v>3</v>
      </c>
      <c r="G398">
        <v>113</v>
      </c>
      <c r="H398" t="str">
        <f>IF(VLOOKUP(C398,Customers!A:E,5,FALSE)&gt;=1000,"YES","NO")</f>
        <v>NO</v>
      </c>
      <c r="I398">
        <f t="shared" si="6"/>
        <v>113</v>
      </c>
      <c r="J398">
        <f>(I398 - VLOOKUP(E398,Desserts!A:D,4,FALSE)) * F398</f>
        <v>132</v>
      </c>
    </row>
    <row r="399" spans="1:10" x14ac:dyDescent="0.3">
      <c r="A399" t="s">
        <v>1279</v>
      </c>
      <c r="B399" t="s">
        <v>1280</v>
      </c>
      <c r="C399" t="s">
        <v>489</v>
      </c>
      <c r="D399" t="s">
        <v>178</v>
      </c>
      <c r="E399" t="s">
        <v>585</v>
      </c>
      <c r="F399">
        <v>4</v>
      </c>
      <c r="G399">
        <v>218</v>
      </c>
      <c r="H399" t="str">
        <f>IF(VLOOKUP(C399,Customers!A:E,5,FALSE)&gt;=1000,"YES","NO")</f>
        <v>NO</v>
      </c>
      <c r="I399">
        <f t="shared" si="6"/>
        <v>218</v>
      </c>
      <c r="J399">
        <f>(I399 - VLOOKUP(E399,Desserts!A:D,4,FALSE)) * F399</f>
        <v>684</v>
      </c>
    </row>
    <row r="400" spans="1:10" x14ac:dyDescent="0.3">
      <c r="A400" t="s">
        <v>1281</v>
      </c>
      <c r="B400" t="s">
        <v>814</v>
      </c>
      <c r="C400" t="s">
        <v>361</v>
      </c>
      <c r="D400" t="s">
        <v>301</v>
      </c>
      <c r="E400" t="s">
        <v>541</v>
      </c>
      <c r="F400">
        <v>1</v>
      </c>
      <c r="G400">
        <v>197</v>
      </c>
      <c r="H400" t="str">
        <f>IF(VLOOKUP(C400,Customers!A:E,5,FALSE)&gt;=1000,"YES","NO")</f>
        <v>NO</v>
      </c>
      <c r="I400">
        <f t="shared" si="6"/>
        <v>197</v>
      </c>
      <c r="J400">
        <f>(I400 - VLOOKUP(E400,Desserts!A:D,4,FALSE)) * F400</f>
        <v>140</v>
      </c>
    </row>
    <row r="401" spans="1:10" x14ac:dyDescent="0.3">
      <c r="A401" t="s">
        <v>1282</v>
      </c>
      <c r="B401" t="s">
        <v>659</v>
      </c>
      <c r="C401" t="s">
        <v>465</v>
      </c>
      <c r="D401" t="s">
        <v>202</v>
      </c>
      <c r="E401" t="s">
        <v>599</v>
      </c>
      <c r="F401">
        <v>2</v>
      </c>
      <c r="G401">
        <v>163</v>
      </c>
      <c r="H401" t="str">
        <f>IF(VLOOKUP(C401,Customers!A:E,5,FALSE)&gt;=1000,"YES","NO")</f>
        <v>YES</v>
      </c>
      <c r="I401">
        <f t="shared" si="6"/>
        <v>81.5</v>
      </c>
      <c r="J401">
        <f>(I401 - VLOOKUP(E401,Desserts!A:D,4,FALSE)) * F401</f>
        <v>3</v>
      </c>
    </row>
    <row r="402" spans="1:10" x14ac:dyDescent="0.3">
      <c r="A402" t="s">
        <v>1283</v>
      </c>
      <c r="B402" t="s">
        <v>1284</v>
      </c>
      <c r="C402" t="s">
        <v>349</v>
      </c>
      <c r="D402" t="s">
        <v>163</v>
      </c>
      <c r="E402" t="s">
        <v>615</v>
      </c>
      <c r="F402">
        <v>5</v>
      </c>
      <c r="G402">
        <v>203</v>
      </c>
      <c r="H402" t="str">
        <f>IF(VLOOKUP(C402,Customers!A:E,5,FALSE)&gt;=1000,"YES","NO")</f>
        <v>NO</v>
      </c>
      <c r="I402">
        <f t="shared" si="6"/>
        <v>203</v>
      </c>
      <c r="J402">
        <f>(I402 - VLOOKUP(E402,Desserts!A:D,4,FALSE)) * F402</f>
        <v>805</v>
      </c>
    </row>
    <row r="403" spans="1:10" x14ac:dyDescent="0.3">
      <c r="A403" t="s">
        <v>1285</v>
      </c>
      <c r="B403" t="s">
        <v>892</v>
      </c>
      <c r="C403" t="s">
        <v>481</v>
      </c>
      <c r="D403" t="s">
        <v>142</v>
      </c>
      <c r="E403" t="s">
        <v>523</v>
      </c>
      <c r="F403">
        <v>3</v>
      </c>
      <c r="G403">
        <v>131</v>
      </c>
      <c r="H403" t="str">
        <f>IF(VLOOKUP(C403,Customers!A:E,5,FALSE)&gt;=1000,"YES","NO")</f>
        <v>YES</v>
      </c>
      <c r="I403">
        <f t="shared" si="6"/>
        <v>65.5</v>
      </c>
      <c r="J403">
        <f>(I403 - VLOOKUP(E403,Desserts!A:D,4,FALSE)) * F403</f>
        <v>-7.5</v>
      </c>
    </row>
    <row r="404" spans="1:10" x14ac:dyDescent="0.3">
      <c r="A404" t="s">
        <v>1286</v>
      </c>
      <c r="B404" t="s">
        <v>1287</v>
      </c>
      <c r="C404" t="s">
        <v>367</v>
      </c>
      <c r="D404" t="s">
        <v>250</v>
      </c>
      <c r="E404" t="s">
        <v>603</v>
      </c>
      <c r="F404">
        <v>2</v>
      </c>
      <c r="G404">
        <v>150</v>
      </c>
      <c r="H404" t="str">
        <f>IF(VLOOKUP(C404,Customers!A:E,5,FALSE)&gt;=1000,"YES","NO")</f>
        <v>NO</v>
      </c>
      <c r="I404">
        <f t="shared" si="6"/>
        <v>150</v>
      </c>
      <c r="J404">
        <f>(I404 - VLOOKUP(E404,Desserts!A:D,4,FALSE)) * F404</f>
        <v>122</v>
      </c>
    </row>
    <row r="405" spans="1:10" x14ac:dyDescent="0.3">
      <c r="A405" t="s">
        <v>1288</v>
      </c>
      <c r="B405" t="s">
        <v>1289</v>
      </c>
      <c r="C405" t="s">
        <v>451</v>
      </c>
      <c r="D405" t="s">
        <v>226</v>
      </c>
      <c r="E405" t="s">
        <v>577</v>
      </c>
      <c r="F405">
        <v>5</v>
      </c>
      <c r="G405">
        <v>121</v>
      </c>
      <c r="H405" t="str">
        <f>IF(VLOOKUP(C405,Customers!A:E,5,FALSE)&gt;=1000,"YES","NO")</f>
        <v>NO</v>
      </c>
      <c r="I405">
        <f t="shared" si="6"/>
        <v>121</v>
      </c>
      <c r="J405">
        <f>(I405 - VLOOKUP(E405,Desserts!A:D,4,FALSE)) * F405</f>
        <v>255</v>
      </c>
    </row>
    <row r="406" spans="1:10" x14ac:dyDescent="0.3">
      <c r="A406" t="s">
        <v>1290</v>
      </c>
      <c r="B406" t="s">
        <v>767</v>
      </c>
      <c r="C406" t="s">
        <v>463</v>
      </c>
      <c r="D406" t="s">
        <v>298</v>
      </c>
      <c r="E406" t="s">
        <v>551</v>
      </c>
      <c r="F406">
        <v>4</v>
      </c>
      <c r="G406">
        <v>160</v>
      </c>
      <c r="H406" t="str">
        <f>IF(VLOOKUP(C406,Customers!A:E,5,FALSE)&gt;=1000,"YES","NO")</f>
        <v>NO</v>
      </c>
      <c r="I406">
        <f t="shared" si="6"/>
        <v>160</v>
      </c>
      <c r="J406">
        <f>(I406 - VLOOKUP(E406,Desserts!A:D,4,FALSE)) * F406</f>
        <v>364</v>
      </c>
    </row>
    <row r="407" spans="1:10" x14ac:dyDescent="0.3">
      <c r="A407" t="s">
        <v>1291</v>
      </c>
      <c r="B407" t="s">
        <v>1104</v>
      </c>
      <c r="C407" t="s">
        <v>505</v>
      </c>
      <c r="D407" t="s">
        <v>148</v>
      </c>
      <c r="E407" t="s">
        <v>575</v>
      </c>
      <c r="F407">
        <v>2</v>
      </c>
      <c r="G407">
        <v>142</v>
      </c>
      <c r="H407" t="str">
        <f>IF(VLOOKUP(C407,Customers!A:E,5,FALSE)&gt;=1000,"YES","NO")</f>
        <v>YES</v>
      </c>
      <c r="I407">
        <f t="shared" si="6"/>
        <v>71</v>
      </c>
      <c r="J407">
        <f>(I407 - VLOOKUP(E407,Desserts!A:D,4,FALSE)) * F407</f>
        <v>-8</v>
      </c>
    </row>
    <row r="408" spans="1:10" x14ac:dyDescent="0.3">
      <c r="A408" t="s">
        <v>1292</v>
      </c>
      <c r="B408" t="s">
        <v>818</v>
      </c>
      <c r="C408" t="s">
        <v>419</v>
      </c>
      <c r="D408" t="s">
        <v>223</v>
      </c>
      <c r="E408" t="s">
        <v>619</v>
      </c>
      <c r="F408">
        <v>4</v>
      </c>
      <c r="G408">
        <v>181</v>
      </c>
      <c r="H408" t="str">
        <f>IF(VLOOKUP(C408,Customers!A:E,5,FALSE)&gt;=1000,"YES","NO")</f>
        <v>NO</v>
      </c>
      <c r="I408">
        <f t="shared" si="6"/>
        <v>181</v>
      </c>
      <c r="J408">
        <f>(I408 - VLOOKUP(E408,Desserts!A:D,4,FALSE)) * F408</f>
        <v>400</v>
      </c>
    </row>
    <row r="409" spans="1:10" x14ac:dyDescent="0.3">
      <c r="A409" t="s">
        <v>1293</v>
      </c>
      <c r="B409" t="s">
        <v>895</v>
      </c>
      <c r="C409" t="s">
        <v>509</v>
      </c>
      <c r="D409" t="s">
        <v>76</v>
      </c>
      <c r="E409" t="s">
        <v>549</v>
      </c>
      <c r="F409">
        <v>1</v>
      </c>
      <c r="G409">
        <v>141</v>
      </c>
      <c r="H409" t="str">
        <f>IF(VLOOKUP(C409,Customers!A:E,5,FALSE)&gt;=1000,"YES","NO")</f>
        <v>NO</v>
      </c>
      <c r="I409">
        <f t="shared" si="6"/>
        <v>141</v>
      </c>
      <c r="J409">
        <f>(I409 - VLOOKUP(E409,Desserts!A:D,4,FALSE)) * F409</f>
        <v>62</v>
      </c>
    </row>
    <row r="410" spans="1:10" x14ac:dyDescent="0.3">
      <c r="A410" t="s">
        <v>1294</v>
      </c>
      <c r="B410" t="s">
        <v>1155</v>
      </c>
      <c r="C410" t="s">
        <v>381</v>
      </c>
      <c r="D410" t="s">
        <v>304</v>
      </c>
      <c r="E410" t="s">
        <v>589</v>
      </c>
      <c r="F410">
        <v>4</v>
      </c>
      <c r="G410">
        <v>246</v>
      </c>
      <c r="H410" t="str">
        <f>IF(VLOOKUP(C410,Customers!A:E,5,FALSE)&gt;=1000,"YES","NO")</f>
        <v>NO</v>
      </c>
      <c r="I410">
        <f t="shared" si="6"/>
        <v>246</v>
      </c>
      <c r="J410">
        <f>(I410 - VLOOKUP(E410,Desserts!A:D,4,FALSE)) * F410</f>
        <v>700</v>
      </c>
    </row>
    <row r="411" spans="1:10" x14ac:dyDescent="0.3">
      <c r="A411" t="s">
        <v>1295</v>
      </c>
      <c r="B411" t="s">
        <v>978</v>
      </c>
      <c r="C411" t="s">
        <v>511</v>
      </c>
      <c r="D411" t="s">
        <v>301</v>
      </c>
      <c r="E411" t="s">
        <v>559</v>
      </c>
      <c r="F411">
        <v>3</v>
      </c>
      <c r="G411">
        <v>202</v>
      </c>
      <c r="H411" t="str">
        <f>IF(VLOOKUP(C411,Customers!A:E,5,FALSE)&gt;=1000,"YES","NO")</f>
        <v>YES</v>
      </c>
      <c r="I411">
        <f t="shared" si="6"/>
        <v>101</v>
      </c>
      <c r="J411">
        <f>(I411 - VLOOKUP(E411,Desserts!A:D,4,FALSE)) * F411</f>
        <v>138</v>
      </c>
    </row>
    <row r="412" spans="1:10" x14ac:dyDescent="0.3">
      <c r="A412" t="s">
        <v>1296</v>
      </c>
      <c r="B412" t="s">
        <v>1297</v>
      </c>
      <c r="C412" t="s">
        <v>495</v>
      </c>
      <c r="D412" t="s">
        <v>208</v>
      </c>
      <c r="E412" t="s">
        <v>615</v>
      </c>
      <c r="F412">
        <v>3</v>
      </c>
      <c r="G412">
        <v>100</v>
      </c>
      <c r="H412" t="str">
        <f>IF(VLOOKUP(C412,Customers!A:E,5,FALSE)&gt;=1000,"YES","NO")</f>
        <v>NO</v>
      </c>
      <c r="I412">
        <f t="shared" si="6"/>
        <v>100</v>
      </c>
      <c r="J412">
        <f>(I412 - VLOOKUP(E412,Desserts!A:D,4,FALSE)) * F412</f>
        <v>174</v>
      </c>
    </row>
    <row r="413" spans="1:10" x14ac:dyDescent="0.3">
      <c r="A413" t="s">
        <v>1298</v>
      </c>
      <c r="B413" t="s">
        <v>1299</v>
      </c>
      <c r="C413" t="s">
        <v>363</v>
      </c>
      <c r="D413" t="s">
        <v>289</v>
      </c>
      <c r="E413" t="s">
        <v>549</v>
      </c>
      <c r="F413">
        <v>3</v>
      </c>
      <c r="G413">
        <v>141</v>
      </c>
      <c r="H413" t="str">
        <f>IF(VLOOKUP(C413,Customers!A:E,5,FALSE)&gt;=1000,"YES","NO")</f>
        <v>YES</v>
      </c>
      <c r="I413">
        <f t="shared" si="6"/>
        <v>70.5</v>
      </c>
      <c r="J413">
        <f>(I413 - VLOOKUP(E413,Desserts!A:D,4,FALSE)) * F413</f>
        <v>-25.5</v>
      </c>
    </row>
    <row r="414" spans="1:10" x14ac:dyDescent="0.3">
      <c r="A414" t="s">
        <v>1300</v>
      </c>
      <c r="B414" t="s">
        <v>1237</v>
      </c>
      <c r="C414" t="s">
        <v>487</v>
      </c>
      <c r="D414" t="s">
        <v>124</v>
      </c>
      <c r="E414" t="s">
        <v>605</v>
      </c>
      <c r="F414">
        <v>4</v>
      </c>
      <c r="G414">
        <v>105</v>
      </c>
      <c r="H414" t="str">
        <f>IF(VLOOKUP(C414,Customers!A:E,5,FALSE)&gt;=1000,"YES","NO")</f>
        <v>NO</v>
      </c>
      <c r="I414">
        <f t="shared" si="6"/>
        <v>105</v>
      </c>
      <c r="J414">
        <f>(I414 - VLOOKUP(E414,Desserts!A:D,4,FALSE)) * F414</f>
        <v>172</v>
      </c>
    </row>
    <row r="415" spans="1:10" x14ac:dyDescent="0.3">
      <c r="A415" t="s">
        <v>1301</v>
      </c>
      <c r="B415" t="s">
        <v>1302</v>
      </c>
      <c r="C415" t="s">
        <v>483</v>
      </c>
      <c r="D415" t="s">
        <v>247</v>
      </c>
      <c r="E415" t="s">
        <v>579</v>
      </c>
      <c r="F415">
        <v>5</v>
      </c>
      <c r="G415">
        <v>235</v>
      </c>
      <c r="H415" t="str">
        <f>IF(VLOOKUP(C415,Customers!A:E,5,FALSE)&gt;=1000,"YES","NO")</f>
        <v>YES</v>
      </c>
      <c r="I415">
        <f t="shared" si="6"/>
        <v>117.5</v>
      </c>
      <c r="J415">
        <f>(I415 - VLOOKUP(E415,Desserts!A:D,4,FALSE)) * F415</f>
        <v>277.5</v>
      </c>
    </row>
    <row r="416" spans="1:10" x14ac:dyDescent="0.3">
      <c r="A416" t="s">
        <v>1303</v>
      </c>
      <c r="B416" t="s">
        <v>992</v>
      </c>
      <c r="C416" t="s">
        <v>345</v>
      </c>
      <c r="D416" t="s">
        <v>298</v>
      </c>
      <c r="E416" t="s">
        <v>583</v>
      </c>
      <c r="F416">
        <v>5</v>
      </c>
      <c r="G416">
        <v>113</v>
      </c>
      <c r="H416" t="str">
        <f>IF(VLOOKUP(C416,Customers!A:E,5,FALSE)&gt;=1000,"YES","NO")</f>
        <v>YES</v>
      </c>
      <c r="I416">
        <f t="shared" si="6"/>
        <v>56.5</v>
      </c>
      <c r="J416">
        <f>(I416 - VLOOKUP(E416,Desserts!A:D,4,FALSE)) * F416</f>
        <v>-132.5</v>
      </c>
    </row>
    <row r="417" spans="1:10" x14ac:dyDescent="0.3">
      <c r="A417" t="s">
        <v>1304</v>
      </c>
      <c r="B417" t="s">
        <v>1305</v>
      </c>
      <c r="C417" t="s">
        <v>435</v>
      </c>
      <c r="D417" t="s">
        <v>142</v>
      </c>
      <c r="E417" t="s">
        <v>613</v>
      </c>
      <c r="F417">
        <v>5</v>
      </c>
      <c r="G417">
        <v>176</v>
      </c>
      <c r="H417" t="str">
        <f>IF(VLOOKUP(C417,Customers!A:E,5,FALSE)&gt;=1000,"YES","NO")</f>
        <v>NO</v>
      </c>
      <c r="I417">
        <f t="shared" si="6"/>
        <v>176</v>
      </c>
      <c r="J417">
        <f>(I417 - VLOOKUP(E417,Desserts!A:D,4,FALSE)) * F417</f>
        <v>455</v>
      </c>
    </row>
    <row r="418" spans="1:10" x14ac:dyDescent="0.3">
      <c r="A418" t="s">
        <v>1306</v>
      </c>
      <c r="B418" t="s">
        <v>1145</v>
      </c>
      <c r="C418" t="s">
        <v>377</v>
      </c>
      <c r="D418" t="s">
        <v>208</v>
      </c>
      <c r="E418" t="s">
        <v>609</v>
      </c>
      <c r="F418">
        <v>3</v>
      </c>
      <c r="G418">
        <v>225</v>
      </c>
      <c r="H418" t="str">
        <f>IF(VLOOKUP(C418,Customers!A:E,5,FALSE)&gt;=1000,"YES","NO")</f>
        <v>NO</v>
      </c>
      <c r="I418">
        <f t="shared" si="6"/>
        <v>225</v>
      </c>
      <c r="J418">
        <f>(I418 - VLOOKUP(E418,Desserts!A:D,4,FALSE)) * F418</f>
        <v>483</v>
      </c>
    </row>
    <row r="419" spans="1:10" x14ac:dyDescent="0.3">
      <c r="A419" t="s">
        <v>1307</v>
      </c>
      <c r="B419" t="s">
        <v>1308</v>
      </c>
      <c r="C419" t="s">
        <v>377</v>
      </c>
      <c r="D419" t="s">
        <v>43</v>
      </c>
      <c r="E419" t="s">
        <v>581</v>
      </c>
      <c r="F419">
        <v>1</v>
      </c>
      <c r="G419">
        <v>183</v>
      </c>
      <c r="H419" t="str">
        <f>IF(VLOOKUP(C419,Customers!A:E,5,FALSE)&gt;=1000,"YES","NO")</f>
        <v>NO</v>
      </c>
      <c r="I419">
        <f t="shared" si="6"/>
        <v>183</v>
      </c>
      <c r="J419">
        <f>(I419 - VLOOKUP(E419,Desserts!A:D,4,FALSE)) * F419</f>
        <v>94</v>
      </c>
    </row>
    <row r="420" spans="1:10" x14ac:dyDescent="0.3">
      <c r="A420" t="s">
        <v>1309</v>
      </c>
      <c r="B420" t="s">
        <v>1310</v>
      </c>
      <c r="C420" t="s">
        <v>371</v>
      </c>
      <c r="D420" t="s">
        <v>79</v>
      </c>
      <c r="E420" t="s">
        <v>557</v>
      </c>
      <c r="F420">
        <v>1</v>
      </c>
      <c r="G420">
        <v>217</v>
      </c>
      <c r="H420" t="str">
        <f>IF(VLOOKUP(C420,Customers!A:E,5,FALSE)&gt;=1000,"YES","NO")</f>
        <v>NO</v>
      </c>
      <c r="I420">
        <f t="shared" si="6"/>
        <v>217</v>
      </c>
      <c r="J420">
        <f>(I420 - VLOOKUP(E420,Desserts!A:D,4,FALSE)) * F420</f>
        <v>133</v>
      </c>
    </row>
    <row r="421" spans="1:10" x14ac:dyDescent="0.3">
      <c r="A421" t="s">
        <v>1311</v>
      </c>
      <c r="B421" t="s">
        <v>695</v>
      </c>
      <c r="C421" t="s">
        <v>345</v>
      </c>
      <c r="D421" t="s">
        <v>127</v>
      </c>
      <c r="E421" t="s">
        <v>569</v>
      </c>
      <c r="F421">
        <v>4</v>
      </c>
      <c r="G421">
        <v>233</v>
      </c>
      <c r="H421" t="str">
        <f>IF(VLOOKUP(C421,Customers!A:E,5,FALSE)&gt;=1000,"YES","NO")</f>
        <v>YES</v>
      </c>
      <c r="I421">
        <f t="shared" si="6"/>
        <v>116.5</v>
      </c>
      <c r="J421">
        <f>(I421 - VLOOKUP(E421,Desserts!A:D,4,FALSE)) * F421</f>
        <v>158</v>
      </c>
    </row>
    <row r="422" spans="1:10" x14ac:dyDescent="0.3">
      <c r="A422" t="s">
        <v>1312</v>
      </c>
      <c r="B422" t="s">
        <v>1113</v>
      </c>
      <c r="C422" t="s">
        <v>507</v>
      </c>
      <c r="D422" t="s">
        <v>217</v>
      </c>
      <c r="E422" t="s">
        <v>527</v>
      </c>
      <c r="F422">
        <v>1</v>
      </c>
      <c r="G422">
        <v>134</v>
      </c>
      <c r="H422" t="str">
        <f>IF(VLOOKUP(C422,Customers!A:E,5,FALSE)&gt;=1000,"YES","NO")</f>
        <v>NO</v>
      </c>
      <c r="I422">
        <f t="shared" si="6"/>
        <v>134</v>
      </c>
      <c r="J422">
        <f>(I422 - VLOOKUP(E422,Desserts!A:D,4,FALSE)) * F422</f>
        <v>91</v>
      </c>
    </row>
    <row r="423" spans="1:10" x14ac:dyDescent="0.3">
      <c r="A423" t="s">
        <v>1313</v>
      </c>
      <c r="B423" t="s">
        <v>1314</v>
      </c>
      <c r="C423" t="s">
        <v>447</v>
      </c>
      <c r="D423" t="s">
        <v>30</v>
      </c>
      <c r="E423" t="s">
        <v>529</v>
      </c>
      <c r="F423">
        <v>1</v>
      </c>
      <c r="G423">
        <v>220</v>
      </c>
      <c r="H423" t="str">
        <f>IF(VLOOKUP(C423,Customers!A:E,5,FALSE)&gt;=1000,"YES","NO")</f>
        <v>YES</v>
      </c>
      <c r="I423">
        <f t="shared" si="6"/>
        <v>110</v>
      </c>
      <c r="J423">
        <f>(I423 - VLOOKUP(E423,Desserts!A:D,4,FALSE)) * F423</f>
        <v>42</v>
      </c>
    </row>
    <row r="424" spans="1:10" x14ac:dyDescent="0.3">
      <c r="A424" t="s">
        <v>1315</v>
      </c>
      <c r="B424" t="s">
        <v>1316</v>
      </c>
      <c r="C424" t="s">
        <v>393</v>
      </c>
      <c r="D424" t="s">
        <v>66</v>
      </c>
      <c r="E424" t="s">
        <v>583</v>
      </c>
      <c r="F424">
        <v>1</v>
      </c>
      <c r="G424">
        <v>102</v>
      </c>
      <c r="H424" t="str">
        <f>IF(VLOOKUP(C424,Customers!A:E,5,FALSE)&gt;=1000,"YES","NO")</f>
        <v>YES</v>
      </c>
      <c r="I424">
        <f t="shared" si="6"/>
        <v>51</v>
      </c>
      <c r="J424">
        <f>(I424 - VLOOKUP(E424,Desserts!A:D,4,FALSE)) * F424</f>
        <v>-32</v>
      </c>
    </row>
    <row r="425" spans="1:10" x14ac:dyDescent="0.3">
      <c r="A425" t="s">
        <v>1317</v>
      </c>
      <c r="B425" t="s">
        <v>1318</v>
      </c>
      <c r="C425" t="s">
        <v>427</v>
      </c>
      <c r="D425" t="s">
        <v>157</v>
      </c>
      <c r="E425" t="s">
        <v>617</v>
      </c>
      <c r="F425">
        <v>1</v>
      </c>
      <c r="G425">
        <v>236</v>
      </c>
      <c r="H425" t="str">
        <f>IF(VLOOKUP(C425,Customers!A:E,5,FALSE)&gt;=1000,"YES","NO")</f>
        <v>NO</v>
      </c>
      <c r="I425">
        <f t="shared" si="6"/>
        <v>236</v>
      </c>
      <c r="J425">
        <f>(I425 - VLOOKUP(E425,Desserts!A:D,4,FALSE)) * F425</f>
        <v>195</v>
      </c>
    </row>
    <row r="426" spans="1:10" x14ac:dyDescent="0.3">
      <c r="A426" t="s">
        <v>1319</v>
      </c>
      <c r="B426" t="s">
        <v>701</v>
      </c>
      <c r="C426" t="s">
        <v>485</v>
      </c>
      <c r="D426" t="s">
        <v>51</v>
      </c>
      <c r="E426" t="s">
        <v>593</v>
      </c>
      <c r="F426">
        <v>4</v>
      </c>
      <c r="G426">
        <v>220</v>
      </c>
      <c r="H426" t="str">
        <f>IF(VLOOKUP(C426,Customers!A:E,5,FALSE)&gt;=1000,"YES","NO")</f>
        <v>YES</v>
      </c>
      <c r="I426">
        <f t="shared" si="6"/>
        <v>110</v>
      </c>
      <c r="J426">
        <f>(I426 - VLOOKUP(E426,Desserts!A:D,4,FALSE)) * F426</f>
        <v>224</v>
      </c>
    </row>
    <row r="427" spans="1:10" x14ac:dyDescent="0.3">
      <c r="A427" t="s">
        <v>1320</v>
      </c>
      <c r="B427" t="s">
        <v>1321</v>
      </c>
      <c r="C427" t="s">
        <v>327</v>
      </c>
      <c r="D427" t="s">
        <v>88</v>
      </c>
      <c r="E427" t="s">
        <v>549</v>
      </c>
      <c r="F427">
        <v>4</v>
      </c>
      <c r="G427">
        <v>159</v>
      </c>
      <c r="H427" t="str">
        <f>IF(VLOOKUP(C427,Customers!A:E,5,FALSE)&gt;=1000,"YES","NO")</f>
        <v>YES</v>
      </c>
      <c r="I427">
        <f t="shared" si="6"/>
        <v>79.5</v>
      </c>
      <c r="J427">
        <f>(I427 - VLOOKUP(E427,Desserts!A:D,4,FALSE)) * F427</f>
        <v>2</v>
      </c>
    </row>
    <row r="428" spans="1:10" x14ac:dyDescent="0.3">
      <c r="A428" t="s">
        <v>1322</v>
      </c>
      <c r="B428" t="s">
        <v>1208</v>
      </c>
      <c r="C428" t="s">
        <v>439</v>
      </c>
      <c r="D428" t="s">
        <v>94</v>
      </c>
      <c r="E428" t="s">
        <v>583</v>
      </c>
      <c r="F428">
        <v>5</v>
      </c>
      <c r="G428">
        <v>111</v>
      </c>
      <c r="H428" t="str">
        <f>IF(VLOOKUP(C428,Customers!A:E,5,FALSE)&gt;=1000,"YES","NO")</f>
        <v>YES</v>
      </c>
      <c r="I428">
        <f t="shared" si="6"/>
        <v>55.5</v>
      </c>
      <c r="J428">
        <f>(I428 - VLOOKUP(E428,Desserts!A:D,4,FALSE)) * F428</f>
        <v>-137.5</v>
      </c>
    </row>
    <row r="429" spans="1:10" x14ac:dyDescent="0.3">
      <c r="A429" t="s">
        <v>1323</v>
      </c>
      <c r="B429" t="s">
        <v>1324</v>
      </c>
      <c r="C429" t="s">
        <v>335</v>
      </c>
      <c r="D429" t="s">
        <v>43</v>
      </c>
      <c r="E429" t="s">
        <v>539</v>
      </c>
      <c r="F429">
        <v>1</v>
      </c>
      <c r="G429">
        <v>137</v>
      </c>
      <c r="H429" t="str">
        <f>IF(VLOOKUP(C429,Customers!A:E,5,FALSE)&gt;=1000,"YES","NO")</f>
        <v>NO</v>
      </c>
      <c r="I429">
        <f t="shared" si="6"/>
        <v>137</v>
      </c>
      <c r="J429">
        <f>(I429 - VLOOKUP(E429,Desserts!A:D,4,FALSE)) * F429</f>
        <v>75</v>
      </c>
    </row>
    <row r="430" spans="1:10" x14ac:dyDescent="0.3">
      <c r="A430" t="s">
        <v>1325</v>
      </c>
      <c r="B430" t="s">
        <v>1326</v>
      </c>
      <c r="C430" t="s">
        <v>329</v>
      </c>
      <c r="D430" t="s">
        <v>223</v>
      </c>
      <c r="E430" t="s">
        <v>559</v>
      </c>
      <c r="F430">
        <v>1</v>
      </c>
      <c r="G430">
        <v>241</v>
      </c>
      <c r="H430" t="str">
        <f>IF(VLOOKUP(C430,Customers!A:E,5,FALSE)&gt;=1000,"YES","NO")</f>
        <v>YES</v>
      </c>
      <c r="I430">
        <f t="shared" si="6"/>
        <v>120.5</v>
      </c>
      <c r="J430">
        <f>(I430 - VLOOKUP(E430,Desserts!A:D,4,FALSE)) * F430</f>
        <v>65.5</v>
      </c>
    </row>
    <row r="431" spans="1:10" x14ac:dyDescent="0.3">
      <c r="A431" t="s">
        <v>1327</v>
      </c>
      <c r="B431" t="s">
        <v>1328</v>
      </c>
      <c r="C431" t="s">
        <v>363</v>
      </c>
      <c r="D431" t="s">
        <v>66</v>
      </c>
      <c r="E431" t="s">
        <v>563</v>
      </c>
      <c r="F431">
        <v>2</v>
      </c>
      <c r="G431">
        <v>151</v>
      </c>
      <c r="H431" t="str">
        <f>IF(VLOOKUP(C431,Customers!A:E,5,FALSE)&gt;=1000,"YES","NO")</f>
        <v>YES</v>
      </c>
      <c r="I431">
        <f t="shared" si="6"/>
        <v>75.5</v>
      </c>
      <c r="J431">
        <f>(I431 - VLOOKUP(E431,Desserts!A:D,4,FALSE)) * F431</f>
        <v>21</v>
      </c>
    </row>
    <row r="432" spans="1:10" x14ac:dyDescent="0.3">
      <c r="A432" t="s">
        <v>1329</v>
      </c>
      <c r="B432" t="s">
        <v>1064</v>
      </c>
      <c r="C432" t="s">
        <v>417</v>
      </c>
      <c r="D432" t="s">
        <v>274</v>
      </c>
      <c r="E432" t="s">
        <v>589</v>
      </c>
      <c r="F432">
        <v>4</v>
      </c>
      <c r="G432">
        <v>140</v>
      </c>
      <c r="H432" t="str">
        <f>IF(VLOOKUP(C432,Customers!A:E,5,FALSE)&gt;=1000,"YES","NO")</f>
        <v>YES</v>
      </c>
      <c r="I432">
        <f t="shared" si="6"/>
        <v>70</v>
      </c>
      <c r="J432">
        <f>(I432 - VLOOKUP(E432,Desserts!A:D,4,FALSE)) * F432</f>
        <v>-4</v>
      </c>
    </row>
    <row r="433" spans="1:10" x14ac:dyDescent="0.3">
      <c r="A433" t="s">
        <v>1330</v>
      </c>
      <c r="B433" t="s">
        <v>1068</v>
      </c>
      <c r="C433" t="s">
        <v>375</v>
      </c>
      <c r="D433" t="s">
        <v>268</v>
      </c>
      <c r="E433" t="s">
        <v>539</v>
      </c>
      <c r="F433">
        <v>1</v>
      </c>
      <c r="G433">
        <v>130</v>
      </c>
      <c r="H433" t="str">
        <f>IF(VLOOKUP(C433,Customers!A:E,5,FALSE)&gt;=1000,"YES","NO")</f>
        <v>NO</v>
      </c>
      <c r="I433">
        <f t="shared" si="6"/>
        <v>130</v>
      </c>
      <c r="J433">
        <f>(I433 - VLOOKUP(E433,Desserts!A:D,4,FALSE)) * F433</f>
        <v>68</v>
      </c>
    </row>
    <row r="434" spans="1:10" x14ac:dyDescent="0.3">
      <c r="A434" t="s">
        <v>1331</v>
      </c>
      <c r="B434" t="s">
        <v>996</v>
      </c>
      <c r="C434" t="s">
        <v>339</v>
      </c>
      <c r="D434" t="s">
        <v>172</v>
      </c>
      <c r="E434" t="s">
        <v>597</v>
      </c>
      <c r="F434">
        <v>2</v>
      </c>
      <c r="G434">
        <v>160</v>
      </c>
      <c r="H434" t="str">
        <f>IF(VLOOKUP(C434,Customers!A:E,5,FALSE)&gt;=1000,"YES","NO")</f>
        <v>NO</v>
      </c>
      <c r="I434">
        <f t="shared" si="6"/>
        <v>160</v>
      </c>
      <c r="J434">
        <f>(I434 - VLOOKUP(E434,Desserts!A:D,4,FALSE)) * F434</f>
        <v>230</v>
      </c>
    </row>
    <row r="435" spans="1:10" x14ac:dyDescent="0.3">
      <c r="A435" t="s">
        <v>1332</v>
      </c>
      <c r="B435" t="s">
        <v>1333</v>
      </c>
      <c r="C435" t="s">
        <v>455</v>
      </c>
      <c r="D435" t="s">
        <v>63</v>
      </c>
      <c r="E435" t="s">
        <v>563</v>
      </c>
      <c r="F435">
        <v>2</v>
      </c>
      <c r="G435">
        <v>234</v>
      </c>
      <c r="H435" t="str">
        <f>IF(VLOOKUP(C435,Customers!A:E,5,FALSE)&gt;=1000,"YES","NO")</f>
        <v>YES</v>
      </c>
      <c r="I435">
        <f t="shared" si="6"/>
        <v>117</v>
      </c>
      <c r="J435">
        <f>(I435 - VLOOKUP(E435,Desserts!A:D,4,FALSE)) * F435</f>
        <v>104</v>
      </c>
    </row>
    <row r="436" spans="1:10" x14ac:dyDescent="0.3">
      <c r="A436" t="s">
        <v>1334</v>
      </c>
      <c r="B436" t="s">
        <v>1335</v>
      </c>
      <c r="C436" t="s">
        <v>437</v>
      </c>
      <c r="D436" t="s">
        <v>57</v>
      </c>
      <c r="E436" t="s">
        <v>547</v>
      </c>
      <c r="F436">
        <v>3</v>
      </c>
      <c r="G436">
        <v>225</v>
      </c>
      <c r="H436" t="str">
        <f>IF(VLOOKUP(C436,Customers!A:E,5,FALSE)&gt;=1000,"YES","NO")</f>
        <v>NO</v>
      </c>
      <c r="I436">
        <f t="shared" si="6"/>
        <v>225</v>
      </c>
      <c r="J436">
        <f>(I436 - VLOOKUP(E436,Desserts!A:D,4,FALSE)) * F436</f>
        <v>525</v>
      </c>
    </row>
    <row r="437" spans="1:10" x14ac:dyDescent="0.3">
      <c r="A437" t="s">
        <v>1336</v>
      </c>
      <c r="B437" t="s">
        <v>755</v>
      </c>
      <c r="C437" t="s">
        <v>483</v>
      </c>
      <c r="D437" t="s">
        <v>109</v>
      </c>
      <c r="E437" t="s">
        <v>585</v>
      </c>
      <c r="F437">
        <v>2</v>
      </c>
      <c r="G437">
        <v>155</v>
      </c>
      <c r="H437" t="str">
        <f>IF(VLOOKUP(C437,Customers!A:E,5,FALSE)&gt;=1000,"YES","NO")</f>
        <v>YES</v>
      </c>
      <c r="I437">
        <f t="shared" si="6"/>
        <v>77.5</v>
      </c>
      <c r="J437">
        <f>(I437 - VLOOKUP(E437,Desserts!A:D,4,FALSE)) * F437</f>
        <v>61</v>
      </c>
    </row>
    <row r="438" spans="1:10" x14ac:dyDescent="0.3">
      <c r="A438" t="s">
        <v>1337</v>
      </c>
      <c r="B438" t="s">
        <v>733</v>
      </c>
      <c r="C438" t="s">
        <v>427</v>
      </c>
      <c r="D438" t="s">
        <v>142</v>
      </c>
      <c r="E438" t="s">
        <v>545</v>
      </c>
      <c r="F438">
        <v>2</v>
      </c>
      <c r="G438">
        <v>211</v>
      </c>
      <c r="H438" t="str">
        <f>IF(VLOOKUP(C438,Customers!A:E,5,FALSE)&gt;=1000,"YES","NO")</f>
        <v>NO</v>
      </c>
      <c r="I438">
        <f t="shared" si="6"/>
        <v>211</v>
      </c>
      <c r="J438">
        <f>(I438 - VLOOKUP(E438,Desserts!A:D,4,FALSE)) * F438</f>
        <v>332</v>
      </c>
    </row>
    <row r="439" spans="1:10" x14ac:dyDescent="0.3">
      <c r="A439" t="s">
        <v>1338</v>
      </c>
      <c r="B439" t="s">
        <v>713</v>
      </c>
      <c r="C439" t="s">
        <v>459</v>
      </c>
      <c r="D439" t="s">
        <v>217</v>
      </c>
      <c r="E439" t="s">
        <v>593</v>
      </c>
      <c r="F439">
        <v>5</v>
      </c>
      <c r="G439">
        <v>153</v>
      </c>
      <c r="H439" t="str">
        <f>IF(VLOOKUP(C439,Customers!A:E,5,FALSE)&gt;=1000,"YES","NO")</f>
        <v>NO</v>
      </c>
      <c r="I439">
        <f t="shared" si="6"/>
        <v>153</v>
      </c>
      <c r="J439">
        <f>(I439 - VLOOKUP(E439,Desserts!A:D,4,FALSE)) * F439</f>
        <v>495</v>
      </c>
    </row>
    <row r="440" spans="1:10" x14ac:dyDescent="0.3">
      <c r="A440" t="s">
        <v>1339</v>
      </c>
      <c r="B440" t="s">
        <v>638</v>
      </c>
      <c r="C440" t="s">
        <v>435</v>
      </c>
      <c r="D440" t="s">
        <v>40</v>
      </c>
      <c r="E440" t="s">
        <v>549</v>
      </c>
      <c r="F440">
        <v>2</v>
      </c>
      <c r="G440">
        <v>234</v>
      </c>
      <c r="H440" t="str">
        <f>IF(VLOOKUP(C440,Customers!A:E,5,FALSE)&gt;=1000,"YES","NO")</f>
        <v>NO</v>
      </c>
      <c r="I440">
        <f t="shared" si="6"/>
        <v>234</v>
      </c>
      <c r="J440">
        <f>(I440 - VLOOKUP(E440,Desserts!A:D,4,FALSE)) * F440</f>
        <v>310</v>
      </c>
    </row>
    <row r="441" spans="1:10" x14ac:dyDescent="0.3">
      <c r="A441" t="s">
        <v>1340</v>
      </c>
      <c r="B441" t="s">
        <v>1341</v>
      </c>
      <c r="C441" t="s">
        <v>403</v>
      </c>
      <c r="D441" t="s">
        <v>47</v>
      </c>
      <c r="E441" t="s">
        <v>557</v>
      </c>
      <c r="F441">
        <v>3</v>
      </c>
      <c r="G441">
        <v>147</v>
      </c>
      <c r="H441" t="str">
        <f>IF(VLOOKUP(C441,Customers!A:E,5,FALSE)&gt;=1000,"YES","NO")</f>
        <v>NO</v>
      </c>
      <c r="I441">
        <f t="shared" si="6"/>
        <v>147</v>
      </c>
      <c r="J441">
        <f>(I441 - VLOOKUP(E441,Desserts!A:D,4,FALSE)) * F441</f>
        <v>189</v>
      </c>
    </row>
    <row r="442" spans="1:10" x14ac:dyDescent="0.3">
      <c r="A442" t="s">
        <v>1342</v>
      </c>
      <c r="B442" t="s">
        <v>1224</v>
      </c>
      <c r="C442" t="s">
        <v>475</v>
      </c>
      <c r="D442" t="s">
        <v>283</v>
      </c>
      <c r="E442" t="s">
        <v>619</v>
      </c>
      <c r="F442">
        <v>3</v>
      </c>
      <c r="G442">
        <v>226</v>
      </c>
      <c r="H442" t="str">
        <f>IF(VLOOKUP(C442,Customers!A:E,5,FALSE)&gt;=1000,"YES","NO")</f>
        <v>NO</v>
      </c>
      <c r="I442">
        <f t="shared" si="6"/>
        <v>226</v>
      </c>
      <c r="J442">
        <f>(I442 - VLOOKUP(E442,Desserts!A:D,4,FALSE)) * F442</f>
        <v>435</v>
      </c>
    </row>
    <row r="443" spans="1:10" x14ac:dyDescent="0.3">
      <c r="A443" t="s">
        <v>1343</v>
      </c>
      <c r="B443" t="s">
        <v>1308</v>
      </c>
      <c r="C443" t="s">
        <v>355</v>
      </c>
      <c r="D443" t="s">
        <v>54</v>
      </c>
      <c r="E443" t="s">
        <v>597</v>
      </c>
      <c r="F443">
        <v>4</v>
      </c>
      <c r="G443">
        <v>167</v>
      </c>
      <c r="H443" t="str">
        <f>IF(VLOOKUP(C443,Customers!A:E,5,FALSE)&gt;=1000,"YES","NO")</f>
        <v>YES</v>
      </c>
      <c r="I443">
        <f t="shared" si="6"/>
        <v>83.5</v>
      </c>
      <c r="J443">
        <f>(I443 - VLOOKUP(E443,Desserts!A:D,4,FALSE)) * F443</f>
        <v>154</v>
      </c>
    </row>
    <row r="444" spans="1:10" x14ac:dyDescent="0.3">
      <c r="A444" t="s">
        <v>1344</v>
      </c>
      <c r="B444" t="s">
        <v>1345</v>
      </c>
      <c r="C444" t="s">
        <v>345</v>
      </c>
      <c r="D444" t="s">
        <v>127</v>
      </c>
      <c r="E444" t="s">
        <v>543</v>
      </c>
      <c r="F444">
        <v>2</v>
      </c>
      <c r="G444">
        <v>168</v>
      </c>
      <c r="H444" t="str">
        <f>IF(VLOOKUP(C444,Customers!A:E,5,FALSE)&gt;=1000,"YES","NO")</f>
        <v>YES</v>
      </c>
      <c r="I444">
        <f t="shared" si="6"/>
        <v>84</v>
      </c>
      <c r="J444">
        <f>(I444 - VLOOKUP(E444,Desserts!A:D,4,FALSE)) * F444</f>
        <v>22</v>
      </c>
    </row>
    <row r="445" spans="1:10" x14ac:dyDescent="0.3">
      <c r="A445" t="s">
        <v>1346</v>
      </c>
      <c r="B445" t="s">
        <v>1347</v>
      </c>
      <c r="C445" t="s">
        <v>497</v>
      </c>
      <c r="D445" t="s">
        <v>142</v>
      </c>
      <c r="E445" t="s">
        <v>589</v>
      </c>
      <c r="F445">
        <v>1</v>
      </c>
      <c r="G445">
        <v>129</v>
      </c>
      <c r="H445" t="str">
        <f>IF(VLOOKUP(C445,Customers!A:E,5,FALSE)&gt;=1000,"YES","NO")</f>
        <v>NO</v>
      </c>
      <c r="I445">
        <f t="shared" si="6"/>
        <v>129</v>
      </c>
      <c r="J445">
        <f>(I445 - VLOOKUP(E445,Desserts!A:D,4,FALSE)) * F445</f>
        <v>58</v>
      </c>
    </row>
    <row r="446" spans="1:10" x14ac:dyDescent="0.3">
      <c r="A446" t="s">
        <v>1348</v>
      </c>
      <c r="B446" t="s">
        <v>1287</v>
      </c>
      <c r="C446" t="s">
        <v>423</v>
      </c>
      <c r="D446" t="s">
        <v>235</v>
      </c>
      <c r="E446" t="s">
        <v>565</v>
      </c>
      <c r="F446">
        <v>4</v>
      </c>
      <c r="G446">
        <v>167</v>
      </c>
      <c r="H446" t="str">
        <f>IF(VLOOKUP(C446,Customers!A:E,5,FALSE)&gt;=1000,"YES","NO")</f>
        <v>NO</v>
      </c>
      <c r="I446">
        <f t="shared" si="6"/>
        <v>167</v>
      </c>
      <c r="J446">
        <f>(I446 - VLOOKUP(E446,Desserts!A:D,4,FALSE)) * F446</f>
        <v>504</v>
      </c>
    </row>
    <row r="447" spans="1:10" x14ac:dyDescent="0.3">
      <c r="A447" t="s">
        <v>1349</v>
      </c>
      <c r="B447" t="s">
        <v>908</v>
      </c>
      <c r="C447" t="s">
        <v>359</v>
      </c>
      <c r="D447" t="s">
        <v>100</v>
      </c>
      <c r="E447" t="s">
        <v>589</v>
      </c>
      <c r="F447">
        <v>2</v>
      </c>
      <c r="G447">
        <v>161</v>
      </c>
      <c r="H447" t="str">
        <f>IF(VLOOKUP(C447,Customers!A:E,5,FALSE)&gt;=1000,"YES","NO")</f>
        <v>YES</v>
      </c>
      <c r="I447">
        <f t="shared" si="6"/>
        <v>80.5</v>
      </c>
      <c r="J447">
        <f>(I447 - VLOOKUP(E447,Desserts!A:D,4,FALSE)) * F447</f>
        <v>19</v>
      </c>
    </row>
    <row r="448" spans="1:10" x14ac:dyDescent="0.3">
      <c r="A448" t="s">
        <v>1350</v>
      </c>
      <c r="B448" t="s">
        <v>1351</v>
      </c>
      <c r="C448" t="s">
        <v>467</v>
      </c>
      <c r="D448" t="s">
        <v>40</v>
      </c>
      <c r="E448" t="s">
        <v>577</v>
      </c>
      <c r="F448">
        <v>4</v>
      </c>
      <c r="G448">
        <v>188</v>
      </c>
      <c r="H448" t="str">
        <f>IF(VLOOKUP(C448,Customers!A:E,5,FALSE)&gt;=1000,"YES","NO")</f>
        <v>YES</v>
      </c>
      <c r="I448">
        <f t="shared" si="6"/>
        <v>94</v>
      </c>
      <c r="J448">
        <f>(I448 - VLOOKUP(E448,Desserts!A:D,4,FALSE)) * F448</f>
        <v>96</v>
      </c>
    </row>
    <row r="449" spans="1:10" x14ac:dyDescent="0.3">
      <c r="A449" t="s">
        <v>1352</v>
      </c>
      <c r="B449" t="s">
        <v>1090</v>
      </c>
      <c r="C449" t="s">
        <v>415</v>
      </c>
      <c r="D449" t="s">
        <v>163</v>
      </c>
      <c r="E449" t="s">
        <v>543</v>
      </c>
      <c r="F449">
        <v>5</v>
      </c>
      <c r="G449">
        <v>231</v>
      </c>
      <c r="H449" t="str">
        <f>IF(VLOOKUP(C449,Customers!A:E,5,FALSE)&gt;=1000,"YES","NO")</f>
        <v>YES</v>
      </c>
      <c r="I449">
        <f t="shared" si="6"/>
        <v>115.5</v>
      </c>
      <c r="J449">
        <f>(I449 - VLOOKUP(E449,Desserts!A:D,4,FALSE)) * F449</f>
        <v>212.5</v>
      </c>
    </row>
    <row r="450" spans="1:10" x14ac:dyDescent="0.3">
      <c r="A450" t="s">
        <v>1353</v>
      </c>
      <c r="B450" t="s">
        <v>847</v>
      </c>
      <c r="C450" t="s">
        <v>339</v>
      </c>
      <c r="D450" t="s">
        <v>214</v>
      </c>
      <c r="E450" t="s">
        <v>553</v>
      </c>
      <c r="F450">
        <v>5</v>
      </c>
      <c r="G450">
        <v>101</v>
      </c>
      <c r="H450" t="str">
        <f>IF(VLOOKUP(C450,Customers!A:E,5,FALSE)&gt;=1000,"YES","NO")</f>
        <v>NO</v>
      </c>
      <c r="I450">
        <f t="shared" ref="I450:I501" si="7">IF(H450="YES",G450*0.5,G450)</f>
        <v>101</v>
      </c>
      <c r="J450">
        <f>(I450 - VLOOKUP(E450,Desserts!A:D,4,FALSE)) * F450</f>
        <v>205</v>
      </c>
    </row>
    <row r="451" spans="1:10" x14ac:dyDescent="0.3">
      <c r="A451" t="s">
        <v>1354</v>
      </c>
      <c r="B451" t="s">
        <v>661</v>
      </c>
      <c r="C451" t="s">
        <v>467</v>
      </c>
      <c r="D451" t="s">
        <v>220</v>
      </c>
      <c r="E451" t="s">
        <v>565</v>
      </c>
      <c r="F451">
        <v>3</v>
      </c>
      <c r="G451">
        <v>184</v>
      </c>
      <c r="H451" t="str">
        <f>IF(VLOOKUP(C451,Customers!A:E,5,FALSE)&gt;=1000,"YES","NO")</f>
        <v>YES</v>
      </c>
      <c r="I451">
        <f t="shared" si="7"/>
        <v>92</v>
      </c>
      <c r="J451">
        <f>(I451 - VLOOKUP(E451,Desserts!A:D,4,FALSE)) * F451</f>
        <v>153</v>
      </c>
    </row>
    <row r="452" spans="1:10" x14ac:dyDescent="0.3">
      <c r="A452" t="s">
        <v>1355</v>
      </c>
      <c r="B452" t="s">
        <v>932</v>
      </c>
      <c r="C452" t="s">
        <v>491</v>
      </c>
      <c r="D452" t="s">
        <v>139</v>
      </c>
      <c r="E452" t="s">
        <v>593</v>
      </c>
      <c r="F452">
        <v>1</v>
      </c>
      <c r="G452">
        <v>195</v>
      </c>
      <c r="H452" t="str">
        <f>IF(VLOOKUP(C452,Customers!A:E,5,FALSE)&gt;=1000,"YES","NO")</f>
        <v>NO</v>
      </c>
      <c r="I452">
        <f t="shared" si="7"/>
        <v>195</v>
      </c>
      <c r="J452">
        <f>(I452 - VLOOKUP(E452,Desserts!A:D,4,FALSE)) * F452</f>
        <v>141</v>
      </c>
    </row>
    <row r="453" spans="1:10" x14ac:dyDescent="0.3">
      <c r="A453" t="s">
        <v>1356</v>
      </c>
      <c r="B453" t="s">
        <v>1357</v>
      </c>
      <c r="C453" t="s">
        <v>429</v>
      </c>
      <c r="D453" t="s">
        <v>205</v>
      </c>
      <c r="E453" t="s">
        <v>617</v>
      </c>
      <c r="F453">
        <v>4</v>
      </c>
      <c r="G453">
        <v>142</v>
      </c>
      <c r="H453" t="str">
        <f>IF(VLOOKUP(C453,Customers!A:E,5,FALSE)&gt;=1000,"YES","NO")</f>
        <v>YES</v>
      </c>
      <c r="I453">
        <f t="shared" si="7"/>
        <v>71</v>
      </c>
      <c r="J453">
        <f>(I453 - VLOOKUP(E453,Desserts!A:D,4,FALSE)) * F453</f>
        <v>120</v>
      </c>
    </row>
    <row r="454" spans="1:10" x14ac:dyDescent="0.3">
      <c r="A454" t="s">
        <v>1358</v>
      </c>
      <c r="B454" t="s">
        <v>791</v>
      </c>
      <c r="C454" t="s">
        <v>505</v>
      </c>
      <c r="D454" t="s">
        <v>115</v>
      </c>
      <c r="E454" t="s">
        <v>615</v>
      </c>
      <c r="F454">
        <v>2</v>
      </c>
      <c r="G454">
        <v>249</v>
      </c>
      <c r="H454" t="str">
        <f>IF(VLOOKUP(C454,Customers!A:E,5,FALSE)&gt;=1000,"YES","NO")</f>
        <v>YES</v>
      </c>
      <c r="I454">
        <f t="shared" si="7"/>
        <v>124.5</v>
      </c>
      <c r="J454">
        <f>(I454 - VLOOKUP(E454,Desserts!A:D,4,FALSE)) * F454</f>
        <v>165</v>
      </c>
    </row>
    <row r="455" spans="1:10" x14ac:dyDescent="0.3">
      <c r="A455" t="s">
        <v>1359</v>
      </c>
      <c r="B455" t="s">
        <v>785</v>
      </c>
      <c r="C455" t="s">
        <v>337</v>
      </c>
      <c r="D455" t="s">
        <v>20</v>
      </c>
      <c r="E455" t="s">
        <v>603</v>
      </c>
      <c r="F455">
        <v>3</v>
      </c>
      <c r="G455">
        <v>173</v>
      </c>
      <c r="H455" t="str">
        <f>IF(VLOOKUP(C455,Customers!A:E,5,FALSE)&gt;=1000,"YES","NO")</f>
        <v>NO</v>
      </c>
      <c r="I455">
        <f t="shared" si="7"/>
        <v>173</v>
      </c>
      <c r="J455">
        <f>(I455 - VLOOKUP(E455,Desserts!A:D,4,FALSE)) * F455</f>
        <v>252</v>
      </c>
    </row>
    <row r="456" spans="1:10" x14ac:dyDescent="0.3">
      <c r="A456" t="s">
        <v>1360</v>
      </c>
      <c r="B456" t="s">
        <v>800</v>
      </c>
      <c r="C456" t="s">
        <v>367</v>
      </c>
      <c r="D456" t="s">
        <v>181</v>
      </c>
      <c r="E456" t="s">
        <v>551</v>
      </c>
      <c r="F456">
        <v>4</v>
      </c>
      <c r="G456">
        <v>188</v>
      </c>
      <c r="H456" t="str">
        <f>IF(VLOOKUP(C456,Customers!A:E,5,FALSE)&gt;=1000,"YES","NO")</f>
        <v>NO</v>
      </c>
      <c r="I456">
        <f t="shared" si="7"/>
        <v>188</v>
      </c>
      <c r="J456">
        <f>(I456 - VLOOKUP(E456,Desserts!A:D,4,FALSE)) * F456</f>
        <v>476</v>
      </c>
    </row>
    <row r="457" spans="1:10" x14ac:dyDescent="0.3">
      <c r="A457" t="s">
        <v>1361</v>
      </c>
      <c r="B457" t="s">
        <v>814</v>
      </c>
      <c r="C457" t="s">
        <v>331</v>
      </c>
      <c r="D457" t="s">
        <v>223</v>
      </c>
      <c r="E457" t="s">
        <v>553</v>
      </c>
      <c r="F457">
        <v>4</v>
      </c>
      <c r="G457">
        <v>116</v>
      </c>
      <c r="H457" t="str">
        <f>IF(VLOOKUP(C457,Customers!A:E,5,FALSE)&gt;=1000,"YES","NO")</f>
        <v>YES</v>
      </c>
      <c r="I457">
        <f t="shared" si="7"/>
        <v>58</v>
      </c>
      <c r="J457">
        <f>(I457 - VLOOKUP(E457,Desserts!A:D,4,FALSE)) * F457</f>
        <v>-8</v>
      </c>
    </row>
    <row r="458" spans="1:10" x14ac:dyDescent="0.3">
      <c r="A458" t="s">
        <v>1362</v>
      </c>
      <c r="B458" t="s">
        <v>679</v>
      </c>
      <c r="C458" t="s">
        <v>441</v>
      </c>
      <c r="D458" t="s">
        <v>17</v>
      </c>
      <c r="E458" t="s">
        <v>597</v>
      </c>
      <c r="F458">
        <v>5</v>
      </c>
      <c r="G458">
        <v>124</v>
      </c>
      <c r="H458" t="str">
        <f>IF(VLOOKUP(C458,Customers!A:E,5,FALSE)&gt;=1000,"YES","NO")</f>
        <v>NO</v>
      </c>
      <c r="I458">
        <f t="shared" si="7"/>
        <v>124</v>
      </c>
      <c r="J458">
        <f>(I458 - VLOOKUP(E458,Desserts!A:D,4,FALSE)) * F458</f>
        <v>395</v>
      </c>
    </row>
    <row r="459" spans="1:10" x14ac:dyDescent="0.3">
      <c r="A459" t="s">
        <v>1363</v>
      </c>
      <c r="B459" t="s">
        <v>703</v>
      </c>
      <c r="C459" t="s">
        <v>325</v>
      </c>
      <c r="D459" t="s">
        <v>205</v>
      </c>
      <c r="E459" t="s">
        <v>521</v>
      </c>
      <c r="F459">
        <v>4</v>
      </c>
      <c r="G459">
        <v>242</v>
      </c>
      <c r="H459" t="str">
        <f>IF(VLOOKUP(C459,Customers!A:E,5,FALSE)&gt;=1000,"YES","NO")</f>
        <v>NO</v>
      </c>
      <c r="I459">
        <f t="shared" si="7"/>
        <v>242</v>
      </c>
      <c r="J459">
        <f>(I459 - VLOOKUP(E459,Desserts!A:D,4,FALSE)) * F459</f>
        <v>712</v>
      </c>
    </row>
    <row r="460" spans="1:10" x14ac:dyDescent="0.3">
      <c r="A460" t="s">
        <v>1364</v>
      </c>
      <c r="B460" t="s">
        <v>1212</v>
      </c>
      <c r="C460" t="s">
        <v>373</v>
      </c>
      <c r="D460" t="s">
        <v>5</v>
      </c>
      <c r="E460" t="s">
        <v>613</v>
      </c>
      <c r="F460">
        <v>3</v>
      </c>
      <c r="G460">
        <v>136</v>
      </c>
      <c r="H460" t="str">
        <f>IF(VLOOKUP(C460,Customers!A:E,5,FALSE)&gt;=1000,"YES","NO")</f>
        <v>NO</v>
      </c>
      <c r="I460">
        <f t="shared" si="7"/>
        <v>136</v>
      </c>
      <c r="J460">
        <f>(I460 - VLOOKUP(E460,Desserts!A:D,4,FALSE)) * F460</f>
        <v>153</v>
      </c>
    </row>
    <row r="461" spans="1:10" x14ac:dyDescent="0.3">
      <c r="A461" t="s">
        <v>1365</v>
      </c>
      <c r="B461" t="s">
        <v>1036</v>
      </c>
      <c r="C461" t="s">
        <v>407</v>
      </c>
      <c r="D461" t="s">
        <v>5</v>
      </c>
      <c r="E461" t="s">
        <v>585</v>
      </c>
      <c r="F461">
        <v>3</v>
      </c>
      <c r="G461">
        <v>246</v>
      </c>
      <c r="H461" t="str">
        <f>IF(VLOOKUP(C461,Customers!A:E,5,FALSE)&gt;=1000,"YES","NO")</f>
        <v>YES</v>
      </c>
      <c r="I461">
        <f t="shared" si="7"/>
        <v>123</v>
      </c>
      <c r="J461">
        <f>(I461 - VLOOKUP(E461,Desserts!A:D,4,FALSE)) * F461</f>
        <v>228</v>
      </c>
    </row>
    <row r="462" spans="1:10" x14ac:dyDescent="0.3">
      <c r="A462" t="s">
        <v>1366</v>
      </c>
      <c r="B462" t="s">
        <v>1367</v>
      </c>
      <c r="C462" t="s">
        <v>425</v>
      </c>
      <c r="D462" t="s">
        <v>63</v>
      </c>
      <c r="E462" t="s">
        <v>563</v>
      </c>
      <c r="F462">
        <v>5</v>
      </c>
      <c r="G462">
        <v>108</v>
      </c>
      <c r="H462" t="str">
        <f>IF(VLOOKUP(C462,Customers!A:E,5,FALSE)&gt;=1000,"YES","NO")</f>
        <v>NO</v>
      </c>
      <c r="I462">
        <f t="shared" si="7"/>
        <v>108</v>
      </c>
      <c r="J462">
        <f>(I462 - VLOOKUP(E462,Desserts!A:D,4,FALSE)) * F462</f>
        <v>215</v>
      </c>
    </row>
    <row r="463" spans="1:10" x14ac:dyDescent="0.3">
      <c r="A463" t="s">
        <v>1368</v>
      </c>
      <c r="B463" t="s">
        <v>1369</v>
      </c>
      <c r="C463" t="s">
        <v>395</v>
      </c>
      <c r="D463" t="s">
        <v>289</v>
      </c>
      <c r="E463" t="s">
        <v>599</v>
      </c>
      <c r="F463">
        <v>3</v>
      </c>
      <c r="G463">
        <v>168</v>
      </c>
      <c r="H463" t="str">
        <f>IF(VLOOKUP(C463,Customers!A:E,5,FALSE)&gt;=1000,"YES","NO")</f>
        <v>NO</v>
      </c>
      <c r="I463">
        <f t="shared" si="7"/>
        <v>168</v>
      </c>
      <c r="J463">
        <f>(I463 - VLOOKUP(E463,Desserts!A:D,4,FALSE)) * F463</f>
        <v>264</v>
      </c>
    </row>
    <row r="464" spans="1:10" x14ac:dyDescent="0.3">
      <c r="A464" t="s">
        <v>1370</v>
      </c>
      <c r="B464" t="s">
        <v>852</v>
      </c>
      <c r="C464" t="s">
        <v>471</v>
      </c>
      <c r="D464" t="s">
        <v>205</v>
      </c>
      <c r="E464" t="s">
        <v>555</v>
      </c>
      <c r="F464">
        <v>5</v>
      </c>
      <c r="G464">
        <v>249</v>
      </c>
      <c r="H464" t="str">
        <f>IF(VLOOKUP(C464,Customers!A:E,5,FALSE)&gt;=1000,"YES","NO")</f>
        <v>NO</v>
      </c>
      <c r="I464">
        <f t="shared" si="7"/>
        <v>249</v>
      </c>
      <c r="J464">
        <f>(I464 - VLOOKUP(E464,Desserts!A:D,4,FALSE)) * F464</f>
        <v>870</v>
      </c>
    </row>
    <row r="465" spans="1:10" x14ac:dyDescent="0.3">
      <c r="A465" t="s">
        <v>1371</v>
      </c>
      <c r="B465" t="s">
        <v>703</v>
      </c>
      <c r="C465" t="s">
        <v>445</v>
      </c>
      <c r="D465" t="s">
        <v>118</v>
      </c>
      <c r="E465" t="s">
        <v>537</v>
      </c>
      <c r="F465">
        <v>4</v>
      </c>
      <c r="G465">
        <v>221</v>
      </c>
      <c r="H465" t="str">
        <f>IF(VLOOKUP(C465,Customers!A:E,5,FALSE)&gt;=1000,"YES","NO")</f>
        <v>NO</v>
      </c>
      <c r="I465">
        <f t="shared" si="7"/>
        <v>221</v>
      </c>
      <c r="J465">
        <f>(I465 - VLOOKUP(E465,Desserts!A:D,4,FALSE)) * F465</f>
        <v>548</v>
      </c>
    </row>
    <row r="466" spans="1:10" x14ac:dyDescent="0.3">
      <c r="A466" t="s">
        <v>1372</v>
      </c>
      <c r="B466" t="s">
        <v>1373</v>
      </c>
      <c r="C466" t="s">
        <v>433</v>
      </c>
      <c r="D466" t="s">
        <v>244</v>
      </c>
      <c r="E466" t="s">
        <v>595</v>
      </c>
      <c r="F466">
        <v>3</v>
      </c>
      <c r="G466">
        <v>199</v>
      </c>
      <c r="H466" t="str">
        <f>IF(VLOOKUP(C466,Customers!A:E,5,FALSE)&gt;=1000,"YES","NO")</f>
        <v>YES</v>
      </c>
      <c r="I466">
        <f t="shared" si="7"/>
        <v>99.5</v>
      </c>
      <c r="J466">
        <f>(I466 - VLOOKUP(E466,Desserts!A:D,4,FALSE)) * F466</f>
        <v>88.5</v>
      </c>
    </row>
    <row r="467" spans="1:10" x14ac:dyDescent="0.3">
      <c r="A467" t="s">
        <v>1374</v>
      </c>
      <c r="B467" t="s">
        <v>634</v>
      </c>
      <c r="C467" t="s">
        <v>339</v>
      </c>
      <c r="D467" t="s">
        <v>130</v>
      </c>
      <c r="E467" t="s">
        <v>589</v>
      </c>
      <c r="F467">
        <v>4</v>
      </c>
      <c r="G467">
        <v>135</v>
      </c>
      <c r="H467" t="str">
        <f>IF(VLOOKUP(C467,Customers!A:E,5,FALSE)&gt;=1000,"YES","NO")</f>
        <v>NO</v>
      </c>
      <c r="I467">
        <f t="shared" si="7"/>
        <v>135</v>
      </c>
      <c r="J467">
        <f>(I467 - VLOOKUP(E467,Desserts!A:D,4,FALSE)) * F467</f>
        <v>256</v>
      </c>
    </row>
    <row r="468" spans="1:10" x14ac:dyDescent="0.3">
      <c r="A468" t="s">
        <v>1375</v>
      </c>
      <c r="B468" t="s">
        <v>1321</v>
      </c>
      <c r="C468" t="s">
        <v>405</v>
      </c>
      <c r="D468" t="s">
        <v>163</v>
      </c>
      <c r="E468" t="s">
        <v>547</v>
      </c>
      <c r="F468">
        <v>3</v>
      </c>
      <c r="G468">
        <v>190</v>
      </c>
      <c r="H468" t="str">
        <f>IF(VLOOKUP(C468,Customers!A:E,5,FALSE)&gt;=1000,"YES","NO")</f>
        <v>YES</v>
      </c>
      <c r="I468">
        <f t="shared" si="7"/>
        <v>95</v>
      </c>
      <c r="J468">
        <f>(I468 - VLOOKUP(E468,Desserts!A:D,4,FALSE)) * F468</f>
        <v>135</v>
      </c>
    </row>
    <row r="469" spans="1:10" x14ac:dyDescent="0.3">
      <c r="A469" t="s">
        <v>1376</v>
      </c>
      <c r="B469" t="s">
        <v>800</v>
      </c>
      <c r="C469" t="s">
        <v>397</v>
      </c>
      <c r="D469" t="s">
        <v>148</v>
      </c>
      <c r="E469" t="s">
        <v>617</v>
      </c>
      <c r="F469">
        <v>2</v>
      </c>
      <c r="G469">
        <v>172</v>
      </c>
      <c r="H469" t="str">
        <f>IF(VLOOKUP(C469,Customers!A:E,5,FALSE)&gt;=1000,"YES","NO")</f>
        <v>NO</v>
      </c>
      <c r="I469">
        <f t="shared" si="7"/>
        <v>172</v>
      </c>
      <c r="J469">
        <f>(I469 - VLOOKUP(E469,Desserts!A:D,4,FALSE)) * F469</f>
        <v>262</v>
      </c>
    </row>
    <row r="470" spans="1:10" x14ac:dyDescent="0.3">
      <c r="A470" t="s">
        <v>1377</v>
      </c>
      <c r="B470" t="s">
        <v>921</v>
      </c>
      <c r="C470" t="s">
        <v>407</v>
      </c>
      <c r="D470" t="s">
        <v>211</v>
      </c>
      <c r="E470" t="s">
        <v>541</v>
      </c>
      <c r="F470">
        <v>2</v>
      </c>
      <c r="G470">
        <v>239</v>
      </c>
      <c r="H470" t="str">
        <f>IF(VLOOKUP(C470,Customers!A:E,5,FALSE)&gt;=1000,"YES","NO")</f>
        <v>YES</v>
      </c>
      <c r="I470">
        <f t="shared" si="7"/>
        <v>119.5</v>
      </c>
      <c r="J470">
        <f>(I470 - VLOOKUP(E470,Desserts!A:D,4,FALSE)) * F470</f>
        <v>125</v>
      </c>
    </row>
    <row r="471" spans="1:10" x14ac:dyDescent="0.3">
      <c r="A471" t="s">
        <v>1378</v>
      </c>
      <c r="B471" t="s">
        <v>677</v>
      </c>
      <c r="C471" t="s">
        <v>343</v>
      </c>
      <c r="D471" t="s">
        <v>193</v>
      </c>
      <c r="E471" t="s">
        <v>537</v>
      </c>
      <c r="F471">
        <v>1</v>
      </c>
      <c r="G471">
        <v>221</v>
      </c>
      <c r="H471" t="str">
        <f>IF(VLOOKUP(C471,Customers!A:E,5,FALSE)&gt;=1000,"YES","NO")</f>
        <v>YES</v>
      </c>
      <c r="I471">
        <f t="shared" si="7"/>
        <v>110.5</v>
      </c>
      <c r="J471">
        <f>(I471 - VLOOKUP(E471,Desserts!A:D,4,FALSE)) * F471</f>
        <v>26.5</v>
      </c>
    </row>
    <row r="472" spans="1:10" x14ac:dyDescent="0.3">
      <c r="A472" t="s">
        <v>1379</v>
      </c>
      <c r="B472" t="s">
        <v>1016</v>
      </c>
      <c r="C472" t="s">
        <v>503</v>
      </c>
      <c r="D472" t="s">
        <v>91</v>
      </c>
      <c r="E472" t="s">
        <v>525</v>
      </c>
      <c r="F472">
        <v>1</v>
      </c>
      <c r="G472">
        <v>207</v>
      </c>
      <c r="H472" t="str">
        <f>IF(VLOOKUP(C472,Customers!A:E,5,FALSE)&gt;=1000,"YES","NO")</f>
        <v>NO</v>
      </c>
      <c r="I472">
        <f t="shared" si="7"/>
        <v>207</v>
      </c>
      <c r="J472">
        <f>(I472 - VLOOKUP(E472,Desserts!A:D,4,FALSE)) * F472</f>
        <v>123</v>
      </c>
    </row>
    <row r="473" spans="1:10" x14ac:dyDescent="0.3">
      <c r="A473" t="s">
        <v>1380</v>
      </c>
      <c r="B473" t="s">
        <v>1121</v>
      </c>
      <c r="C473" t="s">
        <v>387</v>
      </c>
      <c r="D473" t="s">
        <v>310</v>
      </c>
      <c r="E473" t="s">
        <v>569</v>
      </c>
      <c r="F473">
        <v>5</v>
      </c>
      <c r="G473">
        <v>137</v>
      </c>
      <c r="H473" t="str">
        <f>IF(VLOOKUP(C473,Customers!A:E,5,FALSE)&gt;=1000,"YES","NO")</f>
        <v>NO</v>
      </c>
      <c r="I473">
        <f t="shared" si="7"/>
        <v>137</v>
      </c>
      <c r="J473">
        <f>(I473 - VLOOKUP(E473,Desserts!A:D,4,FALSE)) * F473</f>
        <v>300</v>
      </c>
    </row>
    <row r="474" spans="1:10" x14ac:dyDescent="0.3">
      <c r="A474" t="s">
        <v>1381</v>
      </c>
      <c r="B474" t="s">
        <v>1382</v>
      </c>
      <c r="C474" t="s">
        <v>337</v>
      </c>
      <c r="D474" t="s">
        <v>66</v>
      </c>
      <c r="E474" t="s">
        <v>617</v>
      </c>
      <c r="F474">
        <v>2</v>
      </c>
      <c r="G474">
        <v>185</v>
      </c>
      <c r="H474" t="str">
        <f>IF(VLOOKUP(C474,Customers!A:E,5,FALSE)&gt;=1000,"YES","NO")</f>
        <v>NO</v>
      </c>
      <c r="I474">
        <f t="shared" si="7"/>
        <v>185</v>
      </c>
      <c r="J474">
        <f>(I474 - VLOOKUP(E474,Desserts!A:D,4,FALSE)) * F474</f>
        <v>288</v>
      </c>
    </row>
    <row r="475" spans="1:10" x14ac:dyDescent="0.3">
      <c r="A475" t="s">
        <v>1383</v>
      </c>
      <c r="B475" t="s">
        <v>1384</v>
      </c>
      <c r="C475" t="s">
        <v>333</v>
      </c>
      <c r="D475" t="s">
        <v>112</v>
      </c>
      <c r="E475" t="s">
        <v>569</v>
      </c>
      <c r="F475">
        <v>3</v>
      </c>
      <c r="G475">
        <v>146</v>
      </c>
      <c r="H475" t="str">
        <f>IF(VLOOKUP(C475,Customers!A:E,5,FALSE)&gt;=1000,"YES","NO")</f>
        <v>YES</v>
      </c>
      <c r="I475">
        <f t="shared" si="7"/>
        <v>73</v>
      </c>
      <c r="J475">
        <f>(I475 - VLOOKUP(E475,Desserts!A:D,4,FALSE)) * F475</f>
        <v>-12</v>
      </c>
    </row>
    <row r="476" spans="1:10" x14ac:dyDescent="0.3">
      <c r="A476" t="s">
        <v>1385</v>
      </c>
      <c r="B476" t="s">
        <v>1386</v>
      </c>
      <c r="C476" t="s">
        <v>387</v>
      </c>
      <c r="D476" t="s">
        <v>157</v>
      </c>
      <c r="E476" t="s">
        <v>543</v>
      </c>
      <c r="F476">
        <v>1</v>
      </c>
      <c r="G476">
        <v>192</v>
      </c>
      <c r="H476" t="str">
        <f>IF(VLOOKUP(C476,Customers!A:E,5,FALSE)&gt;=1000,"YES","NO")</f>
        <v>NO</v>
      </c>
      <c r="I476">
        <f t="shared" si="7"/>
        <v>192</v>
      </c>
      <c r="J476">
        <f>(I476 - VLOOKUP(E476,Desserts!A:D,4,FALSE)) * F476</f>
        <v>119</v>
      </c>
    </row>
    <row r="477" spans="1:10" x14ac:dyDescent="0.3">
      <c r="A477" t="s">
        <v>1387</v>
      </c>
      <c r="B477" t="s">
        <v>775</v>
      </c>
      <c r="C477" t="s">
        <v>347</v>
      </c>
      <c r="D477" t="s">
        <v>72</v>
      </c>
      <c r="E477" t="s">
        <v>555</v>
      </c>
      <c r="F477">
        <v>3</v>
      </c>
      <c r="G477">
        <v>193</v>
      </c>
      <c r="H477" t="str">
        <f>IF(VLOOKUP(C477,Customers!A:E,5,FALSE)&gt;=1000,"YES","NO")</f>
        <v>YES</v>
      </c>
      <c r="I477">
        <f t="shared" si="7"/>
        <v>96.5</v>
      </c>
      <c r="J477">
        <f>(I477 - VLOOKUP(E477,Desserts!A:D,4,FALSE)) * F477</f>
        <v>64.5</v>
      </c>
    </row>
    <row r="478" spans="1:10" x14ac:dyDescent="0.3">
      <c r="A478" t="s">
        <v>1388</v>
      </c>
      <c r="B478" t="s">
        <v>936</v>
      </c>
      <c r="C478" t="s">
        <v>343</v>
      </c>
      <c r="D478" t="s">
        <v>103</v>
      </c>
      <c r="E478" t="s">
        <v>597</v>
      </c>
      <c r="F478">
        <v>3</v>
      </c>
      <c r="G478">
        <v>188</v>
      </c>
      <c r="H478" t="str">
        <f>IF(VLOOKUP(C478,Customers!A:E,5,FALSE)&gt;=1000,"YES","NO")</f>
        <v>YES</v>
      </c>
      <c r="I478">
        <f t="shared" si="7"/>
        <v>94</v>
      </c>
      <c r="J478">
        <f>(I478 - VLOOKUP(E478,Desserts!A:D,4,FALSE)) * F478</f>
        <v>147</v>
      </c>
    </row>
    <row r="479" spans="1:10" x14ac:dyDescent="0.3">
      <c r="A479" t="s">
        <v>1389</v>
      </c>
      <c r="B479" t="s">
        <v>1081</v>
      </c>
      <c r="C479" t="s">
        <v>423</v>
      </c>
      <c r="D479" t="s">
        <v>79</v>
      </c>
      <c r="E479" t="s">
        <v>543</v>
      </c>
      <c r="F479">
        <v>3</v>
      </c>
      <c r="G479">
        <v>227</v>
      </c>
      <c r="H479" t="str">
        <f>IF(VLOOKUP(C479,Customers!A:E,5,FALSE)&gt;=1000,"YES","NO")</f>
        <v>NO</v>
      </c>
      <c r="I479">
        <f t="shared" si="7"/>
        <v>227</v>
      </c>
      <c r="J479">
        <f>(I479 - VLOOKUP(E479,Desserts!A:D,4,FALSE)) * F479</f>
        <v>462</v>
      </c>
    </row>
    <row r="480" spans="1:10" x14ac:dyDescent="0.3">
      <c r="A480" t="s">
        <v>1390</v>
      </c>
      <c r="B480" t="s">
        <v>998</v>
      </c>
      <c r="C480" t="s">
        <v>369</v>
      </c>
      <c r="D480" t="s">
        <v>247</v>
      </c>
      <c r="E480" t="s">
        <v>541</v>
      </c>
      <c r="F480">
        <v>3</v>
      </c>
      <c r="G480">
        <v>110</v>
      </c>
      <c r="H480" t="str">
        <f>IF(VLOOKUP(C480,Customers!A:E,5,FALSE)&gt;=1000,"YES","NO")</f>
        <v>YES</v>
      </c>
      <c r="I480">
        <f t="shared" si="7"/>
        <v>55</v>
      </c>
      <c r="J480">
        <f>(I480 - VLOOKUP(E480,Desserts!A:D,4,FALSE)) * F480</f>
        <v>-6</v>
      </c>
    </row>
    <row r="481" spans="1:10" x14ac:dyDescent="0.3">
      <c r="A481" t="s">
        <v>1391</v>
      </c>
      <c r="B481" t="s">
        <v>1000</v>
      </c>
      <c r="C481" t="s">
        <v>485</v>
      </c>
      <c r="D481" t="s">
        <v>274</v>
      </c>
      <c r="E481" t="s">
        <v>611</v>
      </c>
      <c r="F481">
        <v>4</v>
      </c>
      <c r="G481">
        <v>101</v>
      </c>
      <c r="H481" t="str">
        <f>IF(VLOOKUP(C481,Customers!A:E,5,FALSE)&gt;=1000,"YES","NO")</f>
        <v>YES</v>
      </c>
      <c r="I481">
        <f t="shared" si="7"/>
        <v>50.5</v>
      </c>
      <c r="J481">
        <f>(I481 - VLOOKUP(E481,Desserts!A:D,4,FALSE)) * F481</f>
        <v>30</v>
      </c>
    </row>
    <row r="482" spans="1:10" x14ac:dyDescent="0.3">
      <c r="A482" t="s">
        <v>1392</v>
      </c>
      <c r="B482" t="s">
        <v>878</v>
      </c>
      <c r="C482" t="s">
        <v>419</v>
      </c>
      <c r="D482" t="s">
        <v>54</v>
      </c>
      <c r="E482" t="s">
        <v>573</v>
      </c>
      <c r="F482">
        <v>4</v>
      </c>
      <c r="G482">
        <v>162</v>
      </c>
      <c r="H482" t="str">
        <f>IF(VLOOKUP(C482,Customers!A:E,5,FALSE)&gt;=1000,"YES","NO")</f>
        <v>NO</v>
      </c>
      <c r="I482">
        <f t="shared" si="7"/>
        <v>162</v>
      </c>
      <c r="J482">
        <f>(I482 - VLOOKUP(E482,Desserts!A:D,4,FALSE)) * F482</f>
        <v>448</v>
      </c>
    </row>
    <row r="483" spans="1:10" x14ac:dyDescent="0.3">
      <c r="A483" t="s">
        <v>1393</v>
      </c>
      <c r="B483" t="s">
        <v>810</v>
      </c>
      <c r="C483" t="s">
        <v>363</v>
      </c>
      <c r="D483" t="s">
        <v>268</v>
      </c>
      <c r="E483" t="s">
        <v>535</v>
      </c>
      <c r="F483">
        <v>2</v>
      </c>
      <c r="G483">
        <v>168</v>
      </c>
      <c r="H483" t="str">
        <f>IF(VLOOKUP(C483,Customers!A:E,5,FALSE)&gt;=1000,"YES","NO")</f>
        <v>YES</v>
      </c>
      <c r="I483">
        <f t="shared" si="7"/>
        <v>84</v>
      </c>
      <c r="J483">
        <f>(I483 - VLOOKUP(E483,Desserts!A:D,4,FALSE)) * F483</f>
        <v>20</v>
      </c>
    </row>
    <row r="484" spans="1:10" x14ac:dyDescent="0.3">
      <c r="A484" t="s">
        <v>1394</v>
      </c>
      <c r="B484" t="s">
        <v>988</v>
      </c>
      <c r="C484" t="s">
        <v>421</v>
      </c>
      <c r="D484" t="s">
        <v>57</v>
      </c>
      <c r="E484" t="s">
        <v>545</v>
      </c>
      <c r="F484">
        <v>4</v>
      </c>
      <c r="G484">
        <v>123</v>
      </c>
      <c r="H484" t="str">
        <f>IF(VLOOKUP(C484,Customers!A:E,5,FALSE)&gt;=1000,"YES","NO")</f>
        <v>YES</v>
      </c>
      <c r="I484">
        <f t="shared" si="7"/>
        <v>61.5</v>
      </c>
      <c r="J484">
        <f>(I484 - VLOOKUP(E484,Desserts!A:D,4,FALSE)) * F484</f>
        <v>66</v>
      </c>
    </row>
    <row r="485" spans="1:10" x14ac:dyDescent="0.3">
      <c r="A485" t="s">
        <v>1395</v>
      </c>
      <c r="B485" t="s">
        <v>904</v>
      </c>
      <c r="C485" t="s">
        <v>365</v>
      </c>
      <c r="D485" t="s">
        <v>193</v>
      </c>
      <c r="E485" t="s">
        <v>607</v>
      </c>
      <c r="F485">
        <v>5</v>
      </c>
      <c r="G485">
        <v>232</v>
      </c>
      <c r="H485" t="str">
        <f>IF(VLOOKUP(C485,Customers!A:E,5,FALSE)&gt;=1000,"YES","NO")</f>
        <v>NO</v>
      </c>
      <c r="I485">
        <f t="shared" si="7"/>
        <v>232</v>
      </c>
      <c r="J485">
        <f>(I485 - VLOOKUP(E485,Desserts!A:D,4,FALSE)) * F485</f>
        <v>810</v>
      </c>
    </row>
    <row r="486" spans="1:10" x14ac:dyDescent="0.3">
      <c r="A486" t="s">
        <v>1396</v>
      </c>
      <c r="B486" t="s">
        <v>852</v>
      </c>
      <c r="C486" t="s">
        <v>349</v>
      </c>
      <c r="D486" t="s">
        <v>37</v>
      </c>
      <c r="E486" t="s">
        <v>619</v>
      </c>
      <c r="F486">
        <v>2</v>
      </c>
      <c r="G486">
        <v>199</v>
      </c>
      <c r="H486" t="str">
        <f>IF(VLOOKUP(C486,Customers!A:E,5,FALSE)&gt;=1000,"YES","NO")</f>
        <v>NO</v>
      </c>
      <c r="I486">
        <f t="shared" si="7"/>
        <v>199</v>
      </c>
      <c r="J486">
        <f>(I486 - VLOOKUP(E486,Desserts!A:D,4,FALSE)) * F486</f>
        <v>236</v>
      </c>
    </row>
    <row r="487" spans="1:10" x14ac:dyDescent="0.3">
      <c r="A487" t="s">
        <v>1397</v>
      </c>
      <c r="B487" t="s">
        <v>1398</v>
      </c>
      <c r="C487" t="s">
        <v>481</v>
      </c>
      <c r="D487" t="s">
        <v>265</v>
      </c>
      <c r="E487" t="s">
        <v>565</v>
      </c>
      <c r="F487">
        <v>1</v>
      </c>
      <c r="G487">
        <v>172</v>
      </c>
      <c r="H487" t="str">
        <f>IF(VLOOKUP(C487,Customers!A:E,5,FALSE)&gt;=1000,"YES","NO")</f>
        <v>YES</v>
      </c>
      <c r="I487">
        <f t="shared" si="7"/>
        <v>86</v>
      </c>
      <c r="J487">
        <f>(I487 - VLOOKUP(E487,Desserts!A:D,4,FALSE)) * F487</f>
        <v>45</v>
      </c>
    </row>
    <row r="488" spans="1:10" x14ac:dyDescent="0.3">
      <c r="A488" t="s">
        <v>1399</v>
      </c>
      <c r="B488" t="s">
        <v>667</v>
      </c>
      <c r="C488" t="s">
        <v>347</v>
      </c>
      <c r="D488" t="s">
        <v>250</v>
      </c>
      <c r="E488" t="s">
        <v>523</v>
      </c>
      <c r="F488">
        <v>3</v>
      </c>
      <c r="G488">
        <v>191</v>
      </c>
      <c r="H488" t="str">
        <f>IF(VLOOKUP(C488,Customers!A:E,5,FALSE)&gt;=1000,"YES","NO")</f>
        <v>YES</v>
      </c>
      <c r="I488">
        <f t="shared" si="7"/>
        <v>95.5</v>
      </c>
      <c r="J488">
        <f>(I488 - VLOOKUP(E488,Desserts!A:D,4,FALSE)) * F488</f>
        <v>82.5</v>
      </c>
    </row>
    <row r="489" spans="1:10" x14ac:dyDescent="0.3">
      <c r="A489" t="s">
        <v>1400</v>
      </c>
      <c r="B489" t="s">
        <v>962</v>
      </c>
      <c r="C489" t="s">
        <v>503</v>
      </c>
      <c r="D489" t="s">
        <v>63</v>
      </c>
      <c r="E489" t="s">
        <v>569</v>
      </c>
      <c r="F489">
        <v>1</v>
      </c>
      <c r="G489">
        <v>102</v>
      </c>
      <c r="H489" t="str">
        <f>IF(VLOOKUP(C489,Customers!A:E,5,FALSE)&gt;=1000,"YES","NO")</f>
        <v>NO</v>
      </c>
      <c r="I489">
        <f t="shared" si="7"/>
        <v>102</v>
      </c>
      <c r="J489">
        <f>(I489 - VLOOKUP(E489,Desserts!A:D,4,FALSE)) * F489</f>
        <v>25</v>
      </c>
    </row>
    <row r="490" spans="1:10" x14ac:dyDescent="0.3">
      <c r="A490" t="s">
        <v>1401</v>
      </c>
      <c r="B490" t="s">
        <v>719</v>
      </c>
      <c r="C490" t="s">
        <v>413</v>
      </c>
      <c r="D490" t="s">
        <v>301</v>
      </c>
      <c r="E490" t="s">
        <v>583</v>
      </c>
      <c r="F490">
        <v>4</v>
      </c>
      <c r="G490">
        <v>152</v>
      </c>
      <c r="H490" t="str">
        <f>IF(VLOOKUP(C490,Customers!A:E,5,FALSE)&gt;=1000,"YES","NO")</f>
        <v>YES</v>
      </c>
      <c r="I490">
        <f t="shared" si="7"/>
        <v>76</v>
      </c>
      <c r="J490">
        <f>(I490 - VLOOKUP(E490,Desserts!A:D,4,FALSE)) * F490</f>
        <v>-28</v>
      </c>
    </row>
    <row r="491" spans="1:10" x14ac:dyDescent="0.3">
      <c r="A491" t="s">
        <v>1402</v>
      </c>
      <c r="B491" t="s">
        <v>1403</v>
      </c>
      <c r="C491" t="s">
        <v>389</v>
      </c>
      <c r="D491" t="s">
        <v>100</v>
      </c>
      <c r="E491" t="s">
        <v>587</v>
      </c>
      <c r="F491">
        <v>1</v>
      </c>
      <c r="G491">
        <v>145</v>
      </c>
      <c r="H491" t="str">
        <f>IF(VLOOKUP(C491,Customers!A:E,5,FALSE)&gt;=1000,"YES","NO")</f>
        <v>YES</v>
      </c>
      <c r="I491">
        <f t="shared" si="7"/>
        <v>72.5</v>
      </c>
      <c r="J491">
        <f>(I491 - VLOOKUP(E491,Desserts!A:D,4,FALSE)) * F491</f>
        <v>0.5</v>
      </c>
    </row>
    <row r="492" spans="1:10" x14ac:dyDescent="0.3">
      <c r="A492" t="s">
        <v>1404</v>
      </c>
      <c r="B492" t="s">
        <v>1405</v>
      </c>
      <c r="C492" t="s">
        <v>383</v>
      </c>
      <c r="D492" t="s">
        <v>172</v>
      </c>
      <c r="E492" t="s">
        <v>567</v>
      </c>
      <c r="F492">
        <v>5</v>
      </c>
      <c r="G492">
        <v>135</v>
      </c>
      <c r="H492" t="str">
        <f>IF(VLOOKUP(C492,Customers!A:E,5,FALSE)&gt;=1000,"YES","NO")</f>
        <v>NO</v>
      </c>
      <c r="I492">
        <f t="shared" si="7"/>
        <v>135</v>
      </c>
      <c r="J492">
        <f>(I492 - VLOOKUP(E492,Desserts!A:D,4,FALSE)) * F492</f>
        <v>395</v>
      </c>
    </row>
    <row r="493" spans="1:10" x14ac:dyDescent="0.3">
      <c r="A493" t="s">
        <v>1406</v>
      </c>
      <c r="B493" t="s">
        <v>1407</v>
      </c>
      <c r="C493" t="s">
        <v>453</v>
      </c>
      <c r="D493" t="s">
        <v>304</v>
      </c>
      <c r="E493" t="s">
        <v>549</v>
      </c>
      <c r="F493">
        <v>1</v>
      </c>
      <c r="G493">
        <v>135</v>
      </c>
      <c r="H493" t="str">
        <f>IF(VLOOKUP(C493,Customers!A:E,5,FALSE)&gt;=1000,"YES","NO")</f>
        <v>YES</v>
      </c>
      <c r="I493">
        <f t="shared" si="7"/>
        <v>67.5</v>
      </c>
      <c r="J493">
        <f>(I493 - VLOOKUP(E493,Desserts!A:D,4,FALSE)) * F493</f>
        <v>-11.5</v>
      </c>
    </row>
    <row r="494" spans="1:10" x14ac:dyDescent="0.3">
      <c r="A494" t="s">
        <v>1408</v>
      </c>
      <c r="B494" t="s">
        <v>781</v>
      </c>
      <c r="C494" t="s">
        <v>341</v>
      </c>
      <c r="D494" t="s">
        <v>226</v>
      </c>
      <c r="E494" t="s">
        <v>523</v>
      </c>
      <c r="F494">
        <v>3</v>
      </c>
      <c r="G494">
        <v>158</v>
      </c>
      <c r="H494" t="str">
        <f>IF(VLOOKUP(C494,Customers!A:E,5,FALSE)&gt;=1000,"YES","NO")</f>
        <v>YES</v>
      </c>
      <c r="I494">
        <f t="shared" si="7"/>
        <v>79</v>
      </c>
      <c r="J494">
        <f>(I494 - VLOOKUP(E494,Desserts!A:D,4,FALSE)) * F494</f>
        <v>33</v>
      </c>
    </row>
    <row r="495" spans="1:10" x14ac:dyDescent="0.3">
      <c r="A495" t="s">
        <v>1409</v>
      </c>
      <c r="B495" t="s">
        <v>888</v>
      </c>
      <c r="C495" t="s">
        <v>463</v>
      </c>
      <c r="D495" t="s">
        <v>289</v>
      </c>
      <c r="E495" t="s">
        <v>565</v>
      </c>
      <c r="F495">
        <v>3</v>
      </c>
      <c r="G495">
        <v>104</v>
      </c>
      <c r="H495" t="str">
        <f>IF(VLOOKUP(C495,Customers!A:E,5,FALSE)&gt;=1000,"YES","NO")</f>
        <v>NO</v>
      </c>
      <c r="I495">
        <f t="shared" si="7"/>
        <v>104</v>
      </c>
      <c r="J495">
        <f>(I495 - VLOOKUP(E495,Desserts!A:D,4,FALSE)) * F495</f>
        <v>189</v>
      </c>
    </row>
    <row r="496" spans="1:10" x14ac:dyDescent="0.3">
      <c r="A496" t="s">
        <v>1410</v>
      </c>
      <c r="B496" t="s">
        <v>1411</v>
      </c>
      <c r="C496" t="s">
        <v>379</v>
      </c>
      <c r="D496" t="s">
        <v>181</v>
      </c>
      <c r="E496" t="s">
        <v>617</v>
      </c>
      <c r="F496">
        <v>1</v>
      </c>
      <c r="G496">
        <v>130</v>
      </c>
      <c r="H496" t="str">
        <f>IF(VLOOKUP(C496,Customers!A:E,5,FALSE)&gt;=1000,"YES","NO")</f>
        <v>NO</v>
      </c>
      <c r="I496">
        <f t="shared" si="7"/>
        <v>130</v>
      </c>
      <c r="J496">
        <f>(I496 - VLOOKUP(E496,Desserts!A:D,4,FALSE)) * F496</f>
        <v>89</v>
      </c>
    </row>
    <row r="497" spans="1:10" x14ac:dyDescent="0.3">
      <c r="A497" t="s">
        <v>1412</v>
      </c>
      <c r="B497" t="s">
        <v>1413</v>
      </c>
      <c r="C497" t="s">
        <v>477</v>
      </c>
      <c r="D497" t="s">
        <v>304</v>
      </c>
      <c r="E497" t="s">
        <v>539</v>
      </c>
      <c r="F497">
        <v>3</v>
      </c>
      <c r="G497">
        <v>155</v>
      </c>
      <c r="H497" t="str">
        <f>IF(VLOOKUP(C497,Customers!A:E,5,FALSE)&gt;=1000,"YES","NO")</f>
        <v>YES</v>
      </c>
      <c r="I497">
        <f t="shared" si="7"/>
        <v>77.5</v>
      </c>
      <c r="J497">
        <f>(I497 - VLOOKUP(E497,Desserts!A:D,4,FALSE)) * F497</f>
        <v>46.5</v>
      </c>
    </row>
    <row r="498" spans="1:10" x14ac:dyDescent="0.3">
      <c r="A498" t="s">
        <v>1414</v>
      </c>
      <c r="B498" t="s">
        <v>904</v>
      </c>
      <c r="C498" t="s">
        <v>505</v>
      </c>
      <c r="D498" t="s">
        <v>172</v>
      </c>
      <c r="E498" t="s">
        <v>613</v>
      </c>
      <c r="F498">
        <v>4</v>
      </c>
      <c r="G498">
        <v>114</v>
      </c>
      <c r="H498" t="str">
        <f>IF(VLOOKUP(C498,Customers!A:E,5,FALSE)&gt;=1000,"YES","NO")</f>
        <v>YES</v>
      </c>
      <c r="I498">
        <f t="shared" si="7"/>
        <v>57</v>
      </c>
      <c r="J498">
        <f>(I498 - VLOOKUP(E498,Desserts!A:D,4,FALSE)) * F498</f>
        <v>-112</v>
      </c>
    </row>
    <row r="499" spans="1:10" x14ac:dyDescent="0.3">
      <c r="A499" t="s">
        <v>1415</v>
      </c>
      <c r="B499" t="s">
        <v>1134</v>
      </c>
      <c r="C499" t="s">
        <v>481</v>
      </c>
      <c r="D499" t="s">
        <v>292</v>
      </c>
      <c r="E499" t="s">
        <v>609</v>
      </c>
      <c r="F499">
        <v>3</v>
      </c>
      <c r="G499">
        <v>122</v>
      </c>
      <c r="H499" t="str">
        <f>IF(VLOOKUP(C499,Customers!A:E,5,FALSE)&gt;=1000,"YES","NO")</f>
        <v>YES</v>
      </c>
      <c r="I499">
        <f t="shared" si="7"/>
        <v>61</v>
      </c>
      <c r="J499">
        <f>(I499 - VLOOKUP(E499,Desserts!A:D,4,FALSE)) * F499</f>
        <v>-9</v>
      </c>
    </row>
    <row r="500" spans="1:10" x14ac:dyDescent="0.3">
      <c r="A500" t="s">
        <v>1416</v>
      </c>
      <c r="B500" t="s">
        <v>1417</v>
      </c>
      <c r="C500" t="s">
        <v>331</v>
      </c>
      <c r="D500" t="s">
        <v>166</v>
      </c>
      <c r="E500" t="s">
        <v>585</v>
      </c>
      <c r="F500">
        <v>2</v>
      </c>
      <c r="G500">
        <v>236</v>
      </c>
      <c r="H500" t="str">
        <f>IF(VLOOKUP(C500,Customers!A:E,5,FALSE)&gt;=1000,"YES","NO")</f>
        <v>YES</v>
      </c>
      <c r="I500">
        <f t="shared" si="7"/>
        <v>118</v>
      </c>
      <c r="J500">
        <f>(I500 - VLOOKUP(E500,Desserts!A:D,4,FALSE)) * F500</f>
        <v>142</v>
      </c>
    </row>
    <row r="501" spans="1:10" x14ac:dyDescent="0.3">
      <c r="A501" t="s">
        <v>1418</v>
      </c>
      <c r="B501" t="s">
        <v>1419</v>
      </c>
      <c r="C501" t="s">
        <v>385</v>
      </c>
      <c r="D501" t="s">
        <v>298</v>
      </c>
      <c r="E501" t="s">
        <v>525</v>
      </c>
      <c r="F501">
        <v>2</v>
      </c>
      <c r="G501">
        <v>159</v>
      </c>
      <c r="H501" t="str">
        <f>IF(VLOOKUP(C501,Customers!A:E,5,FALSE)&gt;=1000,"YES","NO")</f>
        <v>YES</v>
      </c>
      <c r="I501">
        <f t="shared" si="7"/>
        <v>79.5</v>
      </c>
      <c r="J501">
        <f>(I501 - VLOOKUP(E501,Desserts!A:D,4,FALSE)) * F501</f>
        <v>-9</v>
      </c>
    </row>
  </sheetData>
  <mergeCells count="1">
    <mergeCell ref="L2:O2"/>
  </mergeCells>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A1C31-8900-4341-BAB3-B54161A6E643}">
  <dimension ref="A1:O501"/>
  <sheetViews>
    <sheetView tabSelected="1" topLeftCell="A12" workbookViewId="0">
      <selection activeCell="N35" sqref="N35:O35"/>
      <pivotSelection pane="bottomRight" showHeader="1" extendable="1" axis="axisRow" dimension="2" start="29" min="28" max="54" activeRow="33" activeCol="13" previousRow="33" previousCol="13" click="1" r:id="rId1">
        <pivotArea dataOnly="0" axis="axisRow" fieldPosition="0">
          <references count="2">
            <reference field="2" count="1">
              <x v="268"/>
            </reference>
            <reference field="11" count="1" selected="0">
              <x v="1"/>
            </reference>
          </references>
        </pivotArea>
      </pivotSelection>
    </sheetView>
  </sheetViews>
  <sheetFormatPr defaultRowHeight="14.4" x14ac:dyDescent="0.3"/>
  <cols>
    <col min="2" max="2" width="10.33203125" bestFit="1" customWidth="1"/>
    <col min="3" max="3" width="10.33203125" customWidth="1"/>
    <col min="14" max="14" width="18.44140625" bestFit="1" customWidth="1"/>
    <col min="15" max="15" width="12.109375" bestFit="1" customWidth="1"/>
  </cols>
  <sheetData>
    <row r="1" spans="1:15" x14ac:dyDescent="0.3">
      <c r="A1" s="1" t="s">
        <v>621</v>
      </c>
      <c r="B1" s="1" t="s">
        <v>622</v>
      </c>
      <c r="C1" s="1" t="s">
        <v>1431</v>
      </c>
      <c r="D1" s="1" t="s">
        <v>313</v>
      </c>
      <c r="E1" s="1" t="s">
        <v>0</v>
      </c>
      <c r="F1" s="1" t="s">
        <v>517</v>
      </c>
      <c r="G1" s="1" t="s">
        <v>623</v>
      </c>
      <c r="H1" s="1" t="s">
        <v>624</v>
      </c>
      <c r="I1" s="1" t="s">
        <v>1421</v>
      </c>
      <c r="J1" s="1" t="s">
        <v>1422</v>
      </c>
      <c r="K1" s="1" t="s">
        <v>1423</v>
      </c>
    </row>
    <row r="2" spans="1:15" ht="21" x14ac:dyDescent="0.4">
      <c r="A2" t="s">
        <v>625</v>
      </c>
      <c r="B2" s="8">
        <v>45987</v>
      </c>
      <c r="C2" s="8">
        <f t="shared" ref="C2:C65" si="0">--B2</f>
        <v>45987</v>
      </c>
      <c r="D2" t="s">
        <v>347</v>
      </c>
      <c r="E2" t="s">
        <v>13</v>
      </c>
      <c r="F2" t="s">
        <v>607</v>
      </c>
      <c r="G2">
        <v>3</v>
      </c>
      <c r="H2">
        <v>173</v>
      </c>
      <c r="I2" t="str">
        <f>IF(VLOOKUP(D2,Customers!A:E,5,FALSE)&gt;=1000,"YES","NO")</f>
        <v>YES</v>
      </c>
      <c r="J2">
        <f t="shared" ref="J2:J65" si="1">IF(I2="YES",H2*0.5,H2)</f>
        <v>86.5</v>
      </c>
      <c r="K2">
        <f>(J2 - VLOOKUP(F2,Desserts!A:D,4,FALSE)) * G2</f>
        <v>49.5</v>
      </c>
      <c r="N2" s="7" t="s">
        <v>1441</v>
      </c>
      <c r="O2" s="7"/>
    </row>
    <row r="3" spans="1:15" x14ac:dyDescent="0.3">
      <c r="A3" t="s">
        <v>627</v>
      </c>
      <c r="B3" s="8">
        <v>45844</v>
      </c>
      <c r="C3" s="8">
        <f t="shared" si="0"/>
        <v>45844</v>
      </c>
      <c r="D3" t="s">
        <v>453</v>
      </c>
      <c r="E3" t="s">
        <v>301</v>
      </c>
      <c r="F3" t="s">
        <v>521</v>
      </c>
      <c r="G3">
        <v>4</v>
      </c>
      <c r="H3">
        <v>135</v>
      </c>
      <c r="I3" t="str">
        <f>IF(VLOOKUP(D3,Customers!A:E,5,FALSE)&gt;=1000,"YES","NO")</f>
        <v>YES</v>
      </c>
      <c r="J3">
        <f t="shared" si="1"/>
        <v>67.5</v>
      </c>
      <c r="K3">
        <f>(J3 - VLOOKUP(F3,Desserts!A:D,4,FALSE)) * G3</f>
        <v>14</v>
      </c>
    </row>
    <row r="4" spans="1:15" x14ac:dyDescent="0.3">
      <c r="A4" t="s">
        <v>629</v>
      </c>
      <c r="B4" s="8">
        <v>45846</v>
      </c>
      <c r="C4" s="8">
        <f t="shared" si="0"/>
        <v>45846</v>
      </c>
      <c r="D4" t="s">
        <v>473</v>
      </c>
      <c r="E4" t="s">
        <v>190</v>
      </c>
      <c r="F4" t="s">
        <v>549</v>
      </c>
      <c r="G4">
        <v>1</v>
      </c>
      <c r="H4">
        <v>142</v>
      </c>
      <c r="I4" t="str">
        <f>IF(VLOOKUP(D4,Customers!A:E,5,FALSE)&gt;=1000,"YES","NO")</f>
        <v>NO</v>
      </c>
      <c r="J4">
        <f t="shared" si="1"/>
        <v>142</v>
      </c>
      <c r="K4">
        <f>(J4 - VLOOKUP(F4,Desserts!A:D,4,FALSE)) * G4</f>
        <v>63</v>
      </c>
      <c r="N4" s="2" t="s">
        <v>1424</v>
      </c>
      <c r="O4" t="s">
        <v>1426</v>
      </c>
    </row>
    <row r="5" spans="1:15" x14ac:dyDescent="0.3">
      <c r="A5" t="s">
        <v>631</v>
      </c>
      <c r="B5" s="8">
        <v>45837</v>
      </c>
      <c r="C5" s="8">
        <f t="shared" si="0"/>
        <v>45837</v>
      </c>
      <c r="D5" t="s">
        <v>509</v>
      </c>
      <c r="E5" t="s">
        <v>232</v>
      </c>
      <c r="F5" t="s">
        <v>603</v>
      </c>
      <c r="G5">
        <v>4</v>
      </c>
      <c r="H5">
        <v>188</v>
      </c>
      <c r="I5" t="str">
        <f>IF(VLOOKUP(D5,Customers!A:E,5,FALSE)&gt;=1000,"YES","NO")</f>
        <v>NO</v>
      </c>
      <c r="J5">
        <f t="shared" si="1"/>
        <v>188</v>
      </c>
      <c r="K5">
        <f>(J5 - VLOOKUP(F5,Desserts!A:D,4,FALSE)) * G5</f>
        <v>396</v>
      </c>
      <c r="N5" s="3" t="s">
        <v>1432</v>
      </c>
      <c r="O5" s="4">
        <v>90430</v>
      </c>
    </row>
    <row r="6" spans="1:15" x14ac:dyDescent="0.3">
      <c r="A6" t="s">
        <v>633</v>
      </c>
      <c r="B6" s="8">
        <v>45754</v>
      </c>
      <c r="C6" s="8">
        <f t="shared" si="0"/>
        <v>45754</v>
      </c>
      <c r="D6" t="s">
        <v>357</v>
      </c>
      <c r="E6" t="s">
        <v>79</v>
      </c>
      <c r="F6" t="s">
        <v>581</v>
      </c>
      <c r="G6">
        <v>4</v>
      </c>
      <c r="H6">
        <v>161</v>
      </c>
      <c r="I6" t="str">
        <f>IF(VLOOKUP(D6,Customers!A:E,5,FALSE)&gt;=1000,"YES","NO")</f>
        <v>NO</v>
      </c>
      <c r="J6">
        <f t="shared" si="1"/>
        <v>161</v>
      </c>
      <c r="K6">
        <f>(J6 - VLOOKUP(F6,Desserts!A:D,4,FALSE)) * G6</f>
        <v>288</v>
      </c>
      <c r="N6" s="5" t="s">
        <v>1434</v>
      </c>
      <c r="O6" s="4">
        <v>18962</v>
      </c>
    </row>
    <row r="7" spans="1:15" x14ac:dyDescent="0.3">
      <c r="A7" t="s">
        <v>635</v>
      </c>
      <c r="B7" s="8">
        <v>45901</v>
      </c>
      <c r="C7" s="8">
        <f t="shared" si="0"/>
        <v>45901</v>
      </c>
      <c r="D7" t="s">
        <v>439</v>
      </c>
      <c r="E7" t="s">
        <v>69</v>
      </c>
      <c r="F7" t="s">
        <v>587</v>
      </c>
      <c r="G7">
        <v>2</v>
      </c>
      <c r="H7">
        <v>158</v>
      </c>
      <c r="I7" t="str">
        <f>IF(VLOOKUP(D7,Customers!A:E,5,FALSE)&gt;=1000,"YES","NO")</f>
        <v>YES</v>
      </c>
      <c r="J7">
        <f t="shared" si="1"/>
        <v>79</v>
      </c>
      <c r="K7">
        <f>(J7 - VLOOKUP(F7,Desserts!A:D,4,FALSE)) * G7</f>
        <v>14</v>
      </c>
      <c r="N7" s="6" t="s">
        <v>1438</v>
      </c>
      <c r="O7" s="4">
        <v>4993</v>
      </c>
    </row>
    <row r="8" spans="1:15" x14ac:dyDescent="0.3">
      <c r="A8" t="s">
        <v>637</v>
      </c>
      <c r="B8" s="8">
        <v>45733</v>
      </c>
      <c r="C8" s="8">
        <f t="shared" si="0"/>
        <v>45733</v>
      </c>
      <c r="D8" t="s">
        <v>463</v>
      </c>
      <c r="E8" t="s">
        <v>226</v>
      </c>
      <c r="F8" t="s">
        <v>537</v>
      </c>
      <c r="G8">
        <v>5</v>
      </c>
      <c r="H8">
        <v>160</v>
      </c>
      <c r="I8" t="str">
        <f>IF(VLOOKUP(D8,Customers!A:E,5,FALSE)&gt;=1000,"YES","NO")</f>
        <v>NO</v>
      </c>
      <c r="J8">
        <f t="shared" si="1"/>
        <v>160</v>
      </c>
      <c r="K8">
        <f>(J8 - VLOOKUP(F8,Desserts!A:D,4,FALSE)) * G8</f>
        <v>380</v>
      </c>
      <c r="N8" s="9">
        <v>45658</v>
      </c>
      <c r="O8" s="4">
        <v>0</v>
      </c>
    </row>
    <row r="9" spans="1:15" x14ac:dyDescent="0.3">
      <c r="A9" t="s">
        <v>639</v>
      </c>
      <c r="B9" s="8">
        <v>45699</v>
      </c>
      <c r="C9" s="8">
        <f t="shared" si="0"/>
        <v>45699</v>
      </c>
      <c r="D9" t="s">
        <v>403</v>
      </c>
      <c r="E9" t="s">
        <v>295</v>
      </c>
      <c r="F9" t="s">
        <v>565</v>
      </c>
      <c r="G9">
        <v>4</v>
      </c>
      <c r="H9">
        <v>179</v>
      </c>
      <c r="I9" t="str">
        <f>IF(VLOOKUP(D9,Customers!A:E,5,FALSE)&gt;=1000,"YES","NO")</f>
        <v>NO</v>
      </c>
      <c r="J9">
        <f t="shared" si="1"/>
        <v>179</v>
      </c>
      <c r="K9">
        <f>(J9 - VLOOKUP(F9,Desserts!A:D,4,FALSE)) * G9</f>
        <v>552</v>
      </c>
      <c r="N9" s="9">
        <v>45659</v>
      </c>
      <c r="O9" s="4">
        <v>39</v>
      </c>
    </row>
    <row r="10" spans="1:15" x14ac:dyDescent="0.3">
      <c r="A10" t="s">
        <v>641</v>
      </c>
      <c r="B10" s="8">
        <v>45723</v>
      </c>
      <c r="C10" s="8">
        <f t="shared" si="0"/>
        <v>45723</v>
      </c>
      <c r="D10" t="s">
        <v>515</v>
      </c>
      <c r="E10" t="s">
        <v>172</v>
      </c>
      <c r="F10" t="s">
        <v>539</v>
      </c>
      <c r="G10">
        <v>4</v>
      </c>
      <c r="H10">
        <v>139</v>
      </c>
      <c r="I10" t="str">
        <f>IF(VLOOKUP(D10,Customers!A:E,5,FALSE)&gt;=1000,"YES","NO")</f>
        <v>YES</v>
      </c>
      <c r="J10">
        <f t="shared" si="1"/>
        <v>69.5</v>
      </c>
      <c r="K10">
        <f>(J10 - VLOOKUP(F10,Desserts!A:D,4,FALSE)) * G10</f>
        <v>30</v>
      </c>
      <c r="N10" s="9">
        <v>45660</v>
      </c>
      <c r="O10" s="4">
        <v>-11</v>
      </c>
    </row>
    <row r="11" spans="1:15" x14ac:dyDescent="0.3">
      <c r="A11" t="s">
        <v>643</v>
      </c>
      <c r="B11" s="8">
        <v>45951</v>
      </c>
      <c r="C11" s="8">
        <f t="shared" si="0"/>
        <v>45951</v>
      </c>
      <c r="D11" t="s">
        <v>341</v>
      </c>
      <c r="E11" t="s">
        <v>157</v>
      </c>
      <c r="F11" t="s">
        <v>579</v>
      </c>
      <c r="G11">
        <v>5</v>
      </c>
      <c r="H11">
        <v>248</v>
      </c>
      <c r="I11" t="str">
        <f>IF(VLOOKUP(D11,Customers!A:E,5,FALSE)&gt;=1000,"YES","NO")</f>
        <v>YES</v>
      </c>
      <c r="J11">
        <f t="shared" si="1"/>
        <v>124</v>
      </c>
      <c r="K11">
        <f>(J11 - VLOOKUP(F11,Desserts!A:D,4,FALSE)) * G11</f>
        <v>310</v>
      </c>
      <c r="N11" s="9">
        <v>45661</v>
      </c>
      <c r="O11" s="4">
        <v>762</v>
      </c>
    </row>
    <row r="12" spans="1:15" x14ac:dyDescent="0.3">
      <c r="A12" t="s">
        <v>645</v>
      </c>
      <c r="B12" s="8">
        <v>45927</v>
      </c>
      <c r="C12" s="8">
        <f t="shared" si="0"/>
        <v>45927</v>
      </c>
      <c r="D12" t="s">
        <v>417</v>
      </c>
      <c r="E12" t="s">
        <v>157</v>
      </c>
      <c r="F12" t="s">
        <v>617</v>
      </c>
      <c r="G12">
        <v>3</v>
      </c>
      <c r="H12">
        <v>178</v>
      </c>
      <c r="I12" t="str">
        <f>IF(VLOOKUP(D12,Customers!A:E,5,FALSE)&gt;=1000,"YES","NO")</f>
        <v>YES</v>
      </c>
      <c r="J12">
        <f t="shared" si="1"/>
        <v>89</v>
      </c>
      <c r="K12">
        <f>(J12 - VLOOKUP(F12,Desserts!A:D,4,FALSE)) * G12</f>
        <v>144</v>
      </c>
      <c r="N12" s="9">
        <v>45665</v>
      </c>
      <c r="O12" s="4">
        <v>626</v>
      </c>
    </row>
    <row r="13" spans="1:15" x14ac:dyDescent="0.3">
      <c r="A13" t="s">
        <v>647</v>
      </c>
      <c r="B13" s="8">
        <v>45927</v>
      </c>
      <c r="C13" s="8">
        <f t="shared" si="0"/>
        <v>45927</v>
      </c>
      <c r="D13" t="s">
        <v>383</v>
      </c>
      <c r="E13" t="s">
        <v>229</v>
      </c>
      <c r="F13" t="s">
        <v>527</v>
      </c>
      <c r="G13">
        <v>2</v>
      </c>
      <c r="H13">
        <v>240</v>
      </c>
      <c r="I13" t="str">
        <f>IF(VLOOKUP(D13,Customers!A:E,5,FALSE)&gt;=1000,"YES","NO")</f>
        <v>NO</v>
      </c>
      <c r="J13">
        <f t="shared" si="1"/>
        <v>240</v>
      </c>
      <c r="K13">
        <f>(J13 - VLOOKUP(F13,Desserts!A:D,4,FALSE)) * G13</f>
        <v>394</v>
      </c>
      <c r="N13" s="9">
        <v>45666</v>
      </c>
      <c r="O13" s="4">
        <v>472</v>
      </c>
    </row>
    <row r="14" spans="1:15" x14ac:dyDescent="0.3">
      <c r="A14" t="s">
        <v>648</v>
      </c>
      <c r="B14" s="8">
        <v>45789</v>
      </c>
      <c r="C14" s="8">
        <f t="shared" si="0"/>
        <v>45789</v>
      </c>
      <c r="D14" t="s">
        <v>499</v>
      </c>
      <c r="E14" t="s">
        <v>30</v>
      </c>
      <c r="F14" t="s">
        <v>613</v>
      </c>
      <c r="G14">
        <v>1</v>
      </c>
      <c r="H14">
        <v>121</v>
      </c>
      <c r="I14" t="str">
        <f>IF(VLOOKUP(D14,Customers!A:E,5,FALSE)&gt;=1000,"YES","NO")</f>
        <v>NO</v>
      </c>
      <c r="J14">
        <f t="shared" si="1"/>
        <v>121</v>
      </c>
      <c r="K14">
        <f>(J14 - VLOOKUP(F14,Desserts!A:D,4,FALSE)) * G14</f>
        <v>36</v>
      </c>
      <c r="N14" s="9">
        <v>45667</v>
      </c>
      <c r="O14" s="4">
        <v>228</v>
      </c>
    </row>
    <row r="15" spans="1:15" x14ac:dyDescent="0.3">
      <c r="A15" t="s">
        <v>650</v>
      </c>
      <c r="B15" s="8">
        <v>45872</v>
      </c>
      <c r="C15" s="8">
        <f t="shared" si="0"/>
        <v>45872</v>
      </c>
      <c r="D15" t="s">
        <v>317</v>
      </c>
      <c r="E15" t="s">
        <v>241</v>
      </c>
      <c r="F15" t="s">
        <v>577</v>
      </c>
      <c r="G15">
        <v>2</v>
      </c>
      <c r="H15">
        <v>233</v>
      </c>
      <c r="I15" t="str">
        <f>IF(VLOOKUP(D15,Customers!A:E,5,FALSE)&gt;=1000,"YES","NO")</f>
        <v>NO</v>
      </c>
      <c r="J15">
        <f t="shared" si="1"/>
        <v>233</v>
      </c>
      <c r="K15">
        <f>(J15 - VLOOKUP(F15,Desserts!A:D,4,FALSE)) * G15</f>
        <v>326</v>
      </c>
      <c r="N15" s="9">
        <v>45668</v>
      </c>
      <c r="O15" s="4">
        <v>185</v>
      </c>
    </row>
    <row r="16" spans="1:15" x14ac:dyDescent="0.3">
      <c r="A16" t="s">
        <v>652</v>
      </c>
      <c r="B16" s="8">
        <v>45797</v>
      </c>
      <c r="C16" s="8">
        <f t="shared" si="0"/>
        <v>45797</v>
      </c>
      <c r="D16" t="s">
        <v>441</v>
      </c>
      <c r="E16" t="s">
        <v>69</v>
      </c>
      <c r="F16" t="s">
        <v>613</v>
      </c>
      <c r="G16">
        <v>2</v>
      </c>
      <c r="H16">
        <v>228</v>
      </c>
      <c r="I16" t="str">
        <f>IF(VLOOKUP(D16,Customers!A:E,5,FALSE)&gt;=1000,"YES","NO")</f>
        <v>NO</v>
      </c>
      <c r="J16">
        <f t="shared" si="1"/>
        <v>228</v>
      </c>
      <c r="K16">
        <f>(J16 - VLOOKUP(F16,Desserts!A:D,4,FALSE)) * G16</f>
        <v>286</v>
      </c>
      <c r="N16" s="9">
        <v>45670</v>
      </c>
      <c r="O16" s="4">
        <v>784</v>
      </c>
    </row>
    <row r="17" spans="1:15" x14ac:dyDescent="0.3">
      <c r="A17" t="s">
        <v>654</v>
      </c>
      <c r="B17" s="8">
        <v>45919</v>
      </c>
      <c r="C17" s="8">
        <f t="shared" si="0"/>
        <v>45919</v>
      </c>
      <c r="D17" t="s">
        <v>437</v>
      </c>
      <c r="E17" t="s">
        <v>97</v>
      </c>
      <c r="F17" t="s">
        <v>597</v>
      </c>
      <c r="G17">
        <v>3</v>
      </c>
      <c r="H17">
        <v>202</v>
      </c>
      <c r="I17" t="str">
        <f>IF(VLOOKUP(D17,Customers!A:E,5,FALSE)&gt;=1000,"YES","NO")</f>
        <v>NO</v>
      </c>
      <c r="J17">
        <f t="shared" si="1"/>
        <v>202</v>
      </c>
      <c r="K17">
        <f>(J17 - VLOOKUP(F17,Desserts!A:D,4,FALSE)) * G17</f>
        <v>471</v>
      </c>
      <c r="N17" s="9">
        <v>45671</v>
      </c>
      <c r="O17" s="4">
        <v>82</v>
      </c>
    </row>
    <row r="18" spans="1:15" x14ac:dyDescent="0.3">
      <c r="A18" t="s">
        <v>656</v>
      </c>
      <c r="B18" s="8">
        <v>45667</v>
      </c>
      <c r="C18" s="8">
        <f t="shared" si="0"/>
        <v>45667</v>
      </c>
      <c r="D18" t="s">
        <v>503</v>
      </c>
      <c r="E18" t="s">
        <v>69</v>
      </c>
      <c r="F18" t="s">
        <v>555</v>
      </c>
      <c r="G18">
        <v>4</v>
      </c>
      <c r="H18">
        <v>132</v>
      </c>
      <c r="I18" t="str">
        <f>IF(VLOOKUP(D18,Customers!A:E,5,FALSE)&gt;=1000,"YES","NO")</f>
        <v>NO</v>
      </c>
      <c r="J18">
        <f t="shared" si="1"/>
        <v>132</v>
      </c>
      <c r="K18">
        <f>(J18 - VLOOKUP(F18,Desserts!A:D,4,FALSE)) * G18</f>
        <v>228</v>
      </c>
      <c r="N18" s="9">
        <v>45673</v>
      </c>
      <c r="O18" s="4">
        <v>79</v>
      </c>
    </row>
    <row r="19" spans="1:15" x14ac:dyDescent="0.3">
      <c r="A19" t="s">
        <v>658</v>
      </c>
      <c r="B19" s="8">
        <v>45832</v>
      </c>
      <c r="C19" s="8">
        <f t="shared" si="0"/>
        <v>45832</v>
      </c>
      <c r="D19" t="s">
        <v>473</v>
      </c>
      <c r="E19" t="s">
        <v>100</v>
      </c>
      <c r="F19" t="s">
        <v>603</v>
      </c>
      <c r="G19">
        <v>5</v>
      </c>
      <c r="H19">
        <v>226</v>
      </c>
      <c r="I19" t="str">
        <f>IF(VLOOKUP(D19,Customers!A:E,5,FALSE)&gt;=1000,"YES","NO")</f>
        <v>NO</v>
      </c>
      <c r="J19">
        <f t="shared" si="1"/>
        <v>226</v>
      </c>
      <c r="K19">
        <f>(J19 - VLOOKUP(F19,Desserts!A:D,4,FALSE)) * G19</f>
        <v>685</v>
      </c>
      <c r="N19" s="9">
        <v>45674</v>
      </c>
      <c r="O19" s="4">
        <v>568</v>
      </c>
    </row>
    <row r="20" spans="1:15" x14ac:dyDescent="0.3">
      <c r="A20" t="s">
        <v>660</v>
      </c>
      <c r="B20" s="8">
        <v>45862</v>
      </c>
      <c r="C20" s="8">
        <f t="shared" si="0"/>
        <v>45862</v>
      </c>
      <c r="D20" t="s">
        <v>349</v>
      </c>
      <c r="E20" t="s">
        <v>51</v>
      </c>
      <c r="F20" t="s">
        <v>581</v>
      </c>
      <c r="G20">
        <v>1</v>
      </c>
      <c r="H20">
        <v>225</v>
      </c>
      <c r="I20" t="str">
        <f>IF(VLOOKUP(D20,Customers!A:E,5,FALSE)&gt;=1000,"YES","NO")</f>
        <v>NO</v>
      </c>
      <c r="J20">
        <f t="shared" si="1"/>
        <v>225</v>
      </c>
      <c r="K20">
        <f>(J20 - VLOOKUP(F20,Desserts!A:D,4,FALSE)) * G20</f>
        <v>136</v>
      </c>
      <c r="N20" s="9">
        <v>45675</v>
      </c>
      <c r="O20" s="4">
        <v>263.5</v>
      </c>
    </row>
    <row r="21" spans="1:15" x14ac:dyDescent="0.3">
      <c r="A21" t="s">
        <v>662</v>
      </c>
      <c r="B21" s="8">
        <v>45889</v>
      </c>
      <c r="C21" s="8">
        <f t="shared" si="0"/>
        <v>45889</v>
      </c>
      <c r="D21" t="s">
        <v>399</v>
      </c>
      <c r="E21" t="s">
        <v>196</v>
      </c>
      <c r="F21" t="s">
        <v>525</v>
      </c>
      <c r="G21">
        <v>2</v>
      </c>
      <c r="H21">
        <v>221</v>
      </c>
      <c r="I21" t="str">
        <f>IF(VLOOKUP(D21,Customers!A:E,5,FALSE)&gt;=1000,"YES","NO")</f>
        <v>YES</v>
      </c>
      <c r="J21">
        <f t="shared" si="1"/>
        <v>110.5</v>
      </c>
      <c r="K21">
        <f>(J21 - VLOOKUP(F21,Desserts!A:D,4,FALSE)) * G21</f>
        <v>53</v>
      </c>
      <c r="N21" s="9">
        <v>45677</v>
      </c>
      <c r="O21" s="4">
        <v>21</v>
      </c>
    </row>
    <row r="22" spans="1:15" x14ac:dyDescent="0.3">
      <c r="A22" t="s">
        <v>664</v>
      </c>
      <c r="B22" s="8">
        <v>46006</v>
      </c>
      <c r="C22" s="8">
        <f t="shared" si="0"/>
        <v>46006</v>
      </c>
      <c r="D22" t="s">
        <v>433</v>
      </c>
      <c r="E22" t="s">
        <v>271</v>
      </c>
      <c r="F22" t="s">
        <v>589</v>
      </c>
      <c r="G22">
        <v>2</v>
      </c>
      <c r="H22">
        <v>147</v>
      </c>
      <c r="I22" t="str">
        <f>IF(VLOOKUP(D22,Customers!A:E,5,FALSE)&gt;=1000,"YES","NO")</f>
        <v>YES</v>
      </c>
      <c r="J22">
        <f t="shared" si="1"/>
        <v>73.5</v>
      </c>
      <c r="K22">
        <f>(J22 - VLOOKUP(F22,Desserts!A:D,4,FALSE)) * G22</f>
        <v>5</v>
      </c>
      <c r="N22" s="9">
        <v>45679</v>
      </c>
      <c r="O22" s="4">
        <v>248</v>
      </c>
    </row>
    <row r="23" spans="1:15" x14ac:dyDescent="0.3">
      <c r="A23" t="s">
        <v>666</v>
      </c>
      <c r="B23" s="8">
        <v>45756</v>
      </c>
      <c r="C23" s="8">
        <f t="shared" si="0"/>
        <v>45756</v>
      </c>
      <c r="D23" t="s">
        <v>443</v>
      </c>
      <c r="E23" t="s">
        <v>69</v>
      </c>
      <c r="F23" t="s">
        <v>569</v>
      </c>
      <c r="G23">
        <v>2</v>
      </c>
      <c r="H23">
        <v>213</v>
      </c>
      <c r="I23" t="str">
        <f>IF(VLOOKUP(D23,Customers!A:E,5,FALSE)&gt;=1000,"YES","NO")</f>
        <v>YES</v>
      </c>
      <c r="J23">
        <f t="shared" si="1"/>
        <v>106.5</v>
      </c>
      <c r="K23">
        <f>(J23 - VLOOKUP(F23,Desserts!A:D,4,FALSE)) * G23</f>
        <v>59</v>
      </c>
      <c r="N23" s="9">
        <v>45680</v>
      </c>
      <c r="O23" s="4">
        <v>-6.5</v>
      </c>
    </row>
    <row r="24" spans="1:15" x14ac:dyDescent="0.3">
      <c r="A24" t="s">
        <v>668</v>
      </c>
      <c r="B24" s="8">
        <v>45913</v>
      </c>
      <c r="C24" s="8">
        <f t="shared" si="0"/>
        <v>45913</v>
      </c>
      <c r="D24" t="s">
        <v>507</v>
      </c>
      <c r="E24" t="s">
        <v>54</v>
      </c>
      <c r="F24" t="s">
        <v>577</v>
      </c>
      <c r="G24">
        <v>3</v>
      </c>
      <c r="H24">
        <v>115</v>
      </c>
      <c r="I24" t="str">
        <f>IF(VLOOKUP(D24,Customers!A:E,5,FALSE)&gt;=1000,"YES","NO")</f>
        <v>NO</v>
      </c>
      <c r="J24">
        <f t="shared" si="1"/>
        <v>115</v>
      </c>
      <c r="K24">
        <f>(J24 - VLOOKUP(F24,Desserts!A:D,4,FALSE)) * G24</f>
        <v>135</v>
      </c>
      <c r="N24" s="9">
        <v>45683</v>
      </c>
      <c r="O24" s="4">
        <v>252</v>
      </c>
    </row>
    <row r="25" spans="1:15" x14ac:dyDescent="0.3">
      <c r="A25" t="s">
        <v>670</v>
      </c>
      <c r="B25" s="8">
        <v>46042</v>
      </c>
      <c r="C25" s="8">
        <f t="shared" si="0"/>
        <v>46042</v>
      </c>
      <c r="D25" t="s">
        <v>425</v>
      </c>
      <c r="E25" t="s">
        <v>97</v>
      </c>
      <c r="F25" t="s">
        <v>591</v>
      </c>
      <c r="G25">
        <v>4</v>
      </c>
      <c r="H25">
        <v>241</v>
      </c>
      <c r="I25" t="str">
        <f>IF(VLOOKUP(D25,Customers!A:E,5,FALSE)&gt;=1000,"YES","NO")</f>
        <v>NO</v>
      </c>
      <c r="J25">
        <f t="shared" si="1"/>
        <v>241</v>
      </c>
      <c r="K25">
        <f>(J25 - VLOOKUP(F25,Desserts!A:D,4,FALSE)) * G25</f>
        <v>716</v>
      </c>
      <c r="N25" s="9">
        <v>45685</v>
      </c>
      <c r="O25" s="4">
        <v>56</v>
      </c>
    </row>
    <row r="26" spans="1:15" x14ac:dyDescent="0.3">
      <c r="A26" t="s">
        <v>672</v>
      </c>
      <c r="B26" s="8">
        <v>45984</v>
      </c>
      <c r="C26" s="8">
        <f t="shared" si="0"/>
        <v>45984</v>
      </c>
      <c r="D26" t="s">
        <v>467</v>
      </c>
      <c r="E26" t="s">
        <v>20</v>
      </c>
      <c r="F26" t="s">
        <v>573</v>
      </c>
      <c r="G26">
        <v>2</v>
      </c>
      <c r="H26">
        <v>104</v>
      </c>
      <c r="I26" t="str">
        <f>IF(VLOOKUP(D26,Customers!A:E,5,FALSE)&gt;=1000,"YES","NO")</f>
        <v>YES</v>
      </c>
      <c r="J26">
        <f t="shared" si="1"/>
        <v>52</v>
      </c>
      <c r="K26">
        <f>(J26 - VLOOKUP(F26,Desserts!A:D,4,FALSE)) * G26</f>
        <v>4</v>
      </c>
      <c r="N26" s="9">
        <v>45686</v>
      </c>
      <c r="O26" s="4">
        <v>345</v>
      </c>
    </row>
    <row r="27" spans="1:15" x14ac:dyDescent="0.3">
      <c r="A27" t="s">
        <v>674</v>
      </c>
      <c r="B27" s="8">
        <v>45966</v>
      </c>
      <c r="C27" s="8">
        <f t="shared" si="0"/>
        <v>45966</v>
      </c>
      <c r="D27" t="s">
        <v>347</v>
      </c>
      <c r="E27" t="s">
        <v>235</v>
      </c>
      <c r="F27" t="s">
        <v>549</v>
      </c>
      <c r="G27">
        <v>5</v>
      </c>
      <c r="H27">
        <v>206</v>
      </c>
      <c r="I27" t="str">
        <f>IF(VLOOKUP(D27,Customers!A:E,5,FALSE)&gt;=1000,"YES","NO")</f>
        <v>YES</v>
      </c>
      <c r="J27">
        <f t="shared" si="1"/>
        <v>103</v>
      </c>
      <c r="K27">
        <f>(J27 - VLOOKUP(F27,Desserts!A:D,4,FALSE)) * G27</f>
        <v>120</v>
      </c>
      <c r="N27" s="6" t="s">
        <v>1439</v>
      </c>
      <c r="O27" s="4">
        <v>6458.5</v>
      </c>
    </row>
    <row r="28" spans="1:15" x14ac:dyDescent="0.3">
      <c r="A28" t="s">
        <v>676</v>
      </c>
      <c r="B28" s="8">
        <v>45788</v>
      </c>
      <c r="C28" s="8">
        <f t="shared" si="0"/>
        <v>45788</v>
      </c>
      <c r="D28" t="s">
        <v>481</v>
      </c>
      <c r="E28" t="s">
        <v>304</v>
      </c>
      <c r="F28" t="s">
        <v>551</v>
      </c>
      <c r="G28">
        <v>5</v>
      </c>
      <c r="H28">
        <v>176</v>
      </c>
      <c r="I28" t="str">
        <f>IF(VLOOKUP(D28,Customers!A:E,5,FALSE)&gt;=1000,"YES","NO")</f>
        <v>YES</v>
      </c>
      <c r="J28">
        <f t="shared" si="1"/>
        <v>88</v>
      </c>
      <c r="K28">
        <f>(J28 - VLOOKUP(F28,Desserts!A:D,4,FALSE)) * G28</f>
        <v>95</v>
      </c>
      <c r="N28" s="6" t="s">
        <v>1440</v>
      </c>
      <c r="O28" s="4">
        <v>7510.5</v>
      </c>
    </row>
    <row r="29" spans="1:15" x14ac:dyDescent="0.3">
      <c r="A29" t="s">
        <v>678</v>
      </c>
      <c r="B29" s="8">
        <v>45666</v>
      </c>
      <c r="C29" s="8">
        <f t="shared" si="0"/>
        <v>45666</v>
      </c>
      <c r="D29" t="s">
        <v>447</v>
      </c>
      <c r="E29" t="s">
        <v>136</v>
      </c>
      <c r="F29" t="s">
        <v>591</v>
      </c>
      <c r="G29">
        <v>2</v>
      </c>
      <c r="H29">
        <v>201</v>
      </c>
      <c r="I29" t="str">
        <f>IF(VLOOKUP(D29,Customers!A:E,5,FALSE)&gt;=1000,"YES","NO")</f>
        <v>YES</v>
      </c>
      <c r="J29">
        <f t="shared" si="1"/>
        <v>100.5</v>
      </c>
      <c r="K29">
        <f>(J29 - VLOOKUP(F29,Desserts!A:D,4,FALSE)) * G29</f>
        <v>77</v>
      </c>
      <c r="N29" s="5" t="s">
        <v>1435</v>
      </c>
      <c r="O29" s="4">
        <v>26059.5</v>
      </c>
    </row>
    <row r="30" spans="1:15" x14ac:dyDescent="0.3">
      <c r="A30" t="s">
        <v>680</v>
      </c>
      <c r="B30" s="8">
        <v>45675</v>
      </c>
      <c r="C30" s="8">
        <f t="shared" si="0"/>
        <v>45675</v>
      </c>
      <c r="D30" t="s">
        <v>377</v>
      </c>
      <c r="E30" t="s">
        <v>106</v>
      </c>
      <c r="F30" t="s">
        <v>617</v>
      </c>
      <c r="G30">
        <v>1</v>
      </c>
      <c r="H30">
        <v>222</v>
      </c>
      <c r="I30" t="str">
        <f>IF(VLOOKUP(D30,Customers!A:E,5,FALSE)&gt;=1000,"YES","NO")</f>
        <v>NO</v>
      </c>
      <c r="J30">
        <f t="shared" si="1"/>
        <v>222</v>
      </c>
      <c r="K30">
        <f>(J30 - VLOOKUP(F30,Desserts!A:D,4,FALSE)) * G30</f>
        <v>181</v>
      </c>
      <c r="N30" s="5" t="s">
        <v>1436</v>
      </c>
      <c r="O30" s="4">
        <v>22452</v>
      </c>
    </row>
    <row r="31" spans="1:15" x14ac:dyDescent="0.3">
      <c r="A31" t="s">
        <v>682</v>
      </c>
      <c r="B31" s="8">
        <v>45727</v>
      </c>
      <c r="C31" s="8">
        <f t="shared" si="0"/>
        <v>45727</v>
      </c>
      <c r="D31" t="s">
        <v>361</v>
      </c>
      <c r="E31" t="s">
        <v>106</v>
      </c>
      <c r="F31" t="s">
        <v>521</v>
      </c>
      <c r="G31">
        <v>4</v>
      </c>
      <c r="H31">
        <v>156</v>
      </c>
      <c r="I31" t="str">
        <f>IF(VLOOKUP(D31,Customers!A:E,5,FALSE)&gt;=1000,"YES","NO")</f>
        <v>NO</v>
      </c>
      <c r="J31">
        <f t="shared" si="1"/>
        <v>156</v>
      </c>
      <c r="K31">
        <f>(J31 - VLOOKUP(F31,Desserts!A:D,4,FALSE)) * G31</f>
        <v>368</v>
      </c>
      <c r="N31" s="5" t="s">
        <v>1437</v>
      </c>
      <c r="O31" s="4">
        <v>22956.5</v>
      </c>
    </row>
    <row r="32" spans="1:15" x14ac:dyDescent="0.3">
      <c r="A32" t="s">
        <v>684</v>
      </c>
      <c r="B32" s="8">
        <v>45880</v>
      </c>
      <c r="C32" s="8">
        <f t="shared" si="0"/>
        <v>45880</v>
      </c>
      <c r="D32" t="s">
        <v>375</v>
      </c>
      <c r="E32" t="s">
        <v>238</v>
      </c>
      <c r="F32" t="s">
        <v>533</v>
      </c>
      <c r="G32">
        <v>5</v>
      </c>
      <c r="H32">
        <v>175</v>
      </c>
      <c r="I32" t="str">
        <f>IF(VLOOKUP(D32,Customers!A:E,5,FALSE)&gt;=1000,"YES","NO")</f>
        <v>NO</v>
      </c>
      <c r="J32">
        <f t="shared" si="1"/>
        <v>175</v>
      </c>
      <c r="K32">
        <f>(J32 - VLOOKUP(F32,Desserts!A:D,4,FALSE)) * G32</f>
        <v>540</v>
      </c>
      <c r="N32" s="3" t="s">
        <v>1433</v>
      </c>
      <c r="O32" s="4">
        <v>9259.5</v>
      </c>
    </row>
    <row r="33" spans="1:15" x14ac:dyDescent="0.3">
      <c r="A33" t="s">
        <v>686</v>
      </c>
      <c r="B33" s="8">
        <v>45822</v>
      </c>
      <c r="C33" s="8">
        <f t="shared" si="0"/>
        <v>45822</v>
      </c>
      <c r="D33" t="s">
        <v>417</v>
      </c>
      <c r="E33" t="s">
        <v>169</v>
      </c>
      <c r="F33" t="s">
        <v>553</v>
      </c>
      <c r="G33">
        <v>2</v>
      </c>
      <c r="H33">
        <v>154</v>
      </c>
      <c r="I33" t="str">
        <f>IF(VLOOKUP(D33,Customers!A:E,5,FALSE)&gt;=1000,"YES","NO")</f>
        <v>YES</v>
      </c>
      <c r="J33">
        <f t="shared" si="1"/>
        <v>77</v>
      </c>
      <c r="K33">
        <f>(J33 - VLOOKUP(F33,Desserts!A:D,4,FALSE)) * G33</f>
        <v>34</v>
      </c>
      <c r="N33" s="5" t="s">
        <v>1434</v>
      </c>
      <c r="O33" s="4">
        <v>9259.5</v>
      </c>
    </row>
    <row r="34" spans="1:15" x14ac:dyDescent="0.3">
      <c r="A34" t="s">
        <v>688</v>
      </c>
      <c r="B34" s="8">
        <v>46053</v>
      </c>
      <c r="C34" s="8">
        <f t="shared" si="0"/>
        <v>46053</v>
      </c>
      <c r="D34" t="s">
        <v>347</v>
      </c>
      <c r="E34" t="s">
        <v>94</v>
      </c>
      <c r="F34" t="s">
        <v>549</v>
      </c>
      <c r="G34">
        <v>2</v>
      </c>
      <c r="H34">
        <v>183</v>
      </c>
      <c r="I34" t="str">
        <f>IF(VLOOKUP(D34,Customers!A:E,5,FALSE)&gt;=1000,"YES","NO")</f>
        <v>YES</v>
      </c>
      <c r="J34">
        <f t="shared" si="1"/>
        <v>91.5</v>
      </c>
      <c r="K34">
        <f>(J34 - VLOOKUP(F34,Desserts!A:D,4,FALSE)) * G34</f>
        <v>25</v>
      </c>
      <c r="N34" s="6" t="s">
        <v>1438</v>
      </c>
      <c r="O34" s="4">
        <v>7974.5</v>
      </c>
    </row>
    <row r="35" spans="1:15" x14ac:dyDescent="0.3">
      <c r="A35" t="s">
        <v>690</v>
      </c>
      <c r="B35" s="8">
        <v>45901</v>
      </c>
      <c r="C35" s="8">
        <f t="shared" si="0"/>
        <v>45901</v>
      </c>
      <c r="D35" t="s">
        <v>325</v>
      </c>
      <c r="E35" t="s">
        <v>289</v>
      </c>
      <c r="F35" t="s">
        <v>533</v>
      </c>
      <c r="G35">
        <v>3</v>
      </c>
      <c r="H35">
        <v>222</v>
      </c>
      <c r="I35" t="str">
        <f>IF(VLOOKUP(D35,Customers!A:E,5,FALSE)&gt;=1000,"YES","NO")</f>
        <v>NO</v>
      </c>
      <c r="J35">
        <f t="shared" si="1"/>
        <v>222</v>
      </c>
      <c r="K35">
        <f>(J35 - VLOOKUP(F35,Desserts!A:D,4,FALSE)) * G35</f>
        <v>465</v>
      </c>
      <c r="N35" s="9">
        <v>46023</v>
      </c>
      <c r="O35" s="4">
        <v>96</v>
      </c>
    </row>
    <row r="36" spans="1:15" x14ac:dyDescent="0.3">
      <c r="A36" t="s">
        <v>691</v>
      </c>
      <c r="B36" s="8">
        <v>46021</v>
      </c>
      <c r="C36" s="8">
        <f t="shared" si="0"/>
        <v>46021</v>
      </c>
      <c r="D36" t="s">
        <v>433</v>
      </c>
      <c r="E36" t="s">
        <v>265</v>
      </c>
      <c r="F36" t="s">
        <v>525</v>
      </c>
      <c r="G36">
        <v>1</v>
      </c>
      <c r="H36">
        <v>217</v>
      </c>
      <c r="I36" t="str">
        <f>IF(VLOOKUP(D36,Customers!A:E,5,FALSE)&gt;=1000,"YES","NO")</f>
        <v>YES</v>
      </c>
      <c r="J36">
        <f t="shared" si="1"/>
        <v>108.5</v>
      </c>
      <c r="K36">
        <f>(J36 - VLOOKUP(F36,Desserts!A:D,4,FALSE)) * G36</f>
        <v>24.5</v>
      </c>
      <c r="N36" s="9">
        <v>46024</v>
      </c>
      <c r="O36" s="4">
        <v>865</v>
      </c>
    </row>
    <row r="37" spans="1:15" x14ac:dyDescent="0.3">
      <c r="A37" t="s">
        <v>693</v>
      </c>
      <c r="B37" s="8">
        <v>45699</v>
      </c>
      <c r="C37" s="8">
        <f t="shared" si="0"/>
        <v>45699</v>
      </c>
      <c r="D37" t="s">
        <v>443</v>
      </c>
      <c r="E37" t="s">
        <v>238</v>
      </c>
      <c r="F37" t="s">
        <v>577</v>
      </c>
      <c r="G37">
        <v>5</v>
      </c>
      <c r="H37">
        <v>126</v>
      </c>
      <c r="I37" t="str">
        <f>IF(VLOOKUP(D37,Customers!A:E,5,FALSE)&gt;=1000,"YES","NO")</f>
        <v>YES</v>
      </c>
      <c r="J37">
        <f t="shared" si="1"/>
        <v>63</v>
      </c>
      <c r="K37">
        <f>(J37 - VLOOKUP(F37,Desserts!A:D,4,FALSE)) * G37</f>
        <v>-35</v>
      </c>
      <c r="N37" s="9">
        <v>46025</v>
      </c>
      <c r="O37" s="4">
        <v>-11.5</v>
      </c>
    </row>
    <row r="38" spans="1:15" x14ac:dyDescent="0.3">
      <c r="A38" t="s">
        <v>694</v>
      </c>
      <c r="B38" s="8">
        <v>45819</v>
      </c>
      <c r="C38" s="8">
        <f t="shared" si="0"/>
        <v>45819</v>
      </c>
      <c r="D38" t="s">
        <v>377</v>
      </c>
      <c r="E38" t="s">
        <v>166</v>
      </c>
      <c r="F38" t="s">
        <v>603</v>
      </c>
      <c r="G38">
        <v>5</v>
      </c>
      <c r="H38">
        <v>139</v>
      </c>
      <c r="I38" t="str">
        <f>IF(VLOOKUP(D38,Customers!A:E,5,FALSE)&gt;=1000,"YES","NO")</f>
        <v>NO</v>
      </c>
      <c r="J38">
        <f t="shared" si="1"/>
        <v>139</v>
      </c>
      <c r="K38">
        <f>(J38 - VLOOKUP(F38,Desserts!A:D,4,FALSE)) * G38</f>
        <v>250</v>
      </c>
      <c r="N38" s="9">
        <v>46028</v>
      </c>
      <c r="O38" s="4">
        <v>60</v>
      </c>
    </row>
    <row r="39" spans="1:15" x14ac:dyDescent="0.3">
      <c r="A39" t="s">
        <v>696</v>
      </c>
      <c r="B39" s="8">
        <v>45763</v>
      </c>
      <c r="C39" s="8">
        <f t="shared" si="0"/>
        <v>45763</v>
      </c>
      <c r="D39" t="s">
        <v>361</v>
      </c>
      <c r="E39" t="s">
        <v>148</v>
      </c>
      <c r="F39" t="s">
        <v>579</v>
      </c>
      <c r="G39">
        <v>1</v>
      </c>
      <c r="H39">
        <v>203</v>
      </c>
      <c r="I39" t="str">
        <f>IF(VLOOKUP(D39,Customers!A:E,5,FALSE)&gt;=1000,"YES","NO")</f>
        <v>NO</v>
      </c>
      <c r="J39">
        <f t="shared" si="1"/>
        <v>203</v>
      </c>
      <c r="K39">
        <f>(J39 - VLOOKUP(F39,Desserts!A:D,4,FALSE)) * G39</f>
        <v>141</v>
      </c>
      <c r="N39" s="9">
        <v>46029</v>
      </c>
      <c r="O39" s="4">
        <v>1040</v>
      </c>
    </row>
    <row r="40" spans="1:15" x14ac:dyDescent="0.3">
      <c r="A40" t="s">
        <v>698</v>
      </c>
      <c r="B40" s="8">
        <v>45748</v>
      </c>
      <c r="C40" s="8">
        <f t="shared" si="0"/>
        <v>45748</v>
      </c>
      <c r="D40" t="s">
        <v>385</v>
      </c>
      <c r="E40" t="s">
        <v>109</v>
      </c>
      <c r="F40" t="s">
        <v>527</v>
      </c>
      <c r="G40">
        <v>2</v>
      </c>
      <c r="H40">
        <v>174</v>
      </c>
      <c r="I40" t="str">
        <f>IF(VLOOKUP(D40,Customers!A:E,5,FALSE)&gt;=1000,"YES","NO")</f>
        <v>YES</v>
      </c>
      <c r="J40">
        <f t="shared" si="1"/>
        <v>87</v>
      </c>
      <c r="K40">
        <f>(J40 - VLOOKUP(F40,Desserts!A:D,4,FALSE)) * G40</f>
        <v>88</v>
      </c>
      <c r="N40" s="9">
        <v>46031</v>
      </c>
      <c r="O40" s="4">
        <v>606</v>
      </c>
    </row>
    <row r="41" spans="1:15" x14ac:dyDescent="0.3">
      <c r="A41" t="s">
        <v>700</v>
      </c>
      <c r="B41" s="8">
        <v>46014</v>
      </c>
      <c r="C41" s="8">
        <f t="shared" si="0"/>
        <v>46014</v>
      </c>
      <c r="D41" t="s">
        <v>381</v>
      </c>
      <c r="E41" t="s">
        <v>112</v>
      </c>
      <c r="F41" t="s">
        <v>583</v>
      </c>
      <c r="G41">
        <v>1</v>
      </c>
      <c r="H41">
        <v>219</v>
      </c>
      <c r="I41" t="str">
        <f>IF(VLOOKUP(D41,Customers!A:E,5,FALSE)&gt;=1000,"YES","NO")</f>
        <v>NO</v>
      </c>
      <c r="J41">
        <f t="shared" si="1"/>
        <v>219</v>
      </c>
      <c r="K41">
        <f>(J41 - VLOOKUP(F41,Desserts!A:D,4,FALSE)) * G41</f>
        <v>136</v>
      </c>
      <c r="N41" s="9">
        <v>46033</v>
      </c>
      <c r="O41" s="4">
        <v>338</v>
      </c>
    </row>
    <row r="42" spans="1:15" x14ac:dyDescent="0.3">
      <c r="A42" t="s">
        <v>702</v>
      </c>
      <c r="B42" s="8">
        <v>45782</v>
      </c>
      <c r="C42" s="8">
        <f t="shared" si="0"/>
        <v>45782</v>
      </c>
      <c r="D42" t="s">
        <v>383</v>
      </c>
      <c r="E42" t="s">
        <v>280</v>
      </c>
      <c r="F42" t="s">
        <v>583</v>
      </c>
      <c r="G42">
        <v>3</v>
      </c>
      <c r="H42">
        <v>243</v>
      </c>
      <c r="I42" t="str">
        <f>IF(VLOOKUP(D42,Customers!A:E,5,FALSE)&gt;=1000,"YES","NO")</f>
        <v>NO</v>
      </c>
      <c r="J42">
        <f t="shared" si="1"/>
        <v>243</v>
      </c>
      <c r="K42">
        <f>(J42 - VLOOKUP(F42,Desserts!A:D,4,FALSE)) * G42</f>
        <v>480</v>
      </c>
      <c r="N42" s="9">
        <v>46035</v>
      </c>
      <c r="O42" s="4">
        <v>279</v>
      </c>
    </row>
    <row r="43" spans="1:15" x14ac:dyDescent="0.3">
      <c r="A43" t="s">
        <v>704</v>
      </c>
      <c r="B43" s="8">
        <v>45894</v>
      </c>
      <c r="C43" s="8">
        <f t="shared" si="0"/>
        <v>45894</v>
      </c>
      <c r="D43" t="s">
        <v>367</v>
      </c>
      <c r="E43" t="s">
        <v>280</v>
      </c>
      <c r="F43" t="s">
        <v>523</v>
      </c>
      <c r="G43">
        <v>3</v>
      </c>
      <c r="H43">
        <v>234</v>
      </c>
      <c r="I43" t="str">
        <f>IF(VLOOKUP(D43,Customers!A:E,5,FALSE)&gt;=1000,"YES","NO")</f>
        <v>NO</v>
      </c>
      <c r="J43">
        <f t="shared" si="1"/>
        <v>234</v>
      </c>
      <c r="K43">
        <f>(J43 - VLOOKUP(F43,Desserts!A:D,4,FALSE)) * G43</f>
        <v>498</v>
      </c>
      <c r="N43" s="9">
        <v>46037</v>
      </c>
      <c r="O43" s="4">
        <v>65.5</v>
      </c>
    </row>
    <row r="44" spans="1:15" x14ac:dyDescent="0.3">
      <c r="A44" t="s">
        <v>706</v>
      </c>
      <c r="B44" s="8">
        <v>45723</v>
      </c>
      <c r="C44" s="8">
        <f t="shared" si="0"/>
        <v>45723</v>
      </c>
      <c r="D44" t="s">
        <v>375</v>
      </c>
      <c r="E44" t="s">
        <v>151</v>
      </c>
      <c r="F44" t="s">
        <v>567</v>
      </c>
      <c r="G44">
        <v>5</v>
      </c>
      <c r="H44">
        <v>115</v>
      </c>
      <c r="I44" t="str">
        <f>IF(VLOOKUP(D44,Customers!A:E,5,FALSE)&gt;=1000,"YES","NO")</f>
        <v>NO</v>
      </c>
      <c r="J44">
        <f t="shared" si="1"/>
        <v>115</v>
      </c>
      <c r="K44">
        <f>(J44 - VLOOKUP(F44,Desserts!A:D,4,FALSE)) * G44</f>
        <v>295</v>
      </c>
      <c r="N44" s="9">
        <v>46038</v>
      </c>
      <c r="O44" s="4">
        <v>315</v>
      </c>
    </row>
    <row r="45" spans="1:15" x14ac:dyDescent="0.3">
      <c r="A45" t="s">
        <v>707</v>
      </c>
      <c r="B45" s="8">
        <v>45715</v>
      </c>
      <c r="C45" s="8">
        <f t="shared" si="0"/>
        <v>45715</v>
      </c>
      <c r="D45" t="s">
        <v>457</v>
      </c>
      <c r="E45" t="s">
        <v>235</v>
      </c>
      <c r="F45" t="s">
        <v>563</v>
      </c>
      <c r="G45">
        <v>1</v>
      </c>
      <c r="H45">
        <v>124</v>
      </c>
      <c r="I45" t="str">
        <f>IF(VLOOKUP(D45,Customers!A:E,5,FALSE)&gt;=1000,"YES","NO")</f>
        <v>YES</v>
      </c>
      <c r="J45">
        <f t="shared" si="1"/>
        <v>62</v>
      </c>
      <c r="K45">
        <f>(J45 - VLOOKUP(F45,Desserts!A:D,4,FALSE)) * G45</f>
        <v>-3</v>
      </c>
      <c r="N45" s="9">
        <v>46039</v>
      </c>
      <c r="O45" s="4">
        <v>-38</v>
      </c>
    </row>
    <row r="46" spans="1:15" x14ac:dyDescent="0.3">
      <c r="A46" t="s">
        <v>709</v>
      </c>
      <c r="B46" s="8">
        <v>45694</v>
      </c>
      <c r="C46" s="8">
        <f t="shared" si="0"/>
        <v>45694</v>
      </c>
      <c r="D46" t="s">
        <v>439</v>
      </c>
      <c r="E46" t="s">
        <v>85</v>
      </c>
      <c r="F46" t="s">
        <v>577</v>
      </c>
      <c r="G46">
        <v>5</v>
      </c>
      <c r="H46">
        <v>211</v>
      </c>
      <c r="I46" t="str">
        <f>IF(VLOOKUP(D46,Customers!A:E,5,FALSE)&gt;=1000,"YES","NO")</f>
        <v>YES</v>
      </c>
      <c r="J46">
        <f t="shared" si="1"/>
        <v>105.5</v>
      </c>
      <c r="K46">
        <f>(J46 - VLOOKUP(F46,Desserts!A:D,4,FALSE)) * G46</f>
        <v>177.5</v>
      </c>
      <c r="N46" s="9">
        <v>46041</v>
      </c>
      <c r="O46" s="4">
        <v>-12</v>
      </c>
    </row>
    <row r="47" spans="1:15" x14ac:dyDescent="0.3">
      <c r="A47" t="s">
        <v>711</v>
      </c>
      <c r="B47" s="8">
        <v>45675</v>
      </c>
      <c r="C47" s="8">
        <f t="shared" si="0"/>
        <v>45675</v>
      </c>
      <c r="D47" t="s">
        <v>421</v>
      </c>
      <c r="E47" t="s">
        <v>265</v>
      </c>
      <c r="F47" t="s">
        <v>521</v>
      </c>
      <c r="G47">
        <v>5</v>
      </c>
      <c r="H47">
        <v>161</v>
      </c>
      <c r="I47" t="str">
        <f>IF(VLOOKUP(D47,Customers!A:E,5,FALSE)&gt;=1000,"YES","NO")</f>
        <v>YES</v>
      </c>
      <c r="J47">
        <f t="shared" si="1"/>
        <v>80.5</v>
      </c>
      <c r="K47">
        <f>(J47 - VLOOKUP(F47,Desserts!A:D,4,FALSE)) * G47</f>
        <v>82.5</v>
      </c>
      <c r="N47" s="9">
        <v>46042</v>
      </c>
      <c r="O47" s="4">
        <v>716</v>
      </c>
    </row>
    <row r="48" spans="1:15" x14ac:dyDescent="0.3">
      <c r="A48" t="s">
        <v>712</v>
      </c>
      <c r="B48" s="8">
        <v>45983</v>
      </c>
      <c r="C48" s="8">
        <f t="shared" si="0"/>
        <v>45983</v>
      </c>
      <c r="D48" t="s">
        <v>431</v>
      </c>
      <c r="E48" t="s">
        <v>292</v>
      </c>
      <c r="F48" t="s">
        <v>555</v>
      </c>
      <c r="G48">
        <v>5</v>
      </c>
      <c r="H48">
        <v>143</v>
      </c>
      <c r="I48" t="str">
        <f>IF(VLOOKUP(D48,Customers!A:E,5,FALSE)&gt;=1000,"YES","NO")</f>
        <v>YES</v>
      </c>
      <c r="J48">
        <f t="shared" si="1"/>
        <v>71.5</v>
      </c>
      <c r="K48">
        <f>(J48 - VLOOKUP(F48,Desserts!A:D,4,FALSE)) * G48</f>
        <v>-17.5</v>
      </c>
      <c r="N48" s="9">
        <v>46043</v>
      </c>
      <c r="O48" s="4">
        <v>11</v>
      </c>
    </row>
    <row r="49" spans="1:15" x14ac:dyDescent="0.3">
      <c r="A49" t="s">
        <v>714</v>
      </c>
      <c r="B49" s="8">
        <v>45864</v>
      </c>
      <c r="C49" s="8">
        <f t="shared" si="0"/>
        <v>45864</v>
      </c>
      <c r="D49" t="s">
        <v>469</v>
      </c>
      <c r="E49" t="s">
        <v>106</v>
      </c>
      <c r="F49" t="s">
        <v>599</v>
      </c>
      <c r="G49">
        <v>5</v>
      </c>
      <c r="H49">
        <v>165</v>
      </c>
      <c r="I49" t="str">
        <f>IF(VLOOKUP(D49,Customers!A:E,5,FALSE)&gt;=1000,"YES","NO")</f>
        <v>NO</v>
      </c>
      <c r="J49">
        <f t="shared" si="1"/>
        <v>165</v>
      </c>
      <c r="K49">
        <f>(J49 - VLOOKUP(F49,Desserts!A:D,4,FALSE)) * G49</f>
        <v>425</v>
      </c>
      <c r="N49" s="9">
        <v>46044</v>
      </c>
      <c r="O49" s="4">
        <v>832</v>
      </c>
    </row>
    <row r="50" spans="1:15" x14ac:dyDescent="0.3">
      <c r="A50" t="s">
        <v>716</v>
      </c>
      <c r="B50" s="8">
        <v>45998</v>
      </c>
      <c r="C50" s="8">
        <f t="shared" si="0"/>
        <v>45998</v>
      </c>
      <c r="D50" t="s">
        <v>335</v>
      </c>
      <c r="E50" t="s">
        <v>57</v>
      </c>
      <c r="F50" t="s">
        <v>535</v>
      </c>
      <c r="G50">
        <v>4</v>
      </c>
      <c r="H50">
        <v>108</v>
      </c>
      <c r="I50" t="str">
        <f>IF(VLOOKUP(D50,Customers!A:E,5,FALSE)&gt;=1000,"YES","NO")</f>
        <v>NO</v>
      </c>
      <c r="J50">
        <f t="shared" si="1"/>
        <v>108</v>
      </c>
      <c r="K50">
        <f>(J50 - VLOOKUP(F50,Desserts!A:D,4,FALSE)) * G50</f>
        <v>136</v>
      </c>
      <c r="N50" s="9">
        <v>46046</v>
      </c>
      <c r="O50" s="4">
        <v>206</v>
      </c>
    </row>
    <row r="51" spans="1:15" x14ac:dyDescent="0.3">
      <c r="A51" t="s">
        <v>718</v>
      </c>
      <c r="B51" s="8">
        <v>45670</v>
      </c>
      <c r="C51" s="8">
        <f t="shared" si="0"/>
        <v>45670</v>
      </c>
      <c r="D51" t="s">
        <v>401</v>
      </c>
      <c r="E51" t="s">
        <v>307</v>
      </c>
      <c r="F51" t="s">
        <v>585</v>
      </c>
      <c r="G51">
        <v>4</v>
      </c>
      <c r="H51">
        <v>150</v>
      </c>
      <c r="I51" t="str">
        <f>IF(VLOOKUP(D51,Customers!A:E,5,FALSE)&gt;=1000,"YES","NO")</f>
        <v>YES</v>
      </c>
      <c r="J51">
        <f t="shared" si="1"/>
        <v>75</v>
      </c>
      <c r="K51">
        <f>(J51 - VLOOKUP(F51,Desserts!A:D,4,FALSE)) * G51</f>
        <v>112</v>
      </c>
      <c r="N51" s="9">
        <v>46047</v>
      </c>
      <c r="O51" s="4">
        <v>272</v>
      </c>
    </row>
    <row r="52" spans="1:15" x14ac:dyDescent="0.3">
      <c r="A52" t="s">
        <v>720</v>
      </c>
      <c r="B52" s="8">
        <v>45865</v>
      </c>
      <c r="C52" s="8">
        <f t="shared" si="0"/>
        <v>45865</v>
      </c>
      <c r="D52" t="s">
        <v>423</v>
      </c>
      <c r="E52" t="s">
        <v>274</v>
      </c>
      <c r="F52" t="s">
        <v>597</v>
      </c>
      <c r="G52">
        <v>3</v>
      </c>
      <c r="H52">
        <v>121</v>
      </c>
      <c r="I52" t="str">
        <f>IF(VLOOKUP(D52,Customers!A:E,5,FALSE)&gt;=1000,"YES","NO")</f>
        <v>NO</v>
      </c>
      <c r="J52">
        <f t="shared" si="1"/>
        <v>121</v>
      </c>
      <c r="K52">
        <f>(J52 - VLOOKUP(F52,Desserts!A:D,4,FALSE)) * G52</f>
        <v>228</v>
      </c>
      <c r="N52" s="9">
        <v>46048</v>
      </c>
      <c r="O52" s="4">
        <v>479</v>
      </c>
    </row>
    <row r="53" spans="1:15" x14ac:dyDescent="0.3">
      <c r="A53" t="s">
        <v>722</v>
      </c>
      <c r="B53" s="8">
        <v>45774</v>
      </c>
      <c r="C53" s="8">
        <f t="shared" si="0"/>
        <v>45774</v>
      </c>
      <c r="D53" t="s">
        <v>509</v>
      </c>
      <c r="E53" t="s">
        <v>286</v>
      </c>
      <c r="F53" t="s">
        <v>617</v>
      </c>
      <c r="G53">
        <v>4</v>
      </c>
      <c r="H53">
        <v>210</v>
      </c>
      <c r="I53" t="str">
        <f>IF(VLOOKUP(D53,Customers!A:E,5,FALSE)&gt;=1000,"YES","NO")</f>
        <v>NO</v>
      </c>
      <c r="J53">
        <f t="shared" si="1"/>
        <v>210</v>
      </c>
      <c r="K53">
        <f>(J53 - VLOOKUP(F53,Desserts!A:D,4,FALSE)) * G53</f>
        <v>676</v>
      </c>
      <c r="N53" s="9">
        <v>46049</v>
      </c>
      <c r="O53" s="4">
        <v>684</v>
      </c>
    </row>
    <row r="54" spans="1:15" x14ac:dyDescent="0.3">
      <c r="A54" t="s">
        <v>724</v>
      </c>
      <c r="B54" s="8">
        <v>45794</v>
      </c>
      <c r="C54" s="8">
        <f t="shared" si="0"/>
        <v>45794</v>
      </c>
      <c r="D54" t="s">
        <v>397</v>
      </c>
      <c r="E54" t="s">
        <v>214</v>
      </c>
      <c r="F54" t="s">
        <v>567</v>
      </c>
      <c r="G54">
        <v>4</v>
      </c>
      <c r="H54">
        <v>232</v>
      </c>
      <c r="I54" t="str">
        <f>IF(VLOOKUP(D54,Customers!A:E,5,FALSE)&gt;=1000,"YES","NO")</f>
        <v>NO</v>
      </c>
      <c r="J54">
        <f t="shared" si="1"/>
        <v>232</v>
      </c>
      <c r="K54">
        <f>(J54 - VLOOKUP(F54,Desserts!A:D,4,FALSE)) * G54</f>
        <v>704</v>
      </c>
      <c r="N54" s="9">
        <v>46050</v>
      </c>
      <c r="O54" s="4">
        <v>140</v>
      </c>
    </row>
    <row r="55" spans="1:15" x14ac:dyDescent="0.3">
      <c r="A55" t="s">
        <v>726</v>
      </c>
      <c r="B55" s="8">
        <v>46003</v>
      </c>
      <c r="C55" s="8">
        <f t="shared" si="0"/>
        <v>46003</v>
      </c>
      <c r="D55" t="s">
        <v>461</v>
      </c>
      <c r="E55" t="s">
        <v>190</v>
      </c>
      <c r="F55" t="s">
        <v>609</v>
      </c>
      <c r="G55">
        <v>5</v>
      </c>
      <c r="H55">
        <v>116</v>
      </c>
      <c r="I55" t="str">
        <f>IF(VLOOKUP(D55,Customers!A:E,5,FALSE)&gt;=1000,"YES","NO")</f>
        <v>YES</v>
      </c>
      <c r="J55">
        <f t="shared" si="1"/>
        <v>58</v>
      </c>
      <c r="K55">
        <f>(J55 - VLOOKUP(F55,Desserts!A:D,4,FALSE)) * G55</f>
        <v>-30</v>
      </c>
      <c r="N55" s="9">
        <v>46051</v>
      </c>
      <c r="O55" s="4">
        <v>119</v>
      </c>
    </row>
    <row r="56" spans="1:15" x14ac:dyDescent="0.3">
      <c r="A56" t="s">
        <v>728</v>
      </c>
      <c r="B56" s="8">
        <v>45795</v>
      </c>
      <c r="C56" s="8">
        <f t="shared" si="0"/>
        <v>45795</v>
      </c>
      <c r="D56" t="s">
        <v>495</v>
      </c>
      <c r="E56" t="s">
        <v>181</v>
      </c>
      <c r="F56" t="s">
        <v>607</v>
      </c>
      <c r="G56">
        <v>3</v>
      </c>
      <c r="H56">
        <v>214</v>
      </c>
      <c r="I56" t="str">
        <f>IF(VLOOKUP(D56,Customers!A:E,5,FALSE)&gt;=1000,"YES","NO")</f>
        <v>NO</v>
      </c>
      <c r="J56">
        <f t="shared" si="1"/>
        <v>214</v>
      </c>
      <c r="K56">
        <f>(J56 - VLOOKUP(F56,Desserts!A:D,4,FALSE)) * G56</f>
        <v>432</v>
      </c>
      <c r="N56" s="9">
        <v>46052</v>
      </c>
      <c r="O56" s="4">
        <v>77.5</v>
      </c>
    </row>
    <row r="57" spans="1:15" x14ac:dyDescent="0.3">
      <c r="A57" t="s">
        <v>730</v>
      </c>
      <c r="B57" s="8">
        <v>45918</v>
      </c>
      <c r="C57" s="8">
        <f t="shared" si="0"/>
        <v>45918</v>
      </c>
      <c r="D57" t="s">
        <v>511</v>
      </c>
      <c r="E57" t="s">
        <v>97</v>
      </c>
      <c r="F57" t="s">
        <v>535</v>
      </c>
      <c r="G57">
        <v>2</v>
      </c>
      <c r="H57">
        <v>246</v>
      </c>
      <c r="I57" t="str">
        <f>IF(VLOOKUP(D57,Customers!A:E,5,FALSE)&gt;=1000,"YES","NO")</f>
        <v>YES</v>
      </c>
      <c r="J57">
        <f t="shared" si="1"/>
        <v>123</v>
      </c>
      <c r="K57">
        <f>(J57 - VLOOKUP(F57,Desserts!A:D,4,FALSE)) * G57</f>
        <v>98</v>
      </c>
      <c r="N57" s="9">
        <v>46053</v>
      </c>
      <c r="O57" s="4">
        <v>835</v>
      </c>
    </row>
    <row r="58" spans="1:15" x14ac:dyDescent="0.3">
      <c r="A58" t="s">
        <v>732</v>
      </c>
      <c r="B58" s="8">
        <v>46009</v>
      </c>
      <c r="C58" s="8">
        <f t="shared" si="0"/>
        <v>46009</v>
      </c>
      <c r="D58" t="s">
        <v>485</v>
      </c>
      <c r="E58" t="s">
        <v>268</v>
      </c>
      <c r="F58" t="s">
        <v>567</v>
      </c>
      <c r="G58">
        <v>1</v>
      </c>
      <c r="H58">
        <v>137</v>
      </c>
      <c r="I58" t="str">
        <f>IF(VLOOKUP(D58,Customers!A:E,5,FALSE)&gt;=1000,"YES","NO")</f>
        <v>YES</v>
      </c>
      <c r="J58">
        <f t="shared" si="1"/>
        <v>68.5</v>
      </c>
      <c r="K58">
        <f>(J58 - VLOOKUP(F58,Desserts!A:D,4,FALSE)) * G58</f>
        <v>12.5</v>
      </c>
      <c r="N58" s="6" t="s">
        <v>1439</v>
      </c>
      <c r="O58" s="4">
        <v>1285</v>
      </c>
    </row>
    <row r="59" spans="1:15" x14ac:dyDescent="0.3">
      <c r="A59" t="s">
        <v>734</v>
      </c>
      <c r="B59" s="8">
        <v>45729</v>
      </c>
      <c r="C59" s="8">
        <f t="shared" si="0"/>
        <v>45729</v>
      </c>
      <c r="D59" t="s">
        <v>431</v>
      </c>
      <c r="E59" t="s">
        <v>79</v>
      </c>
      <c r="F59" t="s">
        <v>609</v>
      </c>
      <c r="G59">
        <v>4</v>
      </c>
      <c r="H59">
        <v>206</v>
      </c>
      <c r="I59" t="str">
        <f>IF(VLOOKUP(D59,Customers!A:E,5,FALSE)&gt;=1000,"YES","NO")</f>
        <v>YES</v>
      </c>
      <c r="J59">
        <f t="shared" si="1"/>
        <v>103</v>
      </c>
      <c r="K59">
        <f>(J59 - VLOOKUP(F59,Desserts!A:D,4,FALSE)) * G59</f>
        <v>156</v>
      </c>
      <c r="N59" s="3" t="s">
        <v>1425</v>
      </c>
      <c r="O59" s="4">
        <v>99689.5</v>
      </c>
    </row>
    <row r="60" spans="1:15" x14ac:dyDescent="0.3">
      <c r="A60" t="s">
        <v>736</v>
      </c>
      <c r="B60" s="8">
        <v>45842</v>
      </c>
      <c r="C60" s="8">
        <f t="shared" si="0"/>
        <v>45842</v>
      </c>
      <c r="D60" t="s">
        <v>373</v>
      </c>
      <c r="E60" t="s">
        <v>181</v>
      </c>
      <c r="F60" t="s">
        <v>589</v>
      </c>
      <c r="G60">
        <v>4</v>
      </c>
      <c r="H60">
        <v>201</v>
      </c>
      <c r="I60" t="str">
        <f>IF(VLOOKUP(D60,Customers!A:E,5,FALSE)&gt;=1000,"YES","NO")</f>
        <v>NO</v>
      </c>
      <c r="J60">
        <f t="shared" si="1"/>
        <v>201</v>
      </c>
      <c r="K60">
        <f>(J60 - VLOOKUP(F60,Desserts!A:D,4,FALSE)) * G60</f>
        <v>520</v>
      </c>
    </row>
    <row r="61" spans="1:15" x14ac:dyDescent="0.3">
      <c r="A61" t="s">
        <v>738</v>
      </c>
      <c r="B61" s="8">
        <v>45962</v>
      </c>
      <c r="C61" s="8">
        <f t="shared" si="0"/>
        <v>45962</v>
      </c>
      <c r="D61" t="s">
        <v>411</v>
      </c>
      <c r="E61" t="s">
        <v>190</v>
      </c>
      <c r="F61" t="s">
        <v>563</v>
      </c>
      <c r="G61">
        <v>4</v>
      </c>
      <c r="H61">
        <v>243</v>
      </c>
      <c r="I61" t="str">
        <f>IF(VLOOKUP(D61,Customers!A:E,5,FALSE)&gt;=1000,"YES","NO")</f>
        <v>NO</v>
      </c>
      <c r="J61">
        <f t="shared" si="1"/>
        <v>243</v>
      </c>
      <c r="K61">
        <f>(J61 - VLOOKUP(F61,Desserts!A:D,4,FALSE)) * G61</f>
        <v>712</v>
      </c>
    </row>
    <row r="62" spans="1:15" x14ac:dyDescent="0.3">
      <c r="A62" t="s">
        <v>740</v>
      </c>
      <c r="B62" s="8">
        <v>45834</v>
      </c>
      <c r="C62" s="8">
        <f t="shared" si="0"/>
        <v>45834</v>
      </c>
      <c r="D62" t="s">
        <v>319</v>
      </c>
      <c r="E62" t="s">
        <v>30</v>
      </c>
      <c r="F62" t="s">
        <v>561</v>
      </c>
      <c r="G62">
        <v>1</v>
      </c>
      <c r="H62">
        <v>137</v>
      </c>
      <c r="I62" t="str">
        <f>IF(VLOOKUP(D62,Customers!A:E,5,FALSE)&gt;=1000,"YES","NO")</f>
        <v>YES</v>
      </c>
      <c r="J62">
        <f t="shared" si="1"/>
        <v>68.5</v>
      </c>
      <c r="K62">
        <f>(J62 - VLOOKUP(F62,Desserts!A:D,4,FALSE)) * G62</f>
        <v>5.5</v>
      </c>
    </row>
    <row r="63" spans="1:15" x14ac:dyDescent="0.3">
      <c r="A63" t="s">
        <v>742</v>
      </c>
      <c r="B63" s="8">
        <v>45750</v>
      </c>
      <c r="C63" s="8">
        <f t="shared" si="0"/>
        <v>45750</v>
      </c>
      <c r="D63" t="s">
        <v>365</v>
      </c>
      <c r="E63" t="s">
        <v>199</v>
      </c>
      <c r="F63" t="s">
        <v>603</v>
      </c>
      <c r="G63">
        <v>2</v>
      </c>
      <c r="H63">
        <v>122</v>
      </c>
      <c r="I63" t="str">
        <f>IF(VLOOKUP(D63,Customers!A:E,5,FALSE)&gt;=1000,"YES","NO")</f>
        <v>NO</v>
      </c>
      <c r="J63">
        <f t="shared" si="1"/>
        <v>122</v>
      </c>
      <c r="K63">
        <f>(J63 - VLOOKUP(F63,Desserts!A:D,4,FALSE)) * G63</f>
        <v>66</v>
      </c>
    </row>
    <row r="64" spans="1:15" x14ac:dyDescent="0.3">
      <c r="A64" t="s">
        <v>744</v>
      </c>
      <c r="B64" s="8">
        <v>45775</v>
      </c>
      <c r="C64" s="8">
        <f t="shared" si="0"/>
        <v>45775</v>
      </c>
      <c r="D64" t="s">
        <v>325</v>
      </c>
      <c r="E64" t="s">
        <v>157</v>
      </c>
      <c r="F64" t="s">
        <v>583</v>
      </c>
      <c r="G64">
        <v>1</v>
      </c>
      <c r="H64">
        <v>212</v>
      </c>
      <c r="I64" t="str">
        <f>IF(VLOOKUP(D64,Customers!A:E,5,FALSE)&gt;=1000,"YES","NO")</f>
        <v>NO</v>
      </c>
      <c r="J64">
        <f t="shared" si="1"/>
        <v>212</v>
      </c>
      <c r="K64">
        <f>(J64 - VLOOKUP(F64,Desserts!A:D,4,FALSE)) * G64</f>
        <v>129</v>
      </c>
    </row>
    <row r="65" spans="1:11" x14ac:dyDescent="0.3">
      <c r="A65" t="s">
        <v>746</v>
      </c>
      <c r="B65" s="8">
        <v>46015</v>
      </c>
      <c r="C65" s="8">
        <f t="shared" si="0"/>
        <v>46015</v>
      </c>
      <c r="D65" t="s">
        <v>509</v>
      </c>
      <c r="E65" t="s">
        <v>151</v>
      </c>
      <c r="F65" t="s">
        <v>615</v>
      </c>
      <c r="G65">
        <v>2</v>
      </c>
      <c r="H65">
        <v>248</v>
      </c>
      <c r="I65" t="str">
        <f>IF(VLOOKUP(D65,Customers!A:E,5,FALSE)&gt;=1000,"YES","NO")</f>
        <v>NO</v>
      </c>
      <c r="J65">
        <f t="shared" si="1"/>
        <v>248</v>
      </c>
      <c r="K65">
        <f>(J65 - VLOOKUP(F65,Desserts!A:D,4,FALSE)) * G65</f>
        <v>412</v>
      </c>
    </row>
    <row r="66" spans="1:11" x14ac:dyDescent="0.3">
      <c r="A66" t="s">
        <v>748</v>
      </c>
      <c r="B66" s="8">
        <v>45724</v>
      </c>
      <c r="C66" s="8">
        <f t="shared" ref="C66:C129" si="2">--B66</f>
        <v>45724</v>
      </c>
      <c r="D66" t="s">
        <v>409</v>
      </c>
      <c r="E66" t="s">
        <v>265</v>
      </c>
      <c r="F66" t="s">
        <v>617</v>
      </c>
      <c r="G66">
        <v>3</v>
      </c>
      <c r="H66">
        <v>125</v>
      </c>
      <c r="I66" t="str">
        <f>IF(VLOOKUP(D66,Customers!A:E,5,FALSE)&gt;=1000,"YES","NO")</f>
        <v>NO</v>
      </c>
      <c r="J66">
        <f t="shared" ref="J66:J129" si="3">IF(I66="YES",H66*0.5,H66)</f>
        <v>125</v>
      </c>
      <c r="K66">
        <f>(J66 - VLOOKUP(F66,Desserts!A:D,4,FALSE)) * G66</f>
        <v>252</v>
      </c>
    </row>
    <row r="67" spans="1:11" x14ac:dyDescent="0.3">
      <c r="A67" t="s">
        <v>750</v>
      </c>
      <c r="B67" s="8">
        <v>45718</v>
      </c>
      <c r="C67" s="8">
        <f t="shared" si="2"/>
        <v>45718</v>
      </c>
      <c r="D67" t="s">
        <v>363</v>
      </c>
      <c r="E67" t="s">
        <v>100</v>
      </c>
      <c r="F67" t="s">
        <v>579</v>
      </c>
      <c r="G67">
        <v>2</v>
      </c>
      <c r="H67">
        <v>113</v>
      </c>
      <c r="I67" t="str">
        <f>IF(VLOOKUP(D67,Customers!A:E,5,FALSE)&gt;=1000,"YES","NO")</f>
        <v>YES</v>
      </c>
      <c r="J67">
        <f t="shared" si="3"/>
        <v>56.5</v>
      </c>
      <c r="K67">
        <f>(J67 - VLOOKUP(F67,Desserts!A:D,4,FALSE)) * G67</f>
        <v>-11</v>
      </c>
    </row>
    <row r="68" spans="1:11" x14ac:dyDescent="0.3">
      <c r="A68" t="s">
        <v>752</v>
      </c>
      <c r="B68" s="8">
        <v>45737</v>
      </c>
      <c r="C68" s="8">
        <f t="shared" si="2"/>
        <v>45737</v>
      </c>
      <c r="D68" t="s">
        <v>393</v>
      </c>
      <c r="E68" t="s">
        <v>274</v>
      </c>
      <c r="F68" t="s">
        <v>561</v>
      </c>
      <c r="G68">
        <v>3</v>
      </c>
      <c r="H68">
        <v>230</v>
      </c>
      <c r="I68" t="str">
        <f>IF(VLOOKUP(D68,Customers!A:E,5,FALSE)&gt;=1000,"YES","NO")</f>
        <v>YES</v>
      </c>
      <c r="J68">
        <f t="shared" si="3"/>
        <v>115</v>
      </c>
      <c r="K68">
        <f>(J68 - VLOOKUP(F68,Desserts!A:D,4,FALSE)) * G68</f>
        <v>156</v>
      </c>
    </row>
    <row r="69" spans="1:11" x14ac:dyDescent="0.3">
      <c r="A69" t="s">
        <v>754</v>
      </c>
      <c r="B69" s="8">
        <v>45660</v>
      </c>
      <c r="C69" s="8">
        <f t="shared" si="2"/>
        <v>45660</v>
      </c>
      <c r="D69" t="s">
        <v>345</v>
      </c>
      <c r="E69" t="s">
        <v>148</v>
      </c>
      <c r="F69" t="s">
        <v>577</v>
      </c>
      <c r="G69">
        <v>2</v>
      </c>
      <c r="H69">
        <v>130</v>
      </c>
      <c r="I69" t="str">
        <f>IF(VLOOKUP(D69,Customers!A:E,5,FALSE)&gt;=1000,"YES","NO")</f>
        <v>YES</v>
      </c>
      <c r="J69">
        <f t="shared" si="3"/>
        <v>65</v>
      </c>
      <c r="K69">
        <f>(J69 - VLOOKUP(F69,Desserts!A:D,4,FALSE)) * G69</f>
        <v>-10</v>
      </c>
    </row>
    <row r="70" spans="1:11" x14ac:dyDescent="0.3">
      <c r="A70" t="s">
        <v>756</v>
      </c>
      <c r="B70" s="8">
        <v>45911</v>
      </c>
      <c r="C70" s="8">
        <f t="shared" si="2"/>
        <v>45911</v>
      </c>
      <c r="D70" t="s">
        <v>367</v>
      </c>
      <c r="E70" t="s">
        <v>235</v>
      </c>
      <c r="F70" t="s">
        <v>561</v>
      </c>
      <c r="G70">
        <v>2</v>
      </c>
      <c r="H70">
        <v>235</v>
      </c>
      <c r="I70" t="str">
        <f>IF(VLOOKUP(D70,Customers!A:E,5,FALSE)&gt;=1000,"YES","NO")</f>
        <v>NO</v>
      </c>
      <c r="J70">
        <f t="shared" si="3"/>
        <v>235</v>
      </c>
      <c r="K70">
        <f>(J70 - VLOOKUP(F70,Desserts!A:D,4,FALSE)) * G70</f>
        <v>344</v>
      </c>
    </row>
    <row r="71" spans="1:11" x14ac:dyDescent="0.3">
      <c r="A71" t="s">
        <v>758</v>
      </c>
      <c r="B71" s="8">
        <v>45818</v>
      </c>
      <c r="C71" s="8">
        <f t="shared" si="2"/>
        <v>45818</v>
      </c>
      <c r="D71" t="s">
        <v>317</v>
      </c>
      <c r="E71" t="s">
        <v>277</v>
      </c>
      <c r="F71" t="s">
        <v>611</v>
      </c>
      <c r="G71">
        <v>1</v>
      </c>
      <c r="H71">
        <v>169</v>
      </c>
      <c r="I71" t="str">
        <f>IF(VLOOKUP(D71,Customers!A:E,5,FALSE)&gt;=1000,"YES","NO")</f>
        <v>NO</v>
      </c>
      <c r="J71">
        <f t="shared" si="3"/>
        <v>169</v>
      </c>
      <c r="K71">
        <f>(J71 - VLOOKUP(F71,Desserts!A:D,4,FALSE)) * G71</f>
        <v>126</v>
      </c>
    </row>
    <row r="72" spans="1:11" x14ac:dyDescent="0.3">
      <c r="A72" t="s">
        <v>760</v>
      </c>
      <c r="B72" s="8">
        <v>45798</v>
      </c>
      <c r="C72" s="8">
        <f t="shared" si="2"/>
        <v>45798</v>
      </c>
      <c r="D72" t="s">
        <v>497</v>
      </c>
      <c r="E72" t="s">
        <v>27</v>
      </c>
      <c r="F72" t="s">
        <v>557</v>
      </c>
      <c r="G72">
        <v>2</v>
      </c>
      <c r="H72">
        <v>195</v>
      </c>
      <c r="I72" t="str">
        <f>IF(VLOOKUP(D72,Customers!A:E,5,FALSE)&gt;=1000,"YES","NO")</f>
        <v>NO</v>
      </c>
      <c r="J72">
        <f t="shared" si="3"/>
        <v>195</v>
      </c>
      <c r="K72">
        <f>(J72 - VLOOKUP(F72,Desserts!A:D,4,FALSE)) * G72</f>
        <v>222</v>
      </c>
    </row>
    <row r="73" spans="1:11" x14ac:dyDescent="0.3">
      <c r="A73" t="s">
        <v>762</v>
      </c>
      <c r="B73" s="8">
        <v>45854</v>
      </c>
      <c r="C73" s="8">
        <f t="shared" si="2"/>
        <v>45854</v>
      </c>
      <c r="D73" t="s">
        <v>387</v>
      </c>
      <c r="E73" t="s">
        <v>271</v>
      </c>
      <c r="F73" t="s">
        <v>593</v>
      </c>
      <c r="G73">
        <v>2</v>
      </c>
      <c r="H73">
        <v>200</v>
      </c>
      <c r="I73" t="str">
        <f>IF(VLOOKUP(D73,Customers!A:E,5,FALSE)&gt;=1000,"YES","NO")</f>
        <v>NO</v>
      </c>
      <c r="J73">
        <f t="shared" si="3"/>
        <v>200</v>
      </c>
      <c r="K73">
        <f>(J73 - VLOOKUP(F73,Desserts!A:D,4,FALSE)) * G73</f>
        <v>292</v>
      </c>
    </row>
    <row r="74" spans="1:11" x14ac:dyDescent="0.3">
      <c r="A74" t="s">
        <v>764</v>
      </c>
      <c r="B74" s="8">
        <v>45786</v>
      </c>
      <c r="C74" s="8">
        <f t="shared" si="2"/>
        <v>45786</v>
      </c>
      <c r="D74" t="s">
        <v>413</v>
      </c>
      <c r="E74" t="s">
        <v>271</v>
      </c>
      <c r="F74" t="s">
        <v>533</v>
      </c>
      <c r="G74">
        <v>3</v>
      </c>
      <c r="H74">
        <v>240</v>
      </c>
      <c r="I74" t="str">
        <f>IF(VLOOKUP(D74,Customers!A:E,5,FALSE)&gt;=1000,"YES","NO")</f>
        <v>YES</v>
      </c>
      <c r="J74">
        <f t="shared" si="3"/>
        <v>120</v>
      </c>
      <c r="K74">
        <f>(J74 - VLOOKUP(F74,Desserts!A:D,4,FALSE)) * G74</f>
        <v>159</v>
      </c>
    </row>
    <row r="75" spans="1:11" x14ac:dyDescent="0.3">
      <c r="A75" t="s">
        <v>766</v>
      </c>
      <c r="B75" s="8">
        <v>46048</v>
      </c>
      <c r="C75" s="8">
        <f t="shared" si="2"/>
        <v>46048</v>
      </c>
      <c r="D75" t="s">
        <v>489</v>
      </c>
      <c r="E75" t="s">
        <v>51</v>
      </c>
      <c r="F75" t="s">
        <v>565</v>
      </c>
      <c r="G75">
        <v>1</v>
      </c>
      <c r="H75">
        <v>156</v>
      </c>
      <c r="I75" t="str">
        <f>IF(VLOOKUP(D75,Customers!A:E,5,FALSE)&gt;=1000,"YES","NO")</f>
        <v>NO</v>
      </c>
      <c r="J75">
        <f t="shared" si="3"/>
        <v>156</v>
      </c>
      <c r="K75">
        <f>(J75 - VLOOKUP(F75,Desserts!A:D,4,FALSE)) * G75</f>
        <v>115</v>
      </c>
    </row>
    <row r="76" spans="1:11" x14ac:dyDescent="0.3">
      <c r="A76" t="s">
        <v>768</v>
      </c>
      <c r="B76" s="8">
        <v>46038</v>
      </c>
      <c r="C76" s="8">
        <f t="shared" si="2"/>
        <v>46038</v>
      </c>
      <c r="D76" t="s">
        <v>493</v>
      </c>
      <c r="E76" t="s">
        <v>91</v>
      </c>
      <c r="F76" t="s">
        <v>579</v>
      </c>
      <c r="G76">
        <v>1</v>
      </c>
      <c r="H76">
        <v>191</v>
      </c>
      <c r="I76" t="str">
        <f>IF(VLOOKUP(D76,Customers!A:E,5,FALSE)&gt;=1000,"YES","NO")</f>
        <v>NO</v>
      </c>
      <c r="J76">
        <f t="shared" si="3"/>
        <v>191</v>
      </c>
      <c r="K76">
        <f>(J76 - VLOOKUP(F76,Desserts!A:D,4,FALSE)) * G76</f>
        <v>129</v>
      </c>
    </row>
    <row r="77" spans="1:11" x14ac:dyDescent="0.3">
      <c r="A77" t="s">
        <v>770</v>
      </c>
      <c r="B77" s="8">
        <v>46056</v>
      </c>
      <c r="C77" s="8">
        <f t="shared" si="2"/>
        <v>46056</v>
      </c>
      <c r="D77" t="s">
        <v>491</v>
      </c>
      <c r="E77" t="s">
        <v>121</v>
      </c>
      <c r="F77" t="s">
        <v>559</v>
      </c>
      <c r="G77">
        <v>3</v>
      </c>
      <c r="H77">
        <v>140</v>
      </c>
      <c r="I77" t="str">
        <f>IF(VLOOKUP(D77,Customers!A:E,5,FALSE)&gt;=1000,"YES","NO")</f>
        <v>NO</v>
      </c>
      <c r="J77">
        <f t="shared" si="3"/>
        <v>140</v>
      </c>
      <c r="K77">
        <f>(J77 - VLOOKUP(F77,Desserts!A:D,4,FALSE)) * G77</f>
        <v>255</v>
      </c>
    </row>
    <row r="78" spans="1:11" x14ac:dyDescent="0.3">
      <c r="A78" t="s">
        <v>772</v>
      </c>
      <c r="B78" s="8">
        <v>45994</v>
      </c>
      <c r="C78" s="8">
        <f t="shared" si="2"/>
        <v>45994</v>
      </c>
      <c r="D78" t="s">
        <v>477</v>
      </c>
      <c r="E78" t="s">
        <v>166</v>
      </c>
      <c r="F78" t="s">
        <v>597</v>
      </c>
      <c r="G78">
        <v>5</v>
      </c>
      <c r="H78">
        <v>201</v>
      </c>
      <c r="I78" t="str">
        <f>IF(VLOOKUP(D78,Customers!A:E,5,FALSE)&gt;=1000,"YES","NO")</f>
        <v>YES</v>
      </c>
      <c r="J78">
        <f t="shared" si="3"/>
        <v>100.5</v>
      </c>
      <c r="K78">
        <f>(J78 - VLOOKUP(F78,Desserts!A:D,4,FALSE)) * G78</f>
        <v>277.5</v>
      </c>
    </row>
    <row r="79" spans="1:11" x14ac:dyDescent="0.3">
      <c r="A79" t="s">
        <v>774</v>
      </c>
      <c r="B79" s="8">
        <v>45776</v>
      </c>
      <c r="C79" s="8">
        <f t="shared" si="2"/>
        <v>45776</v>
      </c>
      <c r="D79" t="s">
        <v>321</v>
      </c>
      <c r="E79" t="s">
        <v>9</v>
      </c>
      <c r="F79" t="s">
        <v>575</v>
      </c>
      <c r="G79">
        <v>2</v>
      </c>
      <c r="H79">
        <v>235</v>
      </c>
      <c r="I79" t="str">
        <f>IF(VLOOKUP(D79,Customers!A:E,5,FALSE)&gt;=1000,"YES","NO")</f>
        <v>NO</v>
      </c>
      <c r="J79">
        <f t="shared" si="3"/>
        <v>235</v>
      </c>
      <c r="K79">
        <f>(J79 - VLOOKUP(F79,Desserts!A:D,4,FALSE)) * G79</f>
        <v>320</v>
      </c>
    </row>
    <row r="80" spans="1:11" x14ac:dyDescent="0.3">
      <c r="A80" t="s">
        <v>776</v>
      </c>
      <c r="B80" s="8">
        <v>45659</v>
      </c>
      <c r="C80" s="8">
        <f t="shared" si="2"/>
        <v>45659</v>
      </c>
      <c r="D80" t="s">
        <v>457</v>
      </c>
      <c r="E80" t="s">
        <v>232</v>
      </c>
      <c r="F80" t="s">
        <v>533</v>
      </c>
      <c r="G80">
        <v>2</v>
      </c>
      <c r="H80">
        <v>173</v>
      </c>
      <c r="I80" t="str">
        <f>IF(VLOOKUP(D80,Customers!A:E,5,FALSE)&gt;=1000,"YES","NO")</f>
        <v>YES</v>
      </c>
      <c r="J80">
        <f t="shared" si="3"/>
        <v>86.5</v>
      </c>
      <c r="K80">
        <f>(J80 - VLOOKUP(F80,Desserts!A:D,4,FALSE)) * G80</f>
        <v>39</v>
      </c>
    </row>
    <row r="81" spans="1:11" x14ac:dyDescent="0.3">
      <c r="A81" t="s">
        <v>778</v>
      </c>
      <c r="B81" s="8">
        <v>45886</v>
      </c>
      <c r="C81" s="8">
        <f t="shared" si="2"/>
        <v>45886</v>
      </c>
      <c r="D81" t="s">
        <v>317</v>
      </c>
      <c r="E81" t="s">
        <v>100</v>
      </c>
      <c r="F81" t="s">
        <v>615</v>
      </c>
      <c r="G81">
        <v>3</v>
      </c>
      <c r="H81">
        <v>193</v>
      </c>
      <c r="I81" t="str">
        <f>IF(VLOOKUP(D81,Customers!A:E,5,FALSE)&gt;=1000,"YES","NO")</f>
        <v>NO</v>
      </c>
      <c r="J81">
        <f t="shared" si="3"/>
        <v>193</v>
      </c>
      <c r="K81">
        <f>(J81 - VLOOKUP(F81,Desserts!A:D,4,FALSE)) * G81</f>
        <v>453</v>
      </c>
    </row>
    <row r="82" spans="1:11" x14ac:dyDescent="0.3">
      <c r="A82" t="s">
        <v>780</v>
      </c>
      <c r="B82" s="8">
        <v>45768</v>
      </c>
      <c r="C82" s="8">
        <f t="shared" si="2"/>
        <v>45768</v>
      </c>
      <c r="D82" t="s">
        <v>321</v>
      </c>
      <c r="E82" t="s">
        <v>253</v>
      </c>
      <c r="F82" t="s">
        <v>585</v>
      </c>
      <c r="G82">
        <v>2</v>
      </c>
      <c r="H82">
        <v>213</v>
      </c>
      <c r="I82" t="str">
        <f>IF(VLOOKUP(D82,Customers!A:E,5,FALSE)&gt;=1000,"YES","NO")</f>
        <v>NO</v>
      </c>
      <c r="J82">
        <f t="shared" si="3"/>
        <v>213</v>
      </c>
      <c r="K82">
        <f>(J82 - VLOOKUP(F82,Desserts!A:D,4,FALSE)) * G82</f>
        <v>332</v>
      </c>
    </row>
    <row r="83" spans="1:11" x14ac:dyDescent="0.3">
      <c r="A83" t="s">
        <v>782</v>
      </c>
      <c r="B83" s="8">
        <v>45671</v>
      </c>
      <c r="C83" s="8">
        <f t="shared" si="2"/>
        <v>45671</v>
      </c>
      <c r="D83" t="s">
        <v>351</v>
      </c>
      <c r="E83" t="s">
        <v>250</v>
      </c>
      <c r="F83" t="s">
        <v>561</v>
      </c>
      <c r="G83">
        <v>1</v>
      </c>
      <c r="H83">
        <v>145</v>
      </c>
      <c r="I83" t="str">
        <f>IF(VLOOKUP(D83,Customers!A:E,5,FALSE)&gt;=1000,"YES","NO")</f>
        <v>NO</v>
      </c>
      <c r="J83">
        <f t="shared" si="3"/>
        <v>145</v>
      </c>
      <c r="K83">
        <f>(J83 - VLOOKUP(F83,Desserts!A:D,4,FALSE)) * G83</f>
        <v>82</v>
      </c>
    </row>
    <row r="84" spans="1:11" x14ac:dyDescent="0.3">
      <c r="A84" t="s">
        <v>784</v>
      </c>
      <c r="B84" s="8">
        <v>45697</v>
      </c>
      <c r="C84" s="8">
        <f t="shared" si="2"/>
        <v>45697</v>
      </c>
      <c r="D84" t="s">
        <v>509</v>
      </c>
      <c r="E84" t="s">
        <v>127</v>
      </c>
      <c r="F84" t="s">
        <v>523</v>
      </c>
      <c r="G84">
        <v>1</v>
      </c>
      <c r="H84">
        <v>108</v>
      </c>
      <c r="I84" t="str">
        <f>IF(VLOOKUP(D84,Customers!A:E,5,FALSE)&gt;=1000,"YES","NO")</f>
        <v>NO</v>
      </c>
      <c r="J84">
        <f t="shared" si="3"/>
        <v>108</v>
      </c>
      <c r="K84">
        <f>(J84 - VLOOKUP(F84,Desserts!A:D,4,FALSE)) * G84</f>
        <v>40</v>
      </c>
    </row>
    <row r="85" spans="1:11" x14ac:dyDescent="0.3">
      <c r="A85" t="s">
        <v>786</v>
      </c>
      <c r="B85" s="8">
        <v>45730</v>
      </c>
      <c r="C85" s="8">
        <f t="shared" si="2"/>
        <v>45730</v>
      </c>
      <c r="D85" t="s">
        <v>433</v>
      </c>
      <c r="E85" t="s">
        <v>259</v>
      </c>
      <c r="F85" t="s">
        <v>565</v>
      </c>
      <c r="G85">
        <v>2</v>
      </c>
      <c r="H85">
        <v>211</v>
      </c>
      <c r="I85" t="str">
        <f>IF(VLOOKUP(D85,Customers!A:E,5,FALSE)&gt;=1000,"YES","NO")</f>
        <v>YES</v>
      </c>
      <c r="J85">
        <f t="shared" si="3"/>
        <v>105.5</v>
      </c>
      <c r="K85">
        <f>(J85 - VLOOKUP(F85,Desserts!A:D,4,FALSE)) * G85</f>
        <v>129</v>
      </c>
    </row>
    <row r="86" spans="1:11" x14ac:dyDescent="0.3">
      <c r="A86" t="s">
        <v>788</v>
      </c>
      <c r="B86" s="8">
        <v>45952</v>
      </c>
      <c r="C86" s="8">
        <f t="shared" si="2"/>
        <v>45952</v>
      </c>
      <c r="D86" t="s">
        <v>413</v>
      </c>
      <c r="E86" t="s">
        <v>217</v>
      </c>
      <c r="F86" t="s">
        <v>617</v>
      </c>
      <c r="G86">
        <v>2</v>
      </c>
      <c r="H86">
        <v>157</v>
      </c>
      <c r="I86" t="str">
        <f>IF(VLOOKUP(D86,Customers!A:E,5,FALSE)&gt;=1000,"YES","NO")</f>
        <v>YES</v>
      </c>
      <c r="J86">
        <f t="shared" si="3"/>
        <v>78.5</v>
      </c>
      <c r="K86">
        <f>(J86 - VLOOKUP(F86,Desserts!A:D,4,FALSE)) * G86</f>
        <v>75</v>
      </c>
    </row>
    <row r="87" spans="1:11" x14ac:dyDescent="0.3">
      <c r="A87" t="s">
        <v>790</v>
      </c>
      <c r="B87" s="8">
        <v>45707</v>
      </c>
      <c r="C87" s="8">
        <f t="shared" si="2"/>
        <v>45707</v>
      </c>
      <c r="D87" t="s">
        <v>451</v>
      </c>
      <c r="E87" t="s">
        <v>181</v>
      </c>
      <c r="F87" t="s">
        <v>577</v>
      </c>
      <c r="G87">
        <v>2</v>
      </c>
      <c r="H87">
        <v>114</v>
      </c>
      <c r="I87" t="str">
        <f>IF(VLOOKUP(D87,Customers!A:E,5,FALSE)&gt;=1000,"YES","NO")</f>
        <v>NO</v>
      </c>
      <c r="J87">
        <f t="shared" si="3"/>
        <v>114</v>
      </c>
      <c r="K87">
        <f>(J87 - VLOOKUP(F87,Desserts!A:D,4,FALSE)) * G87</f>
        <v>88</v>
      </c>
    </row>
    <row r="88" spans="1:11" x14ac:dyDescent="0.3">
      <c r="A88" t="s">
        <v>792</v>
      </c>
      <c r="B88" s="8">
        <v>46028</v>
      </c>
      <c r="C88" s="8">
        <f t="shared" si="2"/>
        <v>46028</v>
      </c>
      <c r="D88" t="s">
        <v>341</v>
      </c>
      <c r="E88" t="s">
        <v>66</v>
      </c>
      <c r="F88" t="s">
        <v>595</v>
      </c>
      <c r="G88">
        <v>3</v>
      </c>
      <c r="H88">
        <v>180</v>
      </c>
      <c r="I88" t="str">
        <f>IF(VLOOKUP(D88,Customers!A:E,5,FALSE)&gt;=1000,"YES","NO")</f>
        <v>YES</v>
      </c>
      <c r="J88">
        <f t="shared" si="3"/>
        <v>90</v>
      </c>
      <c r="K88">
        <f>(J88 - VLOOKUP(F88,Desserts!A:D,4,FALSE)) * G88</f>
        <v>60</v>
      </c>
    </row>
    <row r="89" spans="1:11" x14ac:dyDescent="0.3">
      <c r="A89" t="s">
        <v>794</v>
      </c>
      <c r="B89" s="8">
        <v>45818</v>
      </c>
      <c r="C89" s="8">
        <f t="shared" si="2"/>
        <v>45818</v>
      </c>
      <c r="D89" t="s">
        <v>321</v>
      </c>
      <c r="E89" t="s">
        <v>43</v>
      </c>
      <c r="F89" t="s">
        <v>527</v>
      </c>
      <c r="G89">
        <v>1</v>
      </c>
      <c r="H89">
        <v>181</v>
      </c>
      <c r="I89" t="str">
        <f>IF(VLOOKUP(D89,Customers!A:E,5,FALSE)&gt;=1000,"YES","NO")</f>
        <v>NO</v>
      </c>
      <c r="J89">
        <f t="shared" si="3"/>
        <v>181</v>
      </c>
      <c r="K89">
        <f>(J89 - VLOOKUP(F89,Desserts!A:D,4,FALSE)) * G89</f>
        <v>138</v>
      </c>
    </row>
    <row r="90" spans="1:11" x14ac:dyDescent="0.3">
      <c r="A90" t="s">
        <v>795</v>
      </c>
      <c r="B90" s="8">
        <v>45710</v>
      </c>
      <c r="C90" s="8">
        <f t="shared" si="2"/>
        <v>45710</v>
      </c>
      <c r="D90" t="s">
        <v>331</v>
      </c>
      <c r="E90" t="s">
        <v>72</v>
      </c>
      <c r="F90" t="s">
        <v>595</v>
      </c>
      <c r="G90">
        <v>3</v>
      </c>
      <c r="H90">
        <v>185</v>
      </c>
      <c r="I90" t="str">
        <f>IF(VLOOKUP(D90,Customers!A:E,5,FALSE)&gt;=1000,"YES","NO")</f>
        <v>YES</v>
      </c>
      <c r="J90">
        <f t="shared" si="3"/>
        <v>92.5</v>
      </c>
      <c r="K90">
        <f>(J90 - VLOOKUP(F90,Desserts!A:D,4,FALSE)) * G90</f>
        <v>67.5</v>
      </c>
    </row>
    <row r="91" spans="1:11" x14ac:dyDescent="0.3">
      <c r="A91" t="s">
        <v>797</v>
      </c>
      <c r="B91" s="8">
        <v>45871</v>
      </c>
      <c r="C91" s="8">
        <f t="shared" si="2"/>
        <v>45871</v>
      </c>
      <c r="D91" t="s">
        <v>325</v>
      </c>
      <c r="E91" t="s">
        <v>17</v>
      </c>
      <c r="F91" t="s">
        <v>587</v>
      </c>
      <c r="G91">
        <v>4</v>
      </c>
      <c r="H91">
        <v>236</v>
      </c>
      <c r="I91" t="str">
        <f>IF(VLOOKUP(D91,Customers!A:E,5,FALSE)&gt;=1000,"YES","NO")</f>
        <v>NO</v>
      </c>
      <c r="J91">
        <f t="shared" si="3"/>
        <v>236</v>
      </c>
      <c r="K91">
        <f>(J91 - VLOOKUP(F91,Desserts!A:D,4,FALSE)) * G91</f>
        <v>656</v>
      </c>
    </row>
    <row r="92" spans="1:11" x14ac:dyDescent="0.3">
      <c r="A92" t="s">
        <v>799</v>
      </c>
      <c r="B92" s="8">
        <v>45661</v>
      </c>
      <c r="C92" s="8">
        <f t="shared" si="2"/>
        <v>45661</v>
      </c>
      <c r="D92" t="s">
        <v>407</v>
      </c>
      <c r="E92" t="s">
        <v>40</v>
      </c>
      <c r="F92" t="s">
        <v>581</v>
      </c>
      <c r="G92">
        <v>2</v>
      </c>
      <c r="H92">
        <v>202</v>
      </c>
      <c r="I92" t="str">
        <f>IF(VLOOKUP(D92,Customers!A:E,5,FALSE)&gt;=1000,"YES","NO")</f>
        <v>YES</v>
      </c>
      <c r="J92">
        <f t="shared" si="3"/>
        <v>101</v>
      </c>
      <c r="K92">
        <f>(J92 - VLOOKUP(F92,Desserts!A:D,4,FALSE)) * G92</f>
        <v>24</v>
      </c>
    </row>
    <row r="93" spans="1:11" x14ac:dyDescent="0.3">
      <c r="A93" t="s">
        <v>801</v>
      </c>
      <c r="B93" s="8">
        <v>45855</v>
      </c>
      <c r="C93" s="8">
        <f t="shared" si="2"/>
        <v>45855</v>
      </c>
      <c r="D93" t="s">
        <v>361</v>
      </c>
      <c r="E93" t="s">
        <v>151</v>
      </c>
      <c r="F93" t="s">
        <v>533</v>
      </c>
      <c r="G93">
        <v>1</v>
      </c>
      <c r="H93">
        <v>241</v>
      </c>
      <c r="I93" t="str">
        <f>IF(VLOOKUP(D93,Customers!A:E,5,FALSE)&gt;=1000,"YES","NO")</f>
        <v>NO</v>
      </c>
      <c r="J93">
        <f t="shared" si="3"/>
        <v>241</v>
      </c>
      <c r="K93">
        <f>(J93 - VLOOKUP(F93,Desserts!A:D,4,FALSE)) * G93</f>
        <v>174</v>
      </c>
    </row>
    <row r="94" spans="1:11" x14ac:dyDescent="0.3">
      <c r="A94" t="s">
        <v>803</v>
      </c>
      <c r="B94" s="8">
        <v>45677</v>
      </c>
      <c r="C94" s="8">
        <f t="shared" si="2"/>
        <v>45677</v>
      </c>
      <c r="D94" t="s">
        <v>443</v>
      </c>
      <c r="E94" t="s">
        <v>109</v>
      </c>
      <c r="F94" t="s">
        <v>619</v>
      </c>
      <c r="G94">
        <v>2</v>
      </c>
      <c r="H94">
        <v>183</v>
      </c>
      <c r="I94" t="str">
        <f>IF(VLOOKUP(D94,Customers!A:E,5,FALSE)&gt;=1000,"YES","NO")</f>
        <v>YES</v>
      </c>
      <c r="J94">
        <f t="shared" si="3"/>
        <v>91.5</v>
      </c>
      <c r="K94">
        <f>(J94 - VLOOKUP(F94,Desserts!A:D,4,FALSE)) * G94</f>
        <v>21</v>
      </c>
    </row>
    <row r="95" spans="1:11" x14ac:dyDescent="0.3">
      <c r="A95" t="s">
        <v>805</v>
      </c>
      <c r="B95" s="8">
        <v>45683</v>
      </c>
      <c r="C95" s="8">
        <f t="shared" si="2"/>
        <v>45683</v>
      </c>
      <c r="D95" t="s">
        <v>491</v>
      </c>
      <c r="E95" t="s">
        <v>20</v>
      </c>
      <c r="F95" t="s">
        <v>595</v>
      </c>
      <c r="G95">
        <v>2</v>
      </c>
      <c r="H95">
        <v>196</v>
      </c>
      <c r="I95" t="str">
        <f>IF(VLOOKUP(D95,Customers!A:E,5,FALSE)&gt;=1000,"YES","NO")</f>
        <v>NO</v>
      </c>
      <c r="J95">
        <f t="shared" si="3"/>
        <v>196</v>
      </c>
      <c r="K95">
        <f>(J95 - VLOOKUP(F95,Desserts!A:D,4,FALSE)) * G95</f>
        <v>252</v>
      </c>
    </row>
    <row r="96" spans="1:11" x14ac:dyDescent="0.3">
      <c r="A96" t="s">
        <v>807</v>
      </c>
      <c r="B96" s="8">
        <v>45899</v>
      </c>
      <c r="C96" s="8">
        <f t="shared" si="2"/>
        <v>45899</v>
      </c>
      <c r="D96" t="s">
        <v>331</v>
      </c>
      <c r="E96" t="s">
        <v>223</v>
      </c>
      <c r="F96" t="s">
        <v>529</v>
      </c>
      <c r="G96">
        <v>1</v>
      </c>
      <c r="H96">
        <v>126</v>
      </c>
      <c r="I96" t="str">
        <f>IF(VLOOKUP(D96,Customers!A:E,5,FALSE)&gt;=1000,"YES","NO")</f>
        <v>YES</v>
      </c>
      <c r="J96">
        <f t="shared" si="3"/>
        <v>63</v>
      </c>
      <c r="K96">
        <f>(J96 - VLOOKUP(F96,Desserts!A:D,4,FALSE)) * G96</f>
        <v>-5</v>
      </c>
    </row>
    <row r="97" spans="1:11" x14ac:dyDescent="0.3">
      <c r="A97" t="s">
        <v>809</v>
      </c>
      <c r="B97" s="8">
        <v>46019</v>
      </c>
      <c r="C97" s="8">
        <f t="shared" si="2"/>
        <v>46019</v>
      </c>
      <c r="D97" t="s">
        <v>419</v>
      </c>
      <c r="E97" t="s">
        <v>250</v>
      </c>
      <c r="F97" t="s">
        <v>611</v>
      </c>
      <c r="G97">
        <v>4</v>
      </c>
      <c r="H97">
        <v>206</v>
      </c>
      <c r="I97" t="str">
        <f>IF(VLOOKUP(D97,Customers!A:E,5,FALSE)&gt;=1000,"YES","NO")</f>
        <v>NO</v>
      </c>
      <c r="J97">
        <f t="shared" si="3"/>
        <v>206</v>
      </c>
      <c r="K97">
        <f>(J97 - VLOOKUP(F97,Desserts!A:D,4,FALSE)) * G97</f>
        <v>652</v>
      </c>
    </row>
    <row r="98" spans="1:11" x14ac:dyDescent="0.3">
      <c r="A98" t="s">
        <v>811</v>
      </c>
      <c r="B98" s="8">
        <v>45746</v>
      </c>
      <c r="C98" s="8">
        <f t="shared" si="2"/>
        <v>45746</v>
      </c>
      <c r="D98" t="s">
        <v>387</v>
      </c>
      <c r="E98" t="s">
        <v>208</v>
      </c>
      <c r="F98" t="s">
        <v>545</v>
      </c>
      <c r="G98">
        <v>1</v>
      </c>
      <c r="H98">
        <v>198</v>
      </c>
      <c r="I98" t="str">
        <f>IF(VLOOKUP(D98,Customers!A:E,5,FALSE)&gt;=1000,"YES","NO")</f>
        <v>NO</v>
      </c>
      <c r="J98">
        <f t="shared" si="3"/>
        <v>198</v>
      </c>
      <c r="K98">
        <f>(J98 - VLOOKUP(F98,Desserts!A:D,4,FALSE)) * G98</f>
        <v>153</v>
      </c>
    </row>
    <row r="99" spans="1:11" x14ac:dyDescent="0.3">
      <c r="A99" t="s">
        <v>813</v>
      </c>
      <c r="B99" s="8">
        <v>45875</v>
      </c>
      <c r="C99" s="8">
        <f t="shared" si="2"/>
        <v>45875</v>
      </c>
      <c r="D99" t="s">
        <v>385</v>
      </c>
      <c r="E99" t="s">
        <v>265</v>
      </c>
      <c r="F99" t="s">
        <v>537</v>
      </c>
      <c r="G99">
        <v>2</v>
      </c>
      <c r="H99">
        <v>218</v>
      </c>
      <c r="I99" t="str">
        <f>IF(VLOOKUP(D99,Customers!A:E,5,FALSE)&gt;=1000,"YES","NO")</f>
        <v>YES</v>
      </c>
      <c r="J99">
        <f t="shared" si="3"/>
        <v>109</v>
      </c>
      <c r="K99">
        <f>(J99 - VLOOKUP(F99,Desserts!A:D,4,FALSE)) * G99</f>
        <v>50</v>
      </c>
    </row>
    <row r="100" spans="1:11" x14ac:dyDescent="0.3">
      <c r="A100" t="s">
        <v>815</v>
      </c>
      <c r="B100" s="8">
        <v>46020</v>
      </c>
      <c r="C100" s="8">
        <f t="shared" si="2"/>
        <v>46020</v>
      </c>
      <c r="D100" t="s">
        <v>443</v>
      </c>
      <c r="E100" t="s">
        <v>24</v>
      </c>
      <c r="F100" t="s">
        <v>607</v>
      </c>
      <c r="G100">
        <v>4</v>
      </c>
      <c r="H100">
        <v>193</v>
      </c>
      <c r="I100" t="str">
        <f>IF(VLOOKUP(D100,Customers!A:E,5,FALSE)&gt;=1000,"YES","NO")</f>
        <v>YES</v>
      </c>
      <c r="J100">
        <f t="shared" si="3"/>
        <v>96.5</v>
      </c>
      <c r="K100">
        <f>(J100 - VLOOKUP(F100,Desserts!A:D,4,FALSE)) * G100</f>
        <v>106</v>
      </c>
    </row>
    <row r="101" spans="1:11" x14ac:dyDescent="0.3">
      <c r="A101" t="s">
        <v>817</v>
      </c>
      <c r="B101" s="8">
        <v>46024</v>
      </c>
      <c r="C101" s="8">
        <f t="shared" si="2"/>
        <v>46024</v>
      </c>
      <c r="D101" t="s">
        <v>411</v>
      </c>
      <c r="E101" t="s">
        <v>112</v>
      </c>
      <c r="F101" t="s">
        <v>531</v>
      </c>
      <c r="G101">
        <v>3</v>
      </c>
      <c r="H101">
        <v>240</v>
      </c>
      <c r="I101" t="str">
        <f>IF(VLOOKUP(D101,Customers!A:E,5,FALSE)&gt;=1000,"YES","NO")</f>
        <v>NO</v>
      </c>
      <c r="J101">
        <f t="shared" si="3"/>
        <v>240</v>
      </c>
      <c r="K101">
        <f>(J101 - VLOOKUP(F101,Desserts!A:D,4,FALSE)) * G101</f>
        <v>465</v>
      </c>
    </row>
    <row r="102" spans="1:11" x14ac:dyDescent="0.3">
      <c r="A102" t="s">
        <v>819</v>
      </c>
      <c r="B102" s="8">
        <v>45726</v>
      </c>
      <c r="C102" s="8">
        <f t="shared" si="2"/>
        <v>45726</v>
      </c>
      <c r="D102" t="s">
        <v>341</v>
      </c>
      <c r="E102" t="s">
        <v>286</v>
      </c>
      <c r="F102" t="s">
        <v>541</v>
      </c>
      <c r="G102">
        <v>5</v>
      </c>
      <c r="H102">
        <v>107</v>
      </c>
      <c r="I102" t="str">
        <f>IF(VLOOKUP(D102,Customers!A:E,5,FALSE)&gt;=1000,"YES","NO")</f>
        <v>YES</v>
      </c>
      <c r="J102">
        <f t="shared" si="3"/>
        <v>53.5</v>
      </c>
      <c r="K102">
        <f>(J102 - VLOOKUP(F102,Desserts!A:D,4,FALSE)) * G102</f>
        <v>-17.5</v>
      </c>
    </row>
    <row r="103" spans="1:11" x14ac:dyDescent="0.3">
      <c r="A103" t="s">
        <v>821</v>
      </c>
      <c r="B103" s="8">
        <v>45950</v>
      </c>
      <c r="C103" s="8">
        <f t="shared" si="2"/>
        <v>45950</v>
      </c>
      <c r="D103" t="s">
        <v>387</v>
      </c>
      <c r="E103" t="s">
        <v>97</v>
      </c>
      <c r="F103" t="s">
        <v>601</v>
      </c>
      <c r="G103">
        <v>3</v>
      </c>
      <c r="H103">
        <v>158</v>
      </c>
      <c r="I103" t="str">
        <f>IF(VLOOKUP(D103,Customers!A:E,5,FALSE)&gt;=1000,"YES","NO")</f>
        <v>NO</v>
      </c>
      <c r="J103">
        <f t="shared" si="3"/>
        <v>158</v>
      </c>
      <c r="K103">
        <f>(J103 - VLOOKUP(F103,Desserts!A:D,4,FALSE)) * G103</f>
        <v>309</v>
      </c>
    </row>
    <row r="104" spans="1:11" x14ac:dyDescent="0.3">
      <c r="A104" t="s">
        <v>823</v>
      </c>
      <c r="B104" s="8">
        <v>46013</v>
      </c>
      <c r="C104" s="8">
        <f t="shared" si="2"/>
        <v>46013</v>
      </c>
      <c r="D104" t="s">
        <v>365</v>
      </c>
      <c r="E104" t="s">
        <v>172</v>
      </c>
      <c r="F104" t="s">
        <v>531</v>
      </c>
      <c r="G104">
        <v>5</v>
      </c>
      <c r="H104">
        <v>111</v>
      </c>
      <c r="I104" t="str">
        <f>IF(VLOOKUP(D104,Customers!A:E,5,FALSE)&gt;=1000,"YES","NO")</f>
        <v>NO</v>
      </c>
      <c r="J104">
        <f t="shared" si="3"/>
        <v>111</v>
      </c>
      <c r="K104">
        <f>(J104 - VLOOKUP(F104,Desserts!A:D,4,FALSE)) * G104</f>
        <v>130</v>
      </c>
    </row>
    <row r="105" spans="1:11" x14ac:dyDescent="0.3">
      <c r="A105" t="s">
        <v>825</v>
      </c>
      <c r="B105" s="8">
        <v>45760</v>
      </c>
      <c r="C105" s="8">
        <f t="shared" si="2"/>
        <v>45760</v>
      </c>
      <c r="D105" t="s">
        <v>355</v>
      </c>
      <c r="E105" t="s">
        <v>37</v>
      </c>
      <c r="F105" t="s">
        <v>589</v>
      </c>
      <c r="G105">
        <v>4</v>
      </c>
      <c r="H105">
        <v>124</v>
      </c>
      <c r="I105" t="str">
        <f>IF(VLOOKUP(D105,Customers!A:E,5,FALSE)&gt;=1000,"YES","NO")</f>
        <v>YES</v>
      </c>
      <c r="J105">
        <f t="shared" si="3"/>
        <v>62</v>
      </c>
      <c r="K105">
        <f>(J105 - VLOOKUP(F105,Desserts!A:D,4,FALSE)) * G105</f>
        <v>-36</v>
      </c>
    </row>
    <row r="106" spans="1:11" x14ac:dyDescent="0.3">
      <c r="A106" t="s">
        <v>827</v>
      </c>
      <c r="B106" s="8">
        <v>45861</v>
      </c>
      <c r="C106" s="8">
        <f t="shared" si="2"/>
        <v>45861</v>
      </c>
      <c r="D106" t="s">
        <v>365</v>
      </c>
      <c r="E106" t="s">
        <v>274</v>
      </c>
      <c r="F106" t="s">
        <v>529</v>
      </c>
      <c r="G106">
        <v>3</v>
      </c>
      <c r="H106">
        <v>181</v>
      </c>
      <c r="I106" t="str">
        <f>IF(VLOOKUP(D106,Customers!A:E,5,FALSE)&gt;=1000,"YES","NO")</f>
        <v>NO</v>
      </c>
      <c r="J106">
        <f t="shared" si="3"/>
        <v>181</v>
      </c>
      <c r="K106">
        <f>(J106 - VLOOKUP(F106,Desserts!A:D,4,FALSE)) * G106</f>
        <v>339</v>
      </c>
    </row>
    <row r="107" spans="1:11" x14ac:dyDescent="0.3">
      <c r="A107" t="s">
        <v>829</v>
      </c>
      <c r="B107" s="8">
        <v>46044</v>
      </c>
      <c r="C107" s="8">
        <f t="shared" si="2"/>
        <v>46044</v>
      </c>
      <c r="D107" t="s">
        <v>425</v>
      </c>
      <c r="E107" t="s">
        <v>72</v>
      </c>
      <c r="F107" t="s">
        <v>573</v>
      </c>
      <c r="G107">
        <v>5</v>
      </c>
      <c r="H107">
        <v>182</v>
      </c>
      <c r="I107" t="str">
        <f>IF(VLOOKUP(D107,Customers!A:E,5,FALSE)&gt;=1000,"YES","NO")</f>
        <v>NO</v>
      </c>
      <c r="J107">
        <f t="shared" si="3"/>
        <v>182</v>
      </c>
      <c r="K107">
        <f>(J107 - VLOOKUP(F107,Desserts!A:D,4,FALSE)) * G107</f>
        <v>660</v>
      </c>
    </row>
    <row r="108" spans="1:11" x14ac:dyDescent="0.3">
      <c r="A108" t="s">
        <v>831</v>
      </c>
      <c r="B108" s="8">
        <v>45658</v>
      </c>
      <c r="C108" s="8">
        <f t="shared" si="2"/>
        <v>45658</v>
      </c>
      <c r="D108" t="s">
        <v>439</v>
      </c>
      <c r="E108" t="s">
        <v>184</v>
      </c>
      <c r="F108" t="s">
        <v>579</v>
      </c>
      <c r="G108">
        <v>3</v>
      </c>
      <c r="H108">
        <v>124</v>
      </c>
      <c r="I108" t="str">
        <f>IF(VLOOKUP(D108,Customers!A:E,5,FALSE)&gt;=1000,"YES","NO")</f>
        <v>YES</v>
      </c>
      <c r="J108">
        <f t="shared" si="3"/>
        <v>62</v>
      </c>
      <c r="K108">
        <f>(J108 - VLOOKUP(F108,Desserts!A:D,4,FALSE)) * G108</f>
        <v>0</v>
      </c>
    </row>
    <row r="109" spans="1:11" x14ac:dyDescent="0.3">
      <c r="A109" t="s">
        <v>833</v>
      </c>
      <c r="B109" s="8">
        <v>45908</v>
      </c>
      <c r="C109" s="8">
        <f t="shared" si="2"/>
        <v>45908</v>
      </c>
      <c r="D109" t="s">
        <v>457</v>
      </c>
      <c r="E109" t="s">
        <v>295</v>
      </c>
      <c r="F109" t="s">
        <v>569</v>
      </c>
      <c r="G109">
        <v>4</v>
      </c>
      <c r="H109">
        <v>177</v>
      </c>
      <c r="I109" t="str">
        <f>IF(VLOOKUP(D109,Customers!A:E,5,FALSE)&gt;=1000,"YES","NO")</f>
        <v>YES</v>
      </c>
      <c r="J109">
        <f t="shared" si="3"/>
        <v>88.5</v>
      </c>
      <c r="K109">
        <f>(J109 - VLOOKUP(F109,Desserts!A:D,4,FALSE)) * G109</f>
        <v>46</v>
      </c>
    </row>
    <row r="110" spans="1:11" x14ac:dyDescent="0.3">
      <c r="A110" t="s">
        <v>835</v>
      </c>
      <c r="B110" s="8">
        <v>45756</v>
      </c>
      <c r="C110" s="8">
        <f t="shared" si="2"/>
        <v>45756</v>
      </c>
      <c r="D110" t="s">
        <v>397</v>
      </c>
      <c r="E110" t="s">
        <v>88</v>
      </c>
      <c r="F110" t="s">
        <v>613</v>
      </c>
      <c r="G110">
        <v>3</v>
      </c>
      <c r="H110">
        <v>112</v>
      </c>
      <c r="I110" t="str">
        <f>IF(VLOOKUP(D110,Customers!A:E,5,FALSE)&gt;=1000,"YES","NO")</f>
        <v>NO</v>
      </c>
      <c r="J110">
        <f t="shared" si="3"/>
        <v>112</v>
      </c>
      <c r="K110">
        <f>(J110 - VLOOKUP(F110,Desserts!A:D,4,FALSE)) * G110</f>
        <v>81</v>
      </c>
    </row>
    <row r="111" spans="1:11" x14ac:dyDescent="0.3">
      <c r="A111" t="s">
        <v>836</v>
      </c>
      <c r="B111" s="8">
        <v>46046</v>
      </c>
      <c r="C111" s="8">
        <f t="shared" si="2"/>
        <v>46046</v>
      </c>
      <c r="D111" t="s">
        <v>343</v>
      </c>
      <c r="E111" t="s">
        <v>205</v>
      </c>
      <c r="F111" t="s">
        <v>563</v>
      </c>
      <c r="G111">
        <v>4</v>
      </c>
      <c r="H111">
        <v>233</v>
      </c>
      <c r="I111" t="str">
        <f>IF(VLOOKUP(D111,Customers!A:E,5,FALSE)&gt;=1000,"YES","NO")</f>
        <v>YES</v>
      </c>
      <c r="J111">
        <f t="shared" si="3"/>
        <v>116.5</v>
      </c>
      <c r="K111">
        <f>(J111 - VLOOKUP(F111,Desserts!A:D,4,FALSE)) * G111</f>
        <v>206</v>
      </c>
    </row>
    <row r="112" spans="1:11" x14ac:dyDescent="0.3">
      <c r="A112" t="s">
        <v>838</v>
      </c>
      <c r="B112" s="8">
        <v>45720</v>
      </c>
      <c r="C112" s="8">
        <f t="shared" si="2"/>
        <v>45720</v>
      </c>
      <c r="D112" t="s">
        <v>321</v>
      </c>
      <c r="E112" t="s">
        <v>115</v>
      </c>
      <c r="F112" t="s">
        <v>537</v>
      </c>
      <c r="G112">
        <v>3</v>
      </c>
      <c r="H112">
        <v>182</v>
      </c>
      <c r="I112" t="str">
        <f>IF(VLOOKUP(D112,Customers!A:E,5,FALSE)&gt;=1000,"YES","NO")</f>
        <v>NO</v>
      </c>
      <c r="J112">
        <f t="shared" si="3"/>
        <v>182</v>
      </c>
      <c r="K112">
        <f>(J112 - VLOOKUP(F112,Desserts!A:D,4,FALSE)) * G112</f>
        <v>294</v>
      </c>
    </row>
    <row r="113" spans="1:11" x14ac:dyDescent="0.3">
      <c r="A113" t="s">
        <v>840</v>
      </c>
      <c r="B113" s="8">
        <v>45774</v>
      </c>
      <c r="C113" s="8">
        <f t="shared" si="2"/>
        <v>45774</v>
      </c>
      <c r="D113" t="s">
        <v>505</v>
      </c>
      <c r="E113" t="s">
        <v>63</v>
      </c>
      <c r="F113" t="s">
        <v>577</v>
      </c>
      <c r="G113">
        <v>3</v>
      </c>
      <c r="H113">
        <v>171</v>
      </c>
      <c r="I113" t="str">
        <f>IF(VLOOKUP(D113,Customers!A:E,5,FALSE)&gt;=1000,"YES","NO")</f>
        <v>YES</v>
      </c>
      <c r="J113">
        <f t="shared" si="3"/>
        <v>85.5</v>
      </c>
      <c r="K113">
        <f>(J113 - VLOOKUP(F113,Desserts!A:D,4,FALSE)) * G113</f>
        <v>46.5</v>
      </c>
    </row>
    <row r="114" spans="1:11" x14ac:dyDescent="0.3">
      <c r="A114" t="s">
        <v>841</v>
      </c>
      <c r="B114" s="8">
        <v>45867</v>
      </c>
      <c r="C114" s="8">
        <f t="shared" si="2"/>
        <v>45867</v>
      </c>
      <c r="D114" t="s">
        <v>513</v>
      </c>
      <c r="E114" t="s">
        <v>106</v>
      </c>
      <c r="F114" t="s">
        <v>579</v>
      </c>
      <c r="G114">
        <v>2</v>
      </c>
      <c r="H114">
        <v>154</v>
      </c>
      <c r="I114" t="str">
        <f>IF(VLOOKUP(D114,Customers!A:E,5,FALSE)&gt;=1000,"YES","NO")</f>
        <v>YES</v>
      </c>
      <c r="J114">
        <f t="shared" si="3"/>
        <v>77</v>
      </c>
      <c r="K114">
        <f>(J114 - VLOOKUP(F114,Desserts!A:D,4,FALSE)) * G114</f>
        <v>30</v>
      </c>
    </row>
    <row r="115" spans="1:11" x14ac:dyDescent="0.3">
      <c r="A115" t="s">
        <v>843</v>
      </c>
      <c r="B115" s="8">
        <v>45811</v>
      </c>
      <c r="C115" s="8">
        <f t="shared" si="2"/>
        <v>45811</v>
      </c>
      <c r="D115" t="s">
        <v>437</v>
      </c>
      <c r="E115" t="s">
        <v>76</v>
      </c>
      <c r="F115" t="s">
        <v>567</v>
      </c>
      <c r="G115">
        <v>5</v>
      </c>
      <c r="H115">
        <v>228</v>
      </c>
      <c r="I115" t="str">
        <f>IF(VLOOKUP(D115,Customers!A:E,5,FALSE)&gt;=1000,"YES","NO")</f>
        <v>NO</v>
      </c>
      <c r="J115">
        <f t="shared" si="3"/>
        <v>228</v>
      </c>
      <c r="K115">
        <f>(J115 - VLOOKUP(F115,Desserts!A:D,4,FALSE)) * G115</f>
        <v>860</v>
      </c>
    </row>
    <row r="116" spans="1:11" x14ac:dyDescent="0.3">
      <c r="A116" t="s">
        <v>845</v>
      </c>
      <c r="B116" s="8">
        <v>45748</v>
      </c>
      <c r="C116" s="8">
        <f t="shared" si="2"/>
        <v>45748</v>
      </c>
      <c r="D116" t="s">
        <v>415</v>
      </c>
      <c r="E116" t="s">
        <v>37</v>
      </c>
      <c r="F116" t="s">
        <v>573</v>
      </c>
      <c r="G116">
        <v>2</v>
      </c>
      <c r="H116">
        <v>131</v>
      </c>
      <c r="I116" t="str">
        <f>IF(VLOOKUP(D116,Customers!A:E,5,FALSE)&gt;=1000,"YES","NO")</f>
        <v>YES</v>
      </c>
      <c r="J116">
        <f t="shared" si="3"/>
        <v>65.5</v>
      </c>
      <c r="K116">
        <f>(J116 - VLOOKUP(F116,Desserts!A:D,4,FALSE)) * G116</f>
        <v>31</v>
      </c>
    </row>
    <row r="117" spans="1:11" x14ac:dyDescent="0.3">
      <c r="A117" t="s">
        <v>846</v>
      </c>
      <c r="B117" s="8">
        <v>45808</v>
      </c>
      <c r="C117" s="8">
        <f t="shared" si="2"/>
        <v>45808</v>
      </c>
      <c r="D117" t="s">
        <v>341</v>
      </c>
      <c r="E117" t="s">
        <v>256</v>
      </c>
      <c r="F117" t="s">
        <v>605</v>
      </c>
      <c r="G117">
        <v>5</v>
      </c>
      <c r="H117">
        <v>235</v>
      </c>
      <c r="I117" t="str">
        <f>IF(VLOOKUP(D117,Customers!A:E,5,FALSE)&gt;=1000,"YES","NO")</f>
        <v>YES</v>
      </c>
      <c r="J117">
        <f t="shared" si="3"/>
        <v>117.5</v>
      </c>
      <c r="K117">
        <f>(J117 - VLOOKUP(F117,Desserts!A:D,4,FALSE)) * G117</f>
        <v>277.5</v>
      </c>
    </row>
    <row r="118" spans="1:11" x14ac:dyDescent="0.3">
      <c r="A118" t="s">
        <v>848</v>
      </c>
      <c r="B118" s="8">
        <v>45703</v>
      </c>
      <c r="C118" s="8">
        <f t="shared" si="2"/>
        <v>45703</v>
      </c>
      <c r="D118" t="s">
        <v>491</v>
      </c>
      <c r="E118" t="s">
        <v>184</v>
      </c>
      <c r="F118" t="s">
        <v>601</v>
      </c>
      <c r="G118">
        <v>2</v>
      </c>
      <c r="H118">
        <v>250</v>
      </c>
      <c r="I118" t="str">
        <f>IF(VLOOKUP(D118,Customers!A:E,5,FALSE)&gt;=1000,"YES","NO")</f>
        <v>NO</v>
      </c>
      <c r="J118">
        <f t="shared" si="3"/>
        <v>250</v>
      </c>
      <c r="K118">
        <f>(J118 - VLOOKUP(F118,Desserts!A:D,4,FALSE)) * G118</f>
        <v>390</v>
      </c>
    </row>
    <row r="119" spans="1:11" x14ac:dyDescent="0.3">
      <c r="A119" t="s">
        <v>850</v>
      </c>
      <c r="B119" s="8">
        <v>45834</v>
      </c>
      <c r="C119" s="8">
        <f t="shared" si="2"/>
        <v>45834</v>
      </c>
      <c r="D119" t="s">
        <v>425</v>
      </c>
      <c r="E119" t="s">
        <v>166</v>
      </c>
      <c r="F119" t="s">
        <v>531</v>
      </c>
      <c r="G119">
        <v>1</v>
      </c>
      <c r="H119">
        <v>242</v>
      </c>
      <c r="I119" t="str">
        <f>IF(VLOOKUP(D119,Customers!A:E,5,FALSE)&gt;=1000,"YES","NO")</f>
        <v>NO</v>
      </c>
      <c r="J119">
        <f t="shared" si="3"/>
        <v>242</v>
      </c>
      <c r="K119">
        <f>(J119 - VLOOKUP(F119,Desserts!A:D,4,FALSE)) * G119</f>
        <v>157</v>
      </c>
    </row>
    <row r="120" spans="1:11" x14ac:dyDescent="0.3">
      <c r="A120" t="s">
        <v>851</v>
      </c>
      <c r="B120" s="8">
        <v>45956</v>
      </c>
      <c r="C120" s="8">
        <f t="shared" si="2"/>
        <v>45956</v>
      </c>
      <c r="D120" t="s">
        <v>507</v>
      </c>
      <c r="E120" t="s">
        <v>100</v>
      </c>
      <c r="F120" t="s">
        <v>601</v>
      </c>
      <c r="G120">
        <v>5</v>
      </c>
      <c r="H120">
        <v>148</v>
      </c>
      <c r="I120" t="str">
        <f>IF(VLOOKUP(D120,Customers!A:E,5,FALSE)&gt;=1000,"YES","NO")</f>
        <v>NO</v>
      </c>
      <c r="J120">
        <f t="shared" si="3"/>
        <v>148</v>
      </c>
      <c r="K120">
        <f>(J120 - VLOOKUP(F120,Desserts!A:D,4,FALSE)) * G120</f>
        <v>465</v>
      </c>
    </row>
    <row r="121" spans="1:11" x14ac:dyDescent="0.3">
      <c r="A121" t="s">
        <v>853</v>
      </c>
      <c r="B121" s="8">
        <v>45720</v>
      </c>
      <c r="C121" s="8">
        <f t="shared" si="2"/>
        <v>45720</v>
      </c>
      <c r="D121" t="s">
        <v>405</v>
      </c>
      <c r="E121" t="s">
        <v>103</v>
      </c>
      <c r="F121" t="s">
        <v>575</v>
      </c>
      <c r="G121">
        <v>4</v>
      </c>
      <c r="H121">
        <v>240</v>
      </c>
      <c r="I121" t="str">
        <f>IF(VLOOKUP(D121,Customers!A:E,5,FALSE)&gt;=1000,"YES","NO")</f>
        <v>YES</v>
      </c>
      <c r="J121">
        <f t="shared" si="3"/>
        <v>120</v>
      </c>
      <c r="K121">
        <f>(J121 - VLOOKUP(F121,Desserts!A:D,4,FALSE)) * G121</f>
        <v>180</v>
      </c>
    </row>
    <row r="122" spans="1:11" x14ac:dyDescent="0.3">
      <c r="A122" t="s">
        <v>854</v>
      </c>
      <c r="B122" s="8">
        <v>45660</v>
      </c>
      <c r="C122" s="8">
        <f t="shared" si="2"/>
        <v>45660</v>
      </c>
      <c r="D122" t="s">
        <v>477</v>
      </c>
      <c r="E122" t="s">
        <v>118</v>
      </c>
      <c r="F122" t="s">
        <v>607</v>
      </c>
      <c r="G122">
        <v>4</v>
      </c>
      <c r="H122">
        <v>109</v>
      </c>
      <c r="I122" t="str">
        <f>IF(VLOOKUP(D122,Customers!A:E,5,FALSE)&gt;=1000,"YES","NO")</f>
        <v>YES</v>
      </c>
      <c r="J122">
        <f t="shared" si="3"/>
        <v>54.5</v>
      </c>
      <c r="K122">
        <f>(J122 - VLOOKUP(F122,Desserts!A:D,4,FALSE)) * G122</f>
        <v>-62</v>
      </c>
    </row>
    <row r="123" spans="1:11" x14ac:dyDescent="0.3">
      <c r="A123" t="s">
        <v>855</v>
      </c>
      <c r="B123" s="8">
        <v>45772</v>
      </c>
      <c r="C123" s="8">
        <f t="shared" si="2"/>
        <v>45772</v>
      </c>
      <c r="D123" t="s">
        <v>453</v>
      </c>
      <c r="E123" t="s">
        <v>277</v>
      </c>
      <c r="F123" t="s">
        <v>571</v>
      </c>
      <c r="G123">
        <v>5</v>
      </c>
      <c r="H123">
        <v>218</v>
      </c>
      <c r="I123" t="str">
        <f>IF(VLOOKUP(D123,Customers!A:E,5,FALSE)&gt;=1000,"YES","NO")</f>
        <v>YES</v>
      </c>
      <c r="J123">
        <f t="shared" si="3"/>
        <v>109</v>
      </c>
      <c r="K123">
        <f>(J123 - VLOOKUP(F123,Desserts!A:D,4,FALSE)) * G123</f>
        <v>340</v>
      </c>
    </row>
    <row r="124" spans="1:11" x14ac:dyDescent="0.3">
      <c r="A124" t="s">
        <v>857</v>
      </c>
      <c r="B124" s="8">
        <v>45984</v>
      </c>
      <c r="C124" s="8">
        <f t="shared" si="2"/>
        <v>45984</v>
      </c>
      <c r="D124" t="s">
        <v>497</v>
      </c>
      <c r="E124" t="s">
        <v>136</v>
      </c>
      <c r="F124" t="s">
        <v>537</v>
      </c>
      <c r="G124">
        <v>1</v>
      </c>
      <c r="H124">
        <v>198</v>
      </c>
      <c r="I124" t="str">
        <f>IF(VLOOKUP(D124,Customers!A:E,5,FALSE)&gt;=1000,"YES","NO")</f>
        <v>NO</v>
      </c>
      <c r="J124">
        <f t="shared" si="3"/>
        <v>198</v>
      </c>
      <c r="K124">
        <f>(J124 - VLOOKUP(F124,Desserts!A:D,4,FALSE)) * G124</f>
        <v>114</v>
      </c>
    </row>
    <row r="125" spans="1:11" x14ac:dyDescent="0.3">
      <c r="A125" t="s">
        <v>858</v>
      </c>
      <c r="B125" s="8">
        <v>45828</v>
      </c>
      <c r="C125" s="8">
        <f t="shared" si="2"/>
        <v>45828</v>
      </c>
      <c r="D125" t="s">
        <v>513</v>
      </c>
      <c r="E125" t="s">
        <v>307</v>
      </c>
      <c r="F125" t="s">
        <v>619</v>
      </c>
      <c r="G125">
        <v>5</v>
      </c>
      <c r="H125">
        <v>117</v>
      </c>
      <c r="I125" t="str">
        <f>IF(VLOOKUP(D125,Customers!A:E,5,FALSE)&gt;=1000,"YES","NO")</f>
        <v>YES</v>
      </c>
      <c r="J125">
        <f t="shared" si="3"/>
        <v>58.5</v>
      </c>
      <c r="K125">
        <f>(J125 - VLOOKUP(F125,Desserts!A:D,4,FALSE)) * G125</f>
        <v>-112.5</v>
      </c>
    </row>
    <row r="126" spans="1:11" x14ac:dyDescent="0.3">
      <c r="A126" t="s">
        <v>860</v>
      </c>
      <c r="B126" s="8">
        <v>45841</v>
      </c>
      <c r="C126" s="8">
        <f t="shared" si="2"/>
        <v>45841</v>
      </c>
      <c r="D126" t="s">
        <v>363</v>
      </c>
      <c r="E126" t="s">
        <v>94</v>
      </c>
      <c r="F126" t="s">
        <v>547</v>
      </c>
      <c r="G126">
        <v>1</v>
      </c>
      <c r="H126">
        <v>131</v>
      </c>
      <c r="I126" t="str">
        <f>IF(VLOOKUP(D126,Customers!A:E,5,FALSE)&gt;=1000,"YES","NO")</f>
        <v>YES</v>
      </c>
      <c r="J126">
        <f t="shared" si="3"/>
        <v>65.5</v>
      </c>
      <c r="K126">
        <f>(J126 - VLOOKUP(F126,Desserts!A:D,4,FALSE)) * G126</f>
        <v>15.5</v>
      </c>
    </row>
    <row r="127" spans="1:11" x14ac:dyDescent="0.3">
      <c r="A127" t="s">
        <v>862</v>
      </c>
      <c r="B127" s="8">
        <v>45962</v>
      </c>
      <c r="C127" s="8">
        <f t="shared" si="2"/>
        <v>45962</v>
      </c>
      <c r="D127" t="s">
        <v>501</v>
      </c>
      <c r="E127" t="s">
        <v>304</v>
      </c>
      <c r="F127" t="s">
        <v>577</v>
      </c>
      <c r="G127">
        <v>5</v>
      </c>
      <c r="H127">
        <v>230</v>
      </c>
      <c r="I127" t="str">
        <f>IF(VLOOKUP(D127,Customers!A:E,5,FALSE)&gt;=1000,"YES","NO")</f>
        <v>YES</v>
      </c>
      <c r="J127">
        <f t="shared" si="3"/>
        <v>115</v>
      </c>
      <c r="K127">
        <f>(J127 - VLOOKUP(F127,Desserts!A:D,4,FALSE)) * G127</f>
        <v>225</v>
      </c>
    </row>
    <row r="128" spans="1:11" x14ac:dyDescent="0.3">
      <c r="A128" t="s">
        <v>863</v>
      </c>
      <c r="B128" s="8">
        <v>45785</v>
      </c>
      <c r="C128" s="8">
        <f t="shared" si="2"/>
        <v>45785</v>
      </c>
      <c r="D128" t="s">
        <v>415</v>
      </c>
      <c r="E128" t="s">
        <v>154</v>
      </c>
      <c r="F128" t="s">
        <v>543</v>
      </c>
      <c r="G128">
        <v>3</v>
      </c>
      <c r="H128">
        <v>114</v>
      </c>
      <c r="I128" t="str">
        <f>IF(VLOOKUP(D128,Customers!A:E,5,FALSE)&gt;=1000,"YES","NO")</f>
        <v>YES</v>
      </c>
      <c r="J128">
        <f t="shared" si="3"/>
        <v>57</v>
      </c>
      <c r="K128">
        <f>(J128 - VLOOKUP(F128,Desserts!A:D,4,FALSE)) * G128</f>
        <v>-48</v>
      </c>
    </row>
    <row r="129" spans="1:11" x14ac:dyDescent="0.3">
      <c r="A129" t="s">
        <v>865</v>
      </c>
      <c r="B129" s="8">
        <v>45776</v>
      </c>
      <c r="C129" s="8">
        <f t="shared" si="2"/>
        <v>45776</v>
      </c>
      <c r="D129" t="s">
        <v>351</v>
      </c>
      <c r="E129" t="s">
        <v>310</v>
      </c>
      <c r="F129" t="s">
        <v>545</v>
      </c>
      <c r="G129">
        <v>2</v>
      </c>
      <c r="H129">
        <v>180</v>
      </c>
      <c r="I129" t="str">
        <f>IF(VLOOKUP(D129,Customers!A:E,5,FALSE)&gt;=1000,"YES","NO")</f>
        <v>NO</v>
      </c>
      <c r="J129">
        <f t="shared" si="3"/>
        <v>180</v>
      </c>
      <c r="K129">
        <f>(J129 - VLOOKUP(F129,Desserts!A:D,4,FALSE)) * G129</f>
        <v>270</v>
      </c>
    </row>
    <row r="130" spans="1:11" x14ac:dyDescent="0.3">
      <c r="A130" t="s">
        <v>866</v>
      </c>
      <c r="B130" s="8">
        <v>45945</v>
      </c>
      <c r="C130" s="8">
        <f t="shared" ref="C130:C193" si="4">--B130</f>
        <v>45945</v>
      </c>
      <c r="D130" t="s">
        <v>379</v>
      </c>
      <c r="E130" t="s">
        <v>85</v>
      </c>
      <c r="F130" t="s">
        <v>619</v>
      </c>
      <c r="G130">
        <v>2</v>
      </c>
      <c r="H130">
        <v>142</v>
      </c>
      <c r="I130" t="str">
        <f>IF(VLOOKUP(D130,Customers!A:E,5,FALSE)&gt;=1000,"YES","NO")</f>
        <v>NO</v>
      </c>
      <c r="J130">
        <f t="shared" ref="J130:J193" si="5">IF(I130="YES",H130*0.5,H130)</f>
        <v>142</v>
      </c>
      <c r="K130">
        <f>(J130 - VLOOKUP(F130,Desserts!A:D,4,FALSE)) * G130</f>
        <v>122</v>
      </c>
    </row>
    <row r="131" spans="1:11" x14ac:dyDescent="0.3">
      <c r="A131" t="s">
        <v>868</v>
      </c>
      <c r="B131" s="8">
        <v>45973</v>
      </c>
      <c r="C131" s="8">
        <f t="shared" si="4"/>
        <v>45973</v>
      </c>
      <c r="D131" t="s">
        <v>407</v>
      </c>
      <c r="E131" t="s">
        <v>169</v>
      </c>
      <c r="F131" t="s">
        <v>547</v>
      </c>
      <c r="G131">
        <v>1</v>
      </c>
      <c r="H131">
        <v>193</v>
      </c>
      <c r="I131" t="str">
        <f>IF(VLOOKUP(D131,Customers!A:E,5,FALSE)&gt;=1000,"YES","NO")</f>
        <v>YES</v>
      </c>
      <c r="J131">
        <f t="shared" si="5"/>
        <v>96.5</v>
      </c>
      <c r="K131">
        <f>(J131 - VLOOKUP(F131,Desserts!A:D,4,FALSE)) * G131</f>
        <v>46.5</v>
      </c>
    </row>
    <row r="132" spans="1:11" x14ac:dyDescent="0.3">
      <c r="A132" t="s">
        <v>870</v>
      </c>
      <c r="B132" s="8">
        <v>45860</v>
      </c>
      <c r="C132" s="8">
        <f t="shared" si="4"/>
        <v>45860</v>
      </c>
      <c r="D132" t="s">
        <v>481</v>
      </c>
      <c r="E132" t="s">
        <v>175</v>
      </c>
      <c r="F132" t="s">
        <v>555</v>
      </c>
      <c r="G132">
        <v>4</v>
      </c>
      <c r="H132">
        <v>194</v>
      </c>
      <c r="I132" t="str">
        <f>IF(VLOOKUP(D132,Customers!A:E,5,FALSE)&gt;=1000,"YES","NO")</f>
        <v>YES</v>
      </c>
      <c r="J132">
        <f t="shared" si="5"/>
        <v>97</v>
      </c>
      <c r="K132">
        <f>(J132 - VLOOKUP(F132,Desserts!A:D,4,FALSE)) * G132</f>
        <v>88</v>
      </c>
    </row>
    <row r="133" spans="1:11" x14ac:dyDescent="0.3">
      <c r="A133" t="s">
        <v>872</v>
      </c>
      <c r="B133" s="8">
        <v>45882</v>
      </c>
      <c r="C133" s="8">
        <f t="shared" si="4"/>
        <v>45882</v>
      </c>
      <c r="D133" t="s">
        <v>321</v>
      </c>
      <c r="E133" t="s">
        <v>205</v>
      </c>
      <c r="F133" t="s">
        <v>527</v>
      </c>
      <c r="G133">
        <v>2</v>
      </c>
      <c r="H133">
        <v>235</v>
      </c>
      <c r="I133" t="str">
        <f>IF(VLOOKUP(D133,Customers!A:E,5,FALSE)&gt;=1000,"YES","NO")</f>
        <v>NO</v>
      </c>
      <c r="J133">
        <f t="shared" si="5"/>
        <v>235</v>
      </c>
      <c r="K133">
        <f>(J133 - VLOOKUP(F133,Desserts!A:D,4,FALSE)) * G133</f>
        <v>384</v>
      </c>
    </row>
    <row r="134" spans="1:11" x14ac:dyDescent="0.3">
      <c r="A134" t="s">
        <v>874</v>
      </c>
      <c r="B134" s="8">
        <v>45857</v>
      </c>
      <c r="C134" s="8">
        <f t="shared" si="4"/>
        <v>45857</v>
      </c>
      <c r="D134" t="s">
        <v>377</v>
      </c>
      <c r="E134" t="s">
        <v>259</v>
      </c>
      <c r="F134" t="s">
        <v>525</v>
      </c>
      <c r="G134">
        <v>5</v>
      </c>
      <c r="H134">
        <v>180</v>
      </c>
      <c r="I134" t="str">
        <f>IF(VLOOKUP(D134,Customers!A:E,5,FALSE)&gt;=1000,"YES","NO")</f>
        <v>NO</v>
      </c>
      <c r="J134">
        <f t="shared" si="5"/>
        <v>180</v>
      </c>
      <c r="K134">
        <f>(J134 - VLOOKUP(F134,Desserts!A:D,4,FALSE)) * G134</f>
        <v>480</v>
      </c>
    </row>
    <row r="135" spans="1:11" x14ac:dyDescent="0.3">
      <c r="A135" t="s">
        <v>876</v>
      </c>
      <c r="B135" s="8">
        <v>45983</v>
      </c>
      <c r="C135" s="8">
        <f t="shared" si="4"/>
        <v>45983</v>
      </c>
      <c r="D135" t="s">
        <v>407</v>
      </c>
      <c r="E135" t="s">
        <v>175</v>
      </c>
      <c r="F135" t="s">
        <v>597</v>
      </c>
      <c r="G135">
        <v>4</v>
      </c>
      <c r="H135">
        <v>184</v>
      </c>
      <c r="I135" t="str">
        <f>IF(VLOOKUP(D135,Customers!A:E,5,FALSE)&gt;=1000,"YES","NO")</f>
        <v>YES</v>
      </c>
      <c r="J135">
        <f t="shared" si="5"/>
        <v>92</v>
      </c>
      <c r="K135">
        <f>(J135 - VLOOKUP(F135,Desserts!A:D,4,FALSE)) * G135</f>
        <v>188</v>
      </c>
    </row>
    <row r="136" spans="1:11" x14ac:dyDescent="0.3">
      <c r="A136" t="s">
        <v>877</v>
      </c>
      <c r="B136" s="8">
        <v>45946</v>
      </c>
      <c r="C136" s="8">
        <f t="shared" si="4"/>
        <v>45946</v>
      </c>
      <c r="D136" t="s">
        <v>385</v>
      </c>
      <c r="E136" t="s">
        <v>262</v>
      </c>
      <c r="F136" t="s">
        <v>599</v>
      </c>
      <c r="G136">
        <v>2</v>
      </c>
      <c r="H136">
        <v>155</v>
      </c>
      <c r="I136" t="str">
        <f>IF(VLOOKUP(D136,Customers!A:E,5,FALSE)&gt;=1000,"YES","NO")</f>
        <v>YES</v>
      </c>
      <c r="J136">
        <f t="shared" si="5"/>
        <v>77.5</v>
      </c>
      <c r="K136">
        <f>(J136 - VLOOKUP(F136,Desserts!A:D,4,FALSE)) * G136</f>
        <v>-5</v>
      </c>
    </row>
    <row r="137" spans="1:11" x14ac:dyDescent="0.3">
      <c r="A137" t="s">
        <v>879</v>
      </c>
      <c r="B137" s="8">
        <v>45897</v>
      </c>
      <c r="C137" s="8">
        <f t="shared" si="4"/>
        <v>45897</v>
      </c>
      <c r="D137" t="s">
        <v>353</v>
      </c>
      <c r="E137" t="s">
        <v>190</v>
      </c>
      <c r="F137" t="s">
        <v>605</v>
      </c>
      <c r="G137">
        <v>5</v>
      </c>
      <c r="H137">
        <v>146</v>
      </c>
      <c r="I137" t="str">
        <f>IF(VLOOKUP(D137,Customers!A:E,5,FALSE)&gt;=1000,"YES","NO")</f>
        <v>NO</v>
      </c>
      <c r="J137">
        <f t="shared" si="5"/>
        <v>146</v>
      </c>
      <c r="K137">
        <f>(J137 - VLOOKUP(F137,Desserts!A:D,4,FALSE)) * G137</f>
        <v>420</v>
      </c>
    </row>
    <row r="138" spans="1:11" x14ac:dyDescent="0.3">
      <c r="A138" t="s">
        <v>881</v>
      </c>
      <c r="B138" s="8">
        <v>45999</v>
      </c>
      <c r="C138" s="8">
        <f t="shared" si="4"/>
        <v>45999</v>
      </c>
      <c r="D138" t="s">
        <v>329</v>
      </c>
      <c r="E138" t="s">
        <v>295</v>
      </c>
      <c r="F138" t="s">
        <v>559</v>
      </c>
      <c r="G138">
        <v>5</v>
      </c>
      <c r="H138">
        <v>250</v>
      </c>
      <c r="I138" t="str">
        <f>IF(VLOOKUP(D138,Customers!A:E,5,FALSE)&gt;=1000,"YES","NO")</f>
        <v>YES</v>
      </c>
      <c r="J138">
        <f t="shared" si="5"/>
        <v>125</v>
      </c>
      <c r="K138">
        <f>(J138 - VLOOKUP(F138,Desserts!A:D,4,FALSE)) * G138</f>
        <v>350</v>
      </c>
    </row>
    <row r="139" spans="1:11" x14ac:dyDescent="0.3">
      <c r="A139" t="s">
        <v>883</v>
      </c>
      <c r="B139" s="8">
        <v>45788</v>
      </c>
      <c r="C139" s="8">
        <f t="shared" si="4"/>
        <v>45788</v>
      </c>
      <c r="D139" t="s">
        <v>383</v>
      </c>
      <c r="E139" t="s">
        <v>60</v>
      </c>
      <c r="F139" t="s">
        <v>549</v>
      </c>
      <c r="G139">
        <v>1</v>
      </c>
      <c r="H139">
        <v>248</v>
      </c>
      <c r="I139" t="str">
        <f>IF(VLOOKUP(D139,Customers!A:E,5,FALSE)&gt;=1000,"YES","NO")</f>
        <v>NO</v>
      </c>
      <c r="J139">
        <f t="shared" si="5"/>
        <v>248</v>
      </c>
      <c r="K139">
        <f>(J139 - VLOOKUP(F139,Desserts!A:D,4,FALSE)) * G139</f>
        <v>169</v>
      </c>
    </row>
    <row r="140" spans="1:11" x14ac:dyDescent="0.3">
      <c r="A140" t="s">
        <v>884</v>
      </c>
      <c r="B140" s="8">
        <v>45855</v>
      </c>
      <c r="C140" s="8">
        <f t="shared" si="4"/>
        <v>45855</v>
      </c>
      <c r="D140" t="s">
        <v>489</v>
      </c>
      <c r="E140" t="s">
        <v>40</v>
      </c>
      <c r="F140" t="s">
        <v>547</v>
      </c>
      <c r="G140">
        <v>1</v>
      </c>
      <c r="H140">
        <v>132</v>
      </c>
      <c r="I140" t="str">
        <f>IF(VLOOKUP(D140,Customers!A:E,5,FALSE)&gt;=1000,"YES","NO")</f>
        <v>NO</v>
      </c>
      <c r="J140">
        <f t="shared" si="5"/>
        <v>132</v>
      </c>
      <c r="K140">
        <f>(J140 - VLOOKUP(F140,Desserts!A:D,4,FALSE)) * G140</f>
        <v>82</v>
      </c>
    </row>
    <row r="141" spans="1:11" x14ac:dyDescent="0.3">
      <c r="A141" t="s">
        <v>885</v>
      </c>
      <c r="B141" s="8">
        <v>45770</v>
      </c>
      <c r="C141" s="8">
        <f t="shared" si="4"/>
        <v>45770</v>
      </c>
      <c r="D141" t="s">
        <v>471</v>
      </c>
      <c r="E141" t="s">
        <v>307</v>
      </c>
      <c r="F141" t="s">
        <v>541</v>
      </c>
      <c r="G141">
        <v>5</v>
      </c>
      <c r="H141">
        <v>108</v>
      </c>
      <c r="I141" t="str">
        <f>IF(VLOOKUP(D141,Customers!A:E,5,FALSE)&gt;=1000,"YES","NO")</f>
        <v>NO</v>
      </c>
      <c r="J141">
        <f t="shared" si="5"/>
        <v>108</v>
      </c>
      <c r="K141">
        <f>(J141 - VLOOKUP(F141,Desserts!A:D,4,FALSE)) * G141</f>
        <v>255</v>
      </c>
    </row>
    <row r="142" spans="1:11" x14ac:dyDescent="0.3">
      <c r="A142" t="s">
        <v>887</v>
      </c>
      <c r="B142" s="8">
        <v>45888</v>
      </c>
      <c r="C142" s="8">
        <f t="shared" si="4"/>
        <v>45888</v>
      </c>
      <c r="D142" t="s">
        <v>391</v>
      </c>
      <c r="E142" t="s">
        <v>82</v>
      </c>
      <c r="F142" t="s">
        <v>573</v>
      </c>
      <c r="G142">
        <v>1</v>
      </c>
      <c r="H142">
        <v>209</v>
      </c>
      <c r="I142" t="str">
        <f>IF(VLOOKUP(D142,Customers!A:E,5,FALSE)&gt;=1000,"YES","NO")</f>
        <v>YES</v>
      </c>
      <c r="J142">
        <f t="shared" si="5"/>
        <v>104.5</v>
      </c>
      <c r="K142">
        <f>(J142 - VLOOKUP(F142,Desserts!A:D,4,FALSE)) * G142</f>
        <v>54.5</v>
      </c>
    </row>
    <row r="143" spans="1:11" x14ac:dyDescent="0.3">
      <c r="A143" t="s">
        <v>889</v>
      </c>
      <c r="B143" s="8">
        <v>46001</v>
      </c>
      <c r="C143" s="8">
        <f t="shared" si="4"/>
        <v>46001</v>
      </c>
      <c r="D143" t="s">
        <v>473</v>
      </c>
      <c r="E143" t="s">
        <v>127</v>
      </c>
      <c r="F143" t="s">
        <v>555</v>
      </c>
      <c r="G143">
        <v>1</v>
      </c>
      <c r="H143">
        <v>236</v>
      </c>
      <c r="I143" t="str">
        <f>IF(VLOOKUP(D143,Customers!A:E,5,FALSE)&gt;=1000,"YES","NO")</f>
        <v>NO</v>
      </c>
      <c r="J143">
        <f t="shared" si="5"/>
        <v>236</v>
      </c>
      <c r="K143">
        <f>(J143 - VLOOKUP(F143,Desserts!A:D,4,FALSE)) * G143</f>
        <v>161</v>
      </c>
    </row>
    <row r="144" spans="1:11" x14ac:dyDescent="0.3">
      <c r="A144" t="s">
        <v>891</v>
      </c>
      <c r="B144" s="8">
        <v>45916</v>
      </c>
      <c r="C144" s="8">
        <f t="shared" si="4"/>
        <v>45916</v>
      </c>
      <c r="D144" t="s">
        <v>397</v>
      </c>
      <c r="E144" t="s">
        <v>280</v>
      </c>
      <c r="F144" t="s">
        <v>615</v>
      </c>
      <c r="G144">
        <v>5</v>
      </c>
      <c r="H144">
        <v>112</v>
      </c>
      <c r="I144" t="str">
        <f>IF(VLOOKUP(D144,Customers!A:E,5,FALSE)&gt;=1000,"YES","NO")</f>
        <v>NO</v>
      </c>
      <c r="J144">
        <f t="shared" si="5"/>
        <v>112</v>
      </c>
      <c r="K144">
        <f>(J144 - VLOOKUP(F144,Desserts!A:D,4,FALSE)) * G144</f>
        <v>350</v>
      </c>
    </row>
    <row r="145" spans="1:11" x14ac:dyDescent="0.3">
      <c r="A145" t="s">
        <v>893</v>
      </c>
      <c r="B145" s="8">
        <v>45994</v>
      </c>
      <c r="C145" s="8">
        <f t="shared" si="4"/>
        <v>45994</v>
      </c>
      <c r="D145" t="s">
        <v>425</v>
      </c>
      <c r="E145" t="s">
        <v>232</v>
      </c>
      <c r="F145" t="s">
        <v>553</v>
      </c>
      <c r="G145">
        <v>5</v>
      </c>
      <c r="H145">
        <v>162</v>
      </c>
      <c r="I145" t="str">
        <f>IF(VLOOKUP(D145,Customers!A:E,5,FALSE)&gt;=1000,"YES","NO")</f>
        <v>NO</v>
      </c>
      <c r="J145">
        <f t="shared" si="5"/>
        <v>162</v>
      </c>
      <c r="K145">
        <f>(J145 - VLOOKUP(F145,Desserts!A:D,4,FALSE)) * G145</f>
        <v>510</v>
      </c>
    </row>
    <row r="146" spans="1:11" x14ac:dyDescent="0.3">
      <c r="A146" t="s">
        <v>894</v>
      </c>
      <c r="B146" s="8">
        <v>45673</v>
      </c>
      <c r="C146" s="8">
        <f t="shared" si="4"/>
        <v>45673</v>
      </c>
      <c r="D146" t="s">
        <v>357</v>
      </c>
      <c r="E146" t="s">
        <v>133</v>
      </c>
      <c r="F146" t="s">
        <v>583</v>
      </c>
      <c r="G146">
        <v>1</v>
      </c>
      <c r="H146">
        <v>100</v>
      </c>
      <c r="I146" t="str">
        <f>IF(VLOOKUP(D146,Customers!A:E,5,FALSE)&gt;=1000,"YES","NO")</f>
        <v>NO</v>
      </c>
      <c r="J146">
        <f t="shared" si="5"/>
        <v>100</v>
      </c>
      <c r="K146">
        <f>(J146 - VLOOKUP(F146,Desserts!A:D,4,FALSE)) * G146</f>
        <v>17</v>
      </c>
    </row>
    <row r="147" spans="1:11" x14ac:dyDescent="0.3">
      <c r="A147" t="s">
        <v>896</v>
      </c>
      <c r="B147" s="8">
        <v>46057</v>
      </c>
      <c r="C147" s="8">
        <f t="shared" si="4"/>
        <v>46057</v>
      </c>
      <c r="D147" t="s">
        <v>503</v>
      </c>
      <c r="E147" t="s">
        <v>57</v>
      </c>
      <c r="F147" t="s">
        <v>563</v>
      </c>
      <c r="G147">
        <v>4</v>
      </c>
      <c r="H147">
        <v>232</v>
      </c>
      <c r="I147" t="str">
        <f>IF(VLOOKUP(D147,Customers!A:E,5,FALSE)&gt;=1000,"YES","NO")</f>
        <v>NO</v>
      </c>
      <c r="J147">
        <f t="shared" si="5"/>
        <v>232</v>
      </c>
      <c r="K147">
        <f>(J147 - VLOOKUP(F147,Desserts!A:D,4,FALSE)) * G147</f>
        <v>668</v>
      </c>
    </row>
    <row r="148" spans="1:11" x14ac:dyDescent="0.3">
      <c r="A148" t="s">
        <v>898</v>
      </c>
      <c r="B148" s="8">
        <v>45711</v>
      </c>
      <c r="C148" s="8">
        <f t="shared" si="4"/>
        <v>45711</v>
      </c>
      <c r="D148" t="s">
        <v>413</v>
      </c>
      <c r="E148" t="s">
        <v>178</v>
      </c>
      <c r="F148" t="s">
        <v>521</v>
      </c>
      <c r="G148">
        <v>2</v>
      </c>
      <c r="H148">
        <v>117</v>
      </c>
      <c r="I148" t="str">
        <f>IF(VLOOKUP(D148,Customers!A:E,5,FALSE)&gt;=1000,"YES","NO")</f>
        <v>YES</v>
      </c>
      <c r="J148">
        <f t="shared" si="5"/>
        <v>58.5</v>
      </c>
      <c r="K148">
        <f>(J148 - VLOOKUP(F148,Desserts!A:D,4,FALSE)) * G148</f>
        <v>-11</v>
      </c>
    </row>
    <row r="149" spans="1:11" x14ac:dyDescent="0.3">
      <c r="A149" t="s">
        <v>900</v>
      </c>
      <c r="B149" s="8">
        <v>46002</v>
      </c>
      <c r="C149" s="8">
        <f t="shared" si="4"/>
        <v>46002</v>
      </c>
      <c r="D149" t="s">
        <v>513</v>
      </c>
      <c r="E149" t="s">
        <v>178</v>
      </c>
      <c r="F149" t="s">
        <v>605</v>
      </c>
      <c r="G149">
        <v>2</v>
      </c>
      <c r="H149">
        <v>138</v>
      </c>
      <c r="I149" t="str">
        <f>IF(VLOOKUP(D149,Customers!A:E,5,FALSE)&gt;=1000,"YES","NO")</f>
        <v>YES</v>
      </c>
      <c r="J149">
        <f t="shared" si="5"/>
        <v>69</v>
      </c>
      <c r="K149">
        <f>(J149 - VLOOKUP(F149,Desserts!A:D,4,FALSE)) * G149</f>
        <v>14</v>
      </c>
    </row>
    <row r="150" spans="1:11" x14ac:dyDescent="0.3">
      <c r="A150" t="s">
        <v>902</v>
      </c>
      <c r="B150" s="8">
        <v>46009</v>
      </c>
      <c r="C150" s="8">
        <f t="shared" si="4"/>
        <v>46009</v>
      </c>
      <c r="D150" t="s">
        <v>377</v>
      </c>
      <c r="E150" t="s">
        <v>109</v>
      </c>
      <c r="F150" t="s">
        <v>549</v>
      </c>
      <c r="G150">
        <v>2</v>
      </c>
      <c r="H150">
        <v>178</v>
      </c>
      <c r="I150" t="str">
        <f>IF(VLOOKUP(D150,Customers!A:E,5,FALSE)&gt;=1000,"YES","NO")</f>
        <v>NO</v>
      </c>
      <c r="J150">
        <f t="shared" si="5"/>
        <v>178</v>
      </c>
      <c r="K150">
        <f>(J150 - VLOOKUP(F150,Desserts!A:D,4,FALSE)) * G150</f>
        <v>198</v>
      </c>
    </row>
    <row r="151" spans="1:11" x14ac:dyDescent="0.3">
      <c r="A151" t="s">
        <v>903</v>
      </c>
      <c r="B151" s="8">
        <v>45784</v>
      </c>
      <c r="C151" s="8">
        <f t="shared" si="4"/>
        <v>45784</v>
      </c>
      <c r="D151" t="s">
        <v>369</v>
      </c>
      <c r="E151" t="s">
        <v>27</v>
      </c>
      <c r="F151" t="s">
        <v>609</v>
      </c>
      <c r="G151">
        <v>1</v>
      </c>
      <c r="H151">
        <v>188</v>
      </c>
      <c r="I151" t="str">
        <f>IF(VLOOKUP(D151,Customers!A:E,5,FALSE)&gt;=1000,"YES","NO")</f>
        <v>YES</v>
      </c>
      <c r="J151">
        <f t="shared" si="5"/>
        <v>94</v>
      </c>
      <c r="K151">
        <f>(J151 - VLOOKUP(F151,Desserts!A:D,4,FALSE)) * G151</f>
        <v>30</v>
      </c>
    </row>
    <row r="152" spans="1:11" x14ac:dyDescent="0.3">
      <c r="A152" t="s">
        <v>905</v>
      </c>
      <c r="B152" s="8">
        <v>45897</v>
      </c>
      <c r="C152" s="8">
        <f t="shared" si="4"/>
        <v>45897</v>
      </c>
      <c r="D152" t="s">
        <v>437</v>
      </c>
      <c r="E152" t="s">
        <v>97</v>
      </c>
      <c r="F152" t="s">
        <v>595</v>
      </c>
      <c r="G152">
        <v>1</v>
      </c>
      <c r="H152">
        <v>150</v>
      </c>
      <c r="I152" t="str">
        <f>IF(VLOOKUP(D152,Customers!A:E,5,FALSE)&gt;=1000,"YES","NO")</f>
        <v>NO</v>
      </c>
      <c r="J152">
        <f t="shared" si="5"/>
        <v>150</v>
      </c>
      <c r="K152">
        <f>(J152 - VLOOKUP(F152,Desserts!A:D,4,FALSE)) * G152</f>
        <v>80</v>
      </c>
    </row>
    <row r="153" spans="1:11" x14ac:dyDescent="0.3">
      <c r="A153" t="s">
        <v>906</v>
      </c>
      <c r="B153" s="8">
        <v>46009</v>
      </c>
      <c r="C153" s="8">
        <f t="shared" si="4"/>
        <v>46009</v>
      </c>
      <c r="D153" t="s">
        <v>455</v>
      </c>
      <c r="E153" t="s">
        <v>211</v>
      </c>
      <c r="F153" t="s">
        <v>525</v>
      </c>
      <c r="G153">
        <v>3</v>
      </c>
      <c r="H153">
        <v>121</v>
      </c>
      <c r="I153" t="str">
        <f>IF(VLOOKUP(D153,Customers!A:E,5,FALSE)&gt;=1000,"YES","NO")</f>
        <v>YES</v>
      </c>
      <c r="J153">
        <f t="shared" si="5"/>
        <v>60.5</v>
      </c>
      <c r="K153">
        <f>(J153 - VLOOKUP(F153,Desserts!A:D,4,FALSE)) * G153</f>
        <v>-70.5</v>
      </c>
    </row>
    <row r="154" spans="1:11" x14ac:dyDescent="0.3">
      <c r="A154" t="s">
        <v>907</v>
      </c>
      <c r="B154" s="8">
        <v>45702</v>
      </c>
      <c r="C154" s="8">
        <f t="shared" si="4"/>
        <v>45702</v>
      </c>
      <c r="D154" t="s">
        <v>405</v>
      </c>
      <c r="E154" t="s">
        <v>193</v>
      </c>
      <c r="F154" t="s">
        <v>567</v>
      </c>
      <c r="G154">
        <v>3</v>
      </c>
      <c r="H154">
        <v>162</v>
      </c>
      <c r="I154" t="str">
        <f>IF(VLOOKUP(D154,Customers!A:E,5,FALSE)&gt;=1000,"YES","NO")</f>
        <v>YES</v>
      </c>
      <c r="J154">
        <f t="shared" si="5"/>
        <v>81</v>
      </c>
      <c r="K154">
        <f>(J154 - VLOOKUP(F154,Desserts!A:D,4,FALSE)) * G154</f>
        <v>75</v>
      </c>
    </row>
    <row r="155" spans="1:11" x14ac:dyDescent="0.3">
      <c r="A155" t="s">
        <v>909</v>
      </c>
      <c r="B155" s="8">
        <v>46043</v>
      </c>
      <c r="C155" s="8">
        <f t="shared" si="4"/>
        <v>46043</v>
      </c>
      <c r="D155" t="s">
        <v>341</v>
      </c>
      <c r="E155" t="s">
        <v>265</v>
      </c>
      <c r="F155" t="s">
        <v>557</v>
      </c>
      <c r="G155">
        <v>5</v>
      </c>
      <c r="H155">
        <v>169</v>
      </c>
      <c r="I155" t="str">
        <f>IF(VLOOKUP(D155,Customers!A:E,5,FALSE)&gt;=1000,"YES","NO")</f>
        <v>YES</v>
      </c>
      <c r="J155">
        <f t="shared" si="5"/>
        <v>84.5</v>
      </c>
      <c r="K155">
        <f>(J155 - VLOOKUP(F155,Desserts!A:D,4,FALSE)) * G155</f>
        <v>2.5</v>
      </c>
    </row>
    <row r="156" spans="1:11" x14ac:dyDescent="0.3">
      <c r="A156" t="s">
        <v>911</v>
      </c>
      <c r="B156" s="8">
        <v>45846</v>
      </c>
      <c r="C156" s="8">
        <f t="shared" si="4"/>
        <v>45846</v>
      </c>
      <c r="D156" t="s">
        <v>339</v>
      </c>
      <c r="E156" t="s">
        <v>136</v>
      </c>
      <c r="F156" t="s">
        <v>569</v>
      </c>
      <c r="G156">
        <v>5</v>
      </c>
      <c r="H156">
        <v>219</v>
      </c>
      <c r="I156" t="str">
        <f>IF(VLOOKUP(D156,Customers!A:E,5,FALSE)&gt;=1000,"YES","NO")</f>
        <v>NO</v>
      </c>
      <c r="J156">
        <f t="shared" si="5"/>
        <v>219</v>
      </c>
      <c r="K156">
        <f>(J156 - VLOOKUP(F156,Desserts!A:D,4,FALSE)) * G156</f>
        <v>710</v>
      </c>
    </row>
    <row r="157" spans="1:11" x14ac:dyDescent="0.3">
      <c r="A157" t="s">
        <v>912</v>
      </c>
      <c r="B157" s="8">
        <v>45937</v>
      </c>
      <c r="C157" s="8">
        <f t="shared" si="4"/>
        <v>45937</v>
      </c>
      <c r="D157" t="s">
        <v>331</v>
      </c>
      <c r="E157" t="s">
        <v>118</v>
      </c>
      <c r="F157" t="s">
        <v>527</v>
      </c>
      <c r="G157">
        <v>5</v>
      </c>
      <c r="H157">
        <v>133</v>
      </c>
      <c r="I157" t="str">
        <f>IF(VLOOKUP(D157,Customers!A:E,5,FALSE)&gt;=1000,"YES","NO")</f>
        <v>YES</v>
      </c>
      <c r="J157">
        <f t="shared" si="5"/>
        <v>66.5</v>
      </c>
      <c r="K157">
        <f>(J157 - VLOOKUP(F157,Desserts!A:D,4,FALSE)) * G157</f>
        <v>117.5</v>
      </c>
    </row>
    <row r="158" spans="1:11" x14ac:dyDescent="0.3">
      <c r="A158" t="s">
        <v>914</v>
      </c>
      <c r="B158" s="8">
        <v>45831</v>
      </c>
      <c r="C158" s="8">
        <f t="shared" si="4"/>
        <v>45831</v>
      </c>
      <c r="D158" t="s">
        <v>477</v>
      </c>
      <c r="E158" t="s">
        <v>247</v>
      </c>
      <c r="F158" t="s">
        <v>581</v>
      </c>
      <c r="G158">
        <v>4</v>
      </c>
      <c r="H158">
        <v>240</v>
      </c>
      <c r="I158" t="str">
        <f>IF(VLOOKUP(D158,Customers!A:E,5,FALSE)&gt;=1000,"YES","NO")</f>
        <v>YES</v>
      </c>
      <c r="J158">
        <f t="shared" si="5"/>
        <v>120</v>
      </c>
      <c r="K158">
        <f>(J158 - VLOOKUP(F158,Desserts!A:D,4,FALSE)) * G158</f>
        <v>124</v>
      </c>
    </row>
    <row r="159" spans="1:11" x14ac:dyDescent="0.3">
      <c r="A159" t="s">
        <v>916</v>
      </c>
      <c r="B159" s="8">
        <v>45983</v>
      </c>
      <c r="C159" s="8">
        <f t="shared" si="4"/>
        <v>45983</v>
      </c>
      <c r="D159" t="s">
        <v>405</v>
      </c>
      <c r="E159" t="s">
        <v>220</v>
      </c>
      <c r="F159" t="s">
        <v>613</v>
      </c>
      <c r="G159">
        <v>2</v>
      </c>
      <c r="H159">
        <v>203</v>
      </c>
      <c r="I159" t="str">
        <f>IF(VLOOKUP(D159,Customers!A:E,5,FALSE)&gt;=1000,"YES","NO")</f>
        <v>YES</v>
      </c>
      <c r="J159">
        <f t="shared" si="5"/>
        <v>101.5</v>
      </c>
      <c r="K159">
        <f>(J159 - VLOOKUP(F159,Desserts!A:D,4,FALSE)) * G159</f>
        <v>33</v>
      </c>
    </row>
    <row r="160" spans="1:11" x14ac:dyDescent="0.3">
      <c r="A160" t="s">
        <v>917</v>
      </c>
      <c r="B160" s="8">
        <v>46015</v>
      </c>
      <c r="C160" s="8">
        <f t="shared" si="4"/>
        <v>46015</v>
      </c>
      <c r="D160" t="s">
        <v>505</v>
      </c>
      <c r="E160" t="s">
        <v>142</v>
      </c>
      <c r="F160" t="s">
        <v>599</v>
      </c>
      <c r="G160">
        <v>5</v>
      </c>
      <c r="H160">
        <v>236</v>
      </c>
      <c r="I160" t="str">
        <f>IF(VLOOKUP(D160,Customers!A:E,5,FALSE)&gt;=1000,"YES","NO")</f>
        <v>YES</v>
      </c>
      <c r="J160">
        <f t="shared" si="5"/>
        <v>118</v>
      </c>
      <c r="K160">
        <f>(J160 - VLOOKUP(F160,Desserts!A:D,4,FALSE)) * G160</f>
        <v>190</v>
      </c>
    </row>
    <row r="161" spans="1:11" x14ac:dyDescent="0.3">
      <c r="A161" t="s">
        <v>918</v>
      </c>
      <c r="B161" s="8">
        <v>46005</v>
      </c>
      <c r="C161" s="8">
        <f t="shared" si="4"/>
        <v>46005</v>
      </c>
      <c r="D161" t="s">
        <v>375</v>
      </c>
      <c r="E161" t="s">
        <v>307</v>
      </c>
      <c r="F161" t="s">
        <v>581</v>
      </c>
      <c r="G161">
        <v>3</v>
      </c>
      <c r="H161">
        <v>154</v>
      </c>
      <c r="I161" t="str">
        <f>IF(VLOOKUP(D161,Customers!A:E,5,FALSE)&gt;=1000,"YES","NO")</f>
        <v>NO</v>
      </c>
      <c r="J161">
        <f t="shared" si="5"/>
        <v>154</v>
      </c>
      <c r="K161">
        <f>(J161 - VLOOKUP(F161,Desserts!A:D,4,FALSE)) * G161</f>
        <v>195</v>
      </c>
    </row>
    <row r="162" spans="1:11" x14ac:dyDescent="0.3">
      <c r="A162" t="s">
        <v>920</v>
      </c>
      <c r="B162" s="8">
        <v>45833</v>
      </c>
      <c r="C162" s="8">
        <f t="shared" si="4"/>
        <v>45833</v>
      </c>
      <c r="D162" t="s">
        <v>399</v>
      </c>
      <c r="E162" t="s">
        <v>238</v>
      </c>
      <c r="F162" t="s">
        <v>563</v>
      </c>
      <c r="G162">
        <v>2</v>
      </c>
      <c r="H162">
        <v>213</v>
      </c>
      <c r="I162" t="str">
        <f>IF(VLOOKUP(D162,Customers!A:E,5,FALSE)&gt;=1000,"YES","NO")</f>
        <v>YES</v>
      </c>
      <c r="J162">
        <f t="shared" si="5"/>
        <v>106.5</v>
      </c>
      <c r="K162">
        <f>(J162 - VLOOKUP(F162,Desserts!A:D,4,FALSE)) * G162</f>
        <v>83</v>
      </c>
    </row>
    <row r="163" spans="1:11" x14ac:dyDescent="0.3">
      <c r="A163" t="s">
        <v>922</v>
      </c>
      <c r="B163" s="8">
        <v>45987</v>
      </c>
      <c r="C163" s="8">
        <f t="shared" si="4"/>
        <v>45987</v>
      </c>
      <c r="D163" t="s">
        <v>431</v>
      </c>
      <c r="E163" t="s">
        <v>211</v>
      </c>
      <c r="F163" t="s">
        <v>569</v>
      </c>
      <c r="G163">
        <v>3</v>
      </c>
      <c r="H163">
        <v>136</v>
      </c>
      <c r="I163" t="str">
        <f>IF(VLOOKUP(D163,Customers!A:E,5,FALSE)&gt;=1000,"YES","NO")</f>
        <v>YES</v>
      </c>
      <c r="J163">
        <f t="shared" si="5"/>
        <v>68</v>
      </c>
      <c r="K163">
        <f>(J163 - VLOOKUP(F163,Desserts!A:D,4,FALSE)) * G163</f>
        <v>-27</v>
      </c>
    </row>
    <row r="164" spans="1:11" x14ac:dyDescent="0.3">
      <c r="A164" t="s">
        <v>923</v>
      </c>
      <c r="B164" s="8">
        <v>45765</v>
      </c>
      <c r="C164" s="8">
        <f t="shared" si="4"/>
        <v>45765</v>
      </c>
      <c r="D164" t="s">
        <v>455</v>
      </c>
      <c r="E164" t="s">
        <v>247</v>
      </c>
      <c r="F164" t="s">
        <v>611</v>
      </c>
      <c r="G164">
        <v>2</v>
      </c>
      <c r="H164">
        <v>174</v>
      </c>
      <c r="I164" t="str">
        <f>IF(VLOOKUP(D164,Customers!A:E,5,FALSE)&gt;=1000,"YES","NO")</f>
        <v>YES</v>
      </c>
      <c r="J164">
        <f t="shared" si="5"/>
        <v>87</v>
      </c>
      <c r="K164">
        <f>(J164 - VLOOKUP(F164,Desserts!A:D,4,FALSE)) * G164</f>
        <v>88</v>
      </c>
    </row>
    <row r="165" spans="1:11" x14ac:dyDescent="0.3">
      <c r="A165" t="s">
        <v>925</v>
      </c>
      <c r="B165" s="8">
        <v>45962</v>
      </c>
      <c r="C165" s="8">
        <f t="shared" si="4"/>
        <v>45962</v>
      </c>
      <c r="D165" t="s">
        <v>341</v>
      </c>
      <c r="E165" t="s">
        <v>88</v>
      </c>
      <c r="F165" t="s">
        <v>593</v>
      </c>
      <c r="G165">
        <v>1</v>
      </c>
      <c r="H165">
        <v>227</v>
      </c>
      <c r="I165" t="str">
        <f>IF(VLOOKUP(D165,Customers!A:E,5,FALSE)&gt;=1000,"YES","NO")</f>
        <v>YES</v>
      </c>
      <c r="J165">
        <f t="shared" si="5"/>
        <v>113.5</v>
      </c>
      <c r="K165">
        <f>(J165 - VLOOKUP(F165,Desserts!A:D,4,FALSE)) * G165</f>
        <v>59.5</v>
      </c>
    </row>
    <row r="166" spans="1:11" x14ac:dyDescent="0.3">
      <c r="A166" t="s">
        <v>926</v>
      </c>
      <c r="B166" s="8">
        <v>45798</v>
      </c>
      <c r="C166" s="8">
        <f t="shared" si="4"/>
        <v>45798</v>
      </c>
      <c r="D166" t="s">
        <v>371</v>
      </c>
      <c r="E166" t="s">
        <v>205</v>
      </c>
      <c r="F166" t="s">
        <v>549</v>
      </c>
      <c r="G166">
        <v>1</v>
      </c>
      <c r="H166">
        <v>216</v>
      </c>
      <c r="I166" t="str">
        <f>IF(VLOOKUP(D166,Customers!A:E,5,FALSE)&gt;=1000,"YES","NO")</f>
        <v>NO</v>
      </c>
      <c r="J166">
        <f t="shared" si="5"/>
        <v>216</v>
      </c>
      <c r="K166">
        <f>(J166 - VLOOKUP(F166,Desserts!A:D,4,FALSE)) * G166</f>
        <v>137</v>
      </c>
    </row>
    <row r="167" spans="1:11" x14ac:dyDescent="0.3">
      <c r="A167" t="s">
        <v>927</v>
      </c>
      <c r="B167" s="8">
        <v>45735</v>
      </c>
      <c r="C167" s="8">
        <f t="shared" si="4"/>
        <v>45735</v>
      </c>
      <c r="D167" t="s">
        <v>507</v>
      </c>
      <c r="E167" t="s">
        <v>289</v>
      </c>
      <c r="F167" t="s">
        <v>553</v>
      </c>
      <c r="G167">
        <v>2</v>
      </c>
      <c r="H167">
        <v>245</v>
      </c>
      <c r="I167" t="str">
        <f>IF(VLOOKUP(D167,Customers!A:E,5,FALSE)&gt;=1000,"YES","NO")</f>
        <v>NO</v>
      </c>
      <c r="J167">
        <f t="shared" si="5"/>
        <v>245</v>
      </c>
      <c r="K167">
        <f>(J167 - VLOOKUP(F167,Desserts!A:D,4,FALSE)) * G167</f>
        <v>370</v>
      </c>
    </row>
    <row r="168" spans="1:11" x14ac:dyDescent="0.3">
      <c r="A168" t="s">
        <v>929</v>
      </c>
      <c r="B168" s="8">
        <v>45882</v>
      </c>
      <c r="C168" s="8">
        <f t="shared" si="4"/>
        <v>45882</v>
      </c>
      <c r="D168" t="s">
        <v>443</v>
      </c>
      <c r="E168" t="s">
        <v>202</v>
      </c>
      <c r="F168" t="s">
        <v>533</v>
      </c>
      <c r="G168">
        <v>2</v>
      </c>
      <c r="H168">
        <v>236</v>
      </c>
      <c r="I168" t="str">
        <f>IF(VLOOKUP(D168,Customers!A:E,5,FALSE)&gt;=1000,"YES","NO")</f>
        <v>YES</v>
      </c>
      <c r="J168">
        <f t="shared" si="5"/>
        <v>118</v>
      </c>
      <c r="K168">
        <f>(J168 - VLOOKUP(F168,Desserts!A:D,4,FALSE)) * G168</f>
        <v>102</v>
      </c>
    </row>
    <row r="169" spans="1:11" x14ac:dyDescent="0.3">
      <c r="A169" t="s">
        <v>930</v>
      </c>
      <c r="B169" s="8">
        <v>45724</v>
      </c>
      <c r="C169" s="8">
        <f t="shared" si="4"/>
        <v>45724</v>
      </c>
      <c r="D169" t="s">
        <v>427</v>
      </c>
      <c r="E169" t="s">
        <v>286</v>
      </c>
      <c r="F169" t="s">
        <v>557</v>
      </c>
      <c r="G169">
        <v>5</v>
      </c>
      <c r="H169">
        <v>123</v>
      </c>
      <c r="I169" t="str">
        <f>IF(VLOOKUP(D169,Customers!A:E,5,FALSE)&gt;=1000,"YES","NO")</f>
        <v>NO</v>
      </c>
      <c r="J169">
        <f t="shared" si="5"/>
        <v>123</v>
      </c>
      <c r="K169">
        <f>(J169 - VLOOKUP(F169,Desserts!A:D,4,FALSE)) * G169</f>
        <v>195</v>
      </c>
    </row>
    <row r="170" spans="1:11" x14ac:dyDescent="0.3">
      <c r="A170" t="s">
        <v>931</v>
      </c>
      <c r="B170" s="8">
        <v>45930</v>
      </c>
      <c r="C170" s="8">
        <f t="shared" si="4"/>
        <v>45930</v>
      </c>
      <c r="D170" t="s">
        <v>321</v>
      </c>
      <c r="E170" t="s">
        <v>109</v>
      </c>
      <c r="F170" t="s">
        <v>547</v>
      </c>
      <c r="G170">
        <v>4</v>
      </c>
      <c r="H170">
        <v>105</v>
      </c>
      <c r="I170" t="str">
        <f>IF(VLOOKUP(D170,Customers!A:E,5,FALSE)&gt;=1000,"YES","NO")</f>
        <v>NO</v>
      </c>
      <c r="J170">
        <f t="shared" si="5"/>
        <v>105</v>
      </c>
      <c r="K170">
        <f>(J170 - VLOOKUP(F170,Desserts!A:D,4,FALSE)) * G170</f>
        <v>220</v>
      </c>
    </row>
    <row r="171" spans="1:11" x14ac:dyDescent="0.3">
      <c r="A171" t="s">
        <v>933</v>
      </c>
      <c r="B171" s="8">
        <v>45832</v>
      </c>
      <c r="C171" s="8">
        <f t="shared" si="4"/>
        <v>45832</v>
      </c>
      <c r="D171" t="s">
        <v>511</v>
      </c>
      <c r="E171" t="s">
        <v>57</v>
      </c>
      <c r="F171" t="s">
        <v>555</v>
      </c>
      <c r="G171">
        <v>2</v>
      </c>
      <c r="H171">
        <v>235</v>
      </c>
      <c r="I171" t="str">
        <f>IF(VLOOKUP(D171,Customers!A:E,5,FALSE)&gt;=1000,"YES","NO")</f>
        <v>YES</v>
      </c>
      <c r="J171">
        <f t="shared" si="5"/>
        <v>117.5</v>
      </c>
      <c r="K171">
        <f>(J171 - VLOOKUP(F171,Desserts!A:D,4,FALSE)) * G171</f>
        <v>85</v>
      </c>
    </row>
    <row r="172" spans="1:11" x14ac:dyDescent="0.3">
      <c r="A172" t="s">
        <v>934</v>
      </c>
      <c r="B172" s="8">
        <v>45867</v>
      </c>
      <c r="C172" s="8">
        <f t="shared" si="4"/>
        <v>45867</v>
      </c>
      <c r="D172" t="s">
        <v>393</v>
      </c>
      <c r="E172" t="s">
        <v>24</v>
      </c>
      <c r="F172" t="s">
        <v>561</v>
      </c>
      <c r="G172">
        <v>3</v>
      </c>
      <c r="H172">
        <v>212</v>
      </c>
      <c r="I172" t="str">
        <f>IF(VLOOKUP(D172,Customers!A:E,5,FALSE)&gt;=1000,"YES","NO")</f>
        <v>YES</v>
      </c>
      <c r="J172">
        <f t="shared" si="5"/>
        <v>106</v>
      </c>
      <c r="K172">
        <f>(J172 - VLOOKUP(F172,Desserts!A:D,4,FALSE)) * G172</f>
        <v>129</v>
      </c>
    </row>
    <row r="173" spans="1:11" x14ac:dyDescent="0.3">
      <c r="A173" t="s">
        <v>935</v>
      </c>
      <c r="B173" s="8">
        <v>45935</v>
      </c>
      <c r="C173" s="8">
        <f t="shared" si="4"/>
        <v>45935</v>
      </c>
      <c r="D173" t="s">
        <v>515</v>
      </c>
      <c r="E173" t="s">
        <v>154</v>
      </c>
      <c r="F173" t="s">
        <v>593</v>
      </c>
      <c r="G173">
        <v>2</v>
      </c>
      <c r="H173">
        <v>140</v>
      </c>
      <c r="I173" t="str">
        <f>IF(VLOOKUP(D173,Customers!A:E,5,FALSE)&gt;=1000,"YES","NO")</f>
        <v>YES</v>
      </c>
      <c r="J173">
        <f t="shared" si="5"/>
        <v>70</v>
      </c>
      <c r="K173">
        <f>(J173 - VLOOKUP(F173,Desserts!A:D,4,FALSE)) * G173</f>
        <v>32</v>
      </c>
    </row>
    <row r="174" spans="1:11" x14ac:dyDescent="0.3">
      <c r="A174" t="s">
        <v>937</v>
      </c>
      <c r="B174" s="8">
        <v>45925</v>
      </c>
      <c r="C174" s="8">
        <f t="shared" si="4"/>
        <v>45925</v>
      </c>
      <c r="D174" t="s">
        <v>507</v>
      </c>
      <c r="E174" t="s">
        <v>85</v>
      </c>
      <c r="F174" t="s">
        <v>521</v>
      </c>
      <c r="G174">
        <v>1</v>
      </c>
      <c r="H174">
        <v>186</v>
      </c>
      <c r="I174" t="str">
        <f>IF(VLOOKUP(D174,Customers!A:E,5,FALSE)&gt;=1000,"YES","NO")</f>
        <v>NO</v>
      </c>
      <c r="J174">
        <f t="shared" si="5"/>
        <v>186</v>
      </c>
      <c r="K174">
        <f>(J174 - VLOOKUP(F174,Desserts!A:D,4,FALSE)) * G174</f>
        <v>122</v>
      </c>
    </row>
    <row r="175" spans="1:11" x14ac:dyDescent="0.3">
      <c r="A175" t="s">
        <v>939</v>
      </c>
      <c r="B175" s="8">
        <v>45974</v>
      </c>
      <c r="C175" s="8">
        <f t="shared" si="4"/>
        <v>45974</v>
      </c>
      <c r="D175" t="s">
        <v>439</v>
      </c>
      <c r="E175" t="s">
        <v>166</v>
      </c>
      <c r="F175" t="s">
        <v>557</v>
      </c>
      <c r="G175">
        <v>1</v>
      </c>
      <c r="H175">
        <v>109</v>
      </c>
      <c r="I175" t="str">
        <f>IF(VLOOKUP(D175,Customers!A:E,5,FALSE)&gt;=1000,"YES","NO")</f>
        <v>YES</v>
      </c>
      <c r="J175">
        <f t="shared" si="5"/>
        <v>54.5</v>
      </c>
      <c r="K175">
        <f>(J175 - VLOOKUP(F175,Desserts!A:D,4,FALSE)) * G175</f>
        <v>-29.5</v>
      </c>
    </row>
    <row r="176" spans="1:11" x14ac:dyDescent="0.3">
      <c r="A176" t="s">
        <v>941</v>
      </c>
      <c r="B176" s="8">
        <v>45803</v>
      </c>
      <c r="C176" s="8">
        <f t="shared" si="4"/>
        <v>45803</v>
      </c>
      <c r="D176" t="s">
        <v>491</v>
      </c>
      <c r="E176" t="s">
        <v>151</v>
      </c>
      <c r="F176" t="s">
        <v>617</v>
      </c>
      <c r="G176">
        <v>2</v>
      </c>
      <c r="H176">
        <v>197</v>
      </c>
      <c r="I176" t="str">
        <f>IF(VLOOKUP(D176,Customers!A:E,5,FALSE)&gt;=1000,"YES","NO")</f>
        <v>NO</v>
      </c>
      <c r="J176">
        <f t="shared" si="5"/>
        <v>197</v>
      </c>
      <c r="K176">
        <f>(J176 - VLOOKUP(F176,Desserts!A:D,4,FALSE)) * G176</f>
        <v>312</v>
      </c>
    </row>
    <row r="177" spans="1:11" x14ac:dyDescent="0.3">
      <c r="A177" t="s">
        <v>943</v>
      </c>
      <c r="B177" s="8">
        <v>46019</v>
      </c>
      <c r="C177" s="8">
        <f t="shared" si="4"/>
        <v>46019</v>
      </c>
      <c r="D177" t="s">
        <v>391</v>
      </c>
      <c r="E177" t="s">
        <v>232</v>
      </c>
      <c r="F177" t="s">
        <v>531</v>
      </c>
      <c r="G177">
        <v>5</v>
      </c>
      <c r="H177">
        <v>193</v>
      </c>
      <c r="I177" t="str">
        <f>IF(VLOOKUP(D177,Customers!A:E,5,FALSE)&gt;=1000,"YES","NO")</f>
        <v>YES</v>
      </c>
      <c r="J177">
        <f t="shared" si="5"/>
        <v>96.5</v>
      </c>
      <c r="K177">
        <f>(J177 - VLOOKUP(F177,Desserts!A:D,4,FALSE)) * G177</f>
        <v>57.5</v>
      </c>
    </row>
    <row r="178" spans="1:11" x14ac:dyDescent="0.3">
      <c r="A178" t="s">
        <v>944</v>
      </c>
      <c r="B178" s="8">
        <v>45994</v>
      </c>
      <c r="C178" s="8">
        <f t="shared" si="4"/>
        <v>45994</v>
      </c>
      <c r="D178" t="s">
        <v>433</v>
      </c>
      <c r="E178" t="s">
        <v>214</v>
      </c>
      <c r="F178" t="s">
        <v>543</v>
      </c>
      <c r="G178">
        <v>4</v>
      </c>
      <c r="H178">
        <v>164</v>
      </c>
      <c r="I178" t="str">
        <f>IF(VLOOKUP(D178,Customers!A:E,5,FALSE)&gt;=1000,"YES","NO")</f>
        <v>YES</v>
      </c>
      <c r="J178">
        <f t="shared" si="5"/>
        <v>82</v>
      </c>
      <c r="K178">
        <f>(J178 - VLOOKUP(F178,Desserts!A:D,4,FALSE)) * G178</f>
        <v>36</v>
      </c>
    </row>
    <row r="179" spans="1:11" x14ac:dyDescent="0.3">
      <c r="A179" t="s">
        <v>945</v>
      </c>
      <c r="B179" s="8">
        <v>45850</v>
      </c>
      <c r="C179" s="8">
        <f t="shared" si="4"/>
        <v>45850</v>
      </c>
      <c r="D179" t="s">
        <v>401</v>
      </c>
      <c r="E179" t="s">
        <v>154</v>
      </c>
      <c r="F179" t="s">
        <v>533</v>
      </c>
      <c r="G179">
        <v>2</v>
      </c>
      <c r="H179">
        <v>129</v>
      </c>
      <c r="I179" t="str">
        <f>IF(VLOOKUP(D179,Customers!A:E,5,FALSE)&gt;=1000,"YES","NO")</f>
        <v>YES</v>
      </c>
      <c r="J179">
        <f t="shared" si="5"/>
        <v>64.5</v>
      </c>
      <c r="K179">
        <f>(J179 - VLOOKUP(F179,Desserts!A:D,4,FALSE)) * G179</f>
        <v>-5</v>
      </c>
    </row>
    <row r="180" spans="1:11" x14ac:dyDescent="0.3">
      <c r="A180" t="s">
        <v>947</v>
      </c>
      <c r="B180" s="8">
        <v>45903</v>
      </c>
      <c r="C180" s="8">
        <f t="shared" si="4"/>
        <v>45903</v>
      </c>
      <c r="D180" t="s">
        <v>497</v>
      </c>
      <c r="E180" t="s">
        <v>181</v>
      </c>
      <c r="F180" t="s">
        <v>601</v>
      </c>
      <c r="G180">
        <v>5</v>
      </c>
      <c r="H180">
        <v>208</v>
      </c>
      <c r="I180" t="str">
        <f>IF(VLOOKUP(D180,Customers!A:E,5,FALSE)&gt;=1000,"YES","NO")</f>
        <v>NO</v>
      </c>
      <c r="J180">
        <f t="shared" si="5"/>
        <v>208</v>
      </c>
      <c r="K180">
        <f>(J180 - VLOOKUP(F180,Desserts!A:D,4,FALSE)) * G180</f>
        <v>765</v>
      </c>
    </row>
    <row r="181" spans="1:11" x14ac:dyDescent="0.3">
      <c r="A181" t="s">
        <v>949</v>
      </c>
      <c r="B181" s="8">
        <v>45745</v>
      </c>
      <c r="C181" s="8">
        <f t="shared" si="4"/>
        <v>45745</v>
      </c>
      <c r="D181" t="s">
        <v>367</v>
      </c>
      <c r="E181" t="s">
        <v>178</v>
      </c>
      <c r="F181" t="s">
        <v>545</v>
      </c>
      <c r="G181">
        <v>3</v>
      </c>
      <c r="H181">
        <v>138</v>
      </c>
      <c r="I181" t="str">
        <f>IF(VLOOKUP(D181,Customers!A:E,5,FALSE)&gt;=1000,"YES","NO")</f>
        <v>NO</v>
      </c>
      <c r="J181">
        <f t="shared" si="5"/>
        <v>138</v>
      </c>
      <c r="K181">
        <f>(J181 - VLOOKUP(F181,Desserts!A:D,4,FALSE)) * G181</f>
        <v>279</v>
      </c>
    </row>
    <row r="182" spans="1:11" x14ac:dyDescent="0.3">
      <c r="A182" t="s">
        <v>951</v>
      </c>
      <c r="B182" s="8">
        <v>45989</v>
      </c>
      <c r="C182" s="8">
        <f t="shared" si="4"/>
        <v>45989</v>
      </c>
      <c r="D182" t="s">
        <v>481</v>
      </c>
      <c r="E182" t="s">
        <v>151</v>
      </c>
      <c r="F182" t="s">
        <v>577</v>
      </c>
      <c r="G182">
        <v>1</v>
      </c>
      <c r="H182">
        <v>240</v>
      </c>
      <c r="I182" t="str">
        <f>IF(VLOOKUP(D182,Customers!A:E,5,FALSE)&gt;=1000,"YES","NO")</f>
        <v>YES</v>
      </c>
      <c r="J182">
        <f t="shared" si="5"/>
        <v>120</v>
      </c>
      <c r="K182">
        <f>(J182 - VLOOKUP(F182,Desserts!A:D,4,FALSE)) * G182</f>
        <v>50</v>
      </c>
    </row>
    <row r="183" spans="1:11" x14ac:dyDescent="0.3">
      <c r="A183" t="s">
        <v>953</v>
      </c>
      <c r="B183" s="8">
        <v>45983</v>
      </c>
      <c r="C183" s="8">
        <f t="shared" si="4"/>
        <v>45983</v>
      </c>
      <c r="D183" t="s">
        <v>401</v>
      </c>
      <c r="E183" t="s">
        <v>157</v>
      </c>
      <c r="F183" t="s">
        <v>543</v>
      </c>
      <c r="G183">
        <v>5</v>
      </c>
      <c r="H183">
        <v>209</v>
      </c>
      <c r="I183" t="str">
        <f>IF(VLOOKUP(D183,Customers!A:E,5,FALSE)&gt;=1000,"YES","NO")</f>
        <v>YES</v>
      </c>
      <c r="J183">
        <f t="shared" si="5"/>
        <v>104.5</v>
      </c>
      <c r="K183">
        <f>(J183 - VLOOKUP(F183,Desserts!A:D,4,FALSE)) * G183</f>
        <v>157.5</v>
      </c>
    </row>
    <row r="184" spans="1:11" x14ac:dyDescent="0.3">
      <c r="A184" t="s">
        <v>954</v>
      </c>
      <c r="B184" s="8">
        <v>45856</v>
      </c>
      <c r="C184" s="8">
        <f t="shared" si="4"/>
        <v>45856</v>
      </c>
      <c r="D184" t="s">
        <v>439</v>
      </c>
      <c r="E184" t="s">
        <v>202</v>
      </c>
      <c r="F184" t="s">
        <v>547</v>
      </c>
      <c r="G184">
        <v>5</v>
      </c>
      <c r="H184">
        <v>122</v>
      </c>
      <c r="I184" t="str">
        <f>IF(VLOOKUP(D184,Customers!A:E,5,FALSE)&gt;=1000,"YES","NO")</f>
        <v>YES</v>
      </c>
      <c r="J184">
        <f t="shared" si="5"/>
        <v>61</v>
      </c>
      <c r="K184">
        <f>(J184 - VLOOKUP(F184,Desserts!A:D,4,FALSE)) * G184</f>
        <v>55</v>
      </c>
    </row>
    <row r="185" spans="1:11" x14ac:dyDescent="0.3">
      <c r="A185" t="s">
        <v>956</v>
      </c>
      <c r="B185" s="8">
        <v>45815</v>
      </c>
      <c r="C185" s="8">
        <f t="shared" si="4"/>
        <v>45815</v>
      </c>
      <c r="D185" t="s">
        <v>329</v>
      </c>
      <c r="E185" t="s">
        <v>130</v>
      </c>
      <c r="F185" t="s">
        <v>607</v>
      </c>
      <c r="G185">
        <v>2</v>
      </c>
      <c r="H185">
        <v>106</v>
      </c>
      <c r="I185" t="str">
        <f>IF(VLOOKUP(D185,Customers!A:E,5,FALSE)&gt;=1000,"YES","NO")</f>
        <v>YES</v>
      </c>
      <c r="J185">
        <f t="shared" si="5"/>
        <v>53</v>
      </c>
      <c r="K185">
        <f>(J185 - VLOOKUP(F185,Desserts!A:D,4,FALSE)) * G185</f>
        <v>-34</v>
      </c>
    </row>
    <row r="186" spans="1:11" x14ac:dyDescent="0.3">
      <c r="A186" t="s">
        <v>958</v>
      </c>
      <c r="B186" s="8">
        <v>45691</v>
      </c>
      <c r="C186" s="8">
        <f t="shared" si="4"/>
        <v>45691</v>
      </c>
      <c r="D186" t="s">
        <v>369</v>
      </c>
      <c r="E186" t="s">
        <v>72</v>
      </c>
      <c r="F186" t="s">
        <v>531</v>
      </c>
      <c r="G186">
        <v>5</v>
      </c>
      <c r="H186">
        <v>219</v>
      </c>
      <c r="I186" t="str">
        <f>IF(VLOOKUP(D186,Customers!A:E,5,FALSE)&gt;=1000,"YES","NO")</f>
        <v>YES</v>
      </c>
      <c r="J186">
        <f t="shared" si="5"/>
        <v>109.5</v>
      </c>
      <c r="K186">
        <f>(J186 - VLOOKUP(F186,Desserts!A:D,4,FALSE)) * G186</f>
        <v>122.5</v>
      </c>
    </row>
    <row r="187" spans="1:11" x14ac:dyDescent="0.3">
      <c r="A187" t="s">
        <v>960</v>
      </c>
      <c r="B187" s="8">
        <v>46014</v>
      </c>
      <c r="C187" s="8">
        <f t="shared" si="4"/>
        <v>46014</v>
      </c>
      <c r="D187" t="s">
        <v>435</v>
      </c>
      <c r="E187" t="s">
        <v>51</v>
      </c>
      <c r="F187" t="s">
        <v>543</v>
      </c>
      <c r="G187">
        <v>3</v>
      </c>
      <c r="H187">
        <v>130</v>
      </c>
      <c r="I187" t="str">
        <f>IF(VLOOKUP(D187,Customers!A:E,5,FALSE)&gt;=1000,"YES","NO")</f>
        <v>NO</v>
      </c>
      <c r="J187">
        <f t="shared" si="5"/>
        <v>130</v>
      </c>
      <c r="K187">
        <f>(J187 - VLOOKUP(F187,Desserts!A:D,4,FALSE)) * G187</f>
        <v>171</v>
      </c>
    </row>
    <row r="188" spans="1:11" x14ac:dyDescent="0.3">
      <c r="A188" t="s">
        <v>961</v>
      </c>
      <c r="B188" s="8">
        <v>45712</v>
      </c>
      <c r="C188" s="8">
        <f t="shared" si="4"/>
        <v>45712</v>
      </c>
      <c r="D188" t="s">
        <v>415</v>
      </c>
      <c r="E188" t="s">
        <v>148</v>
      </c>
      <c r="F188" t="s">
        <v>521</v>
      </c>
      <c r="G188">
        <v>4</v>
      </c>
      <c r="H188">
        <v>171</v>
      </c>
      <c r="I188" t="str">
        <f>IF(VLOOKUP(D188,Customers!A:E,5,FALSE)&gt;=1000,"YES","NO")</f>
        <v>YES</v>
      </c>
      <c r="J188">
        <f t="shared" si="5"/>
        <v>85.5</v>
      </c>
      <c r="K188">
        <f>(J188 - VLOOKUP(F188,Desserts!A:D,4,FALSE)) * G188</f>
        <v>86</v>
      </c>
    </row>
    <row r="189" spans="1:11" x14ac:dyDescent="0.3">
      <c r="A189" t="s">
        <v>963</v>
      </c>
      <c r="B189" s="8">
        <v>45834</v>
      </c>
      <c r="C189" s="8">
        <f t="shared" si="4"/>
        <v>45834</v>
      </c>
      <c r="D189" t="s">
        <v>379</v>
      </c>
      <c r="E189" t="s">
        <v>47</v>
      </c>
      <c r="F189" t="s">
        <v>555</v>
      </c>
      <c r="G189">
        <v>5</v>
      </c>
      <c r="H189">
        <v>233</v>
      </c>
      <c r="I189" t="str">
        <f>IF(VLOOKUP(D189,Customers!A:E,5,FALSE)&gt;=1000,"YES","NO")</f>
        <v>NO</v>
      </c>
      <c r="J189">
        <f t="shared" si="5"/>
        <v>233</v>
      </c>
      <c r="K189">
        <f>(J189 - VLOOKUP(F189,Desserts!A:D,4,FALSE)) * G189</f>
        <v>790</v>
      </c>
    </row>
    <row r="190" spans="1:11" x14ac:dyDescent="0.3">
      <c r="A190" t="s">
        <v>964</v>
      </c>
      <c r="B190" s="8">
        <v>45997</v>
      </c>
      <c r="C190" s="8">
        <f t="shared" si="4"/>
        <v>45997</v>
      </c>
      <c r="D190" t="s">
        <v>395</v>
      </c>
      <c r="E190" t="s">
        <v>63</v>
      </c>
      <c r="F190" t="s">
        <v>603</v>
      </c>
      <c r="G190">
        <v>3</v>
      </c>
      <c r="H190">
        <v>171</v>
      </c>
      <c r="I190" t="str">
        <f>IF(VLOOKUP(D190,Customers!A:E,5,FALSE)&gt;=1000,"YES","NO")</f>
        <v>NO</v>
      </c>
      <c r="J190">
        <f t="shared" si="5"/>
        <v>171</v>
      </c>
      <c r="K190">
        <f>(J190 - VLOOKUP(F190,Desserts!A:D,4,FALSE)) * G190</f>
        <v>246</v>
      </c>
    </row>
    <row r="191" spans="1:11" x14ac:dyDescent="0.3">
      <c r="A191" t="s">
        <v>966</v>
      </c>
      <c r="B191" s="8">
        <v>46002</v>
      </c>
      <c r="C191" s="8">
        <f t="shared" si="4"/>
        <v>46002</v>
      </c>
      <c r="D191" t="s">
        <v>403</v>
      </c>
      <c r="E191" t="s">
        <v>220</v>
      </c>
      <c r="F191" t="s">
        <v>593</v>
      </c>
      <c r="G191">
        <v>3</v>
      </c>
      <c r="H191">
        <v>137</v>
      </c>
      <c r="I191" t="str">
        <f>IF(VLOOKUP(D191,Customers!A:E,5,FALSE)&gt;=1000,"YES","NO")</f>
        <v>NO</v>
      </c>
      <c r="J191">
        <f t="shared" si="5"/>
        <v>137</v>
      </c>
      <c r="K191">
        <f>(J191 - VLOOKUP(F191,Desserts!A:D,4,FALSE)) * G191</f>
        <v>249</v>
      </c>
    </row>
    <row r="192" spans="1:11" x14ac:dyDescent="0.3">
      <c r="A192" t="s">
        <v>967</v>
      </c>
      <c r="B192" s="8">
        <v>45876</v>
      </c>
      <c r="C192" s="8">
        <f t="shared" si="4"/>
        <v>45876</v>
      </c>
      <c r="D192" t="s">
        <v>433</v>
      </c>
      <c r="E192" t="s">
        <v>178</v>
      </c>
      <c r="F192" t="s">
        <v>547</v>
      </c>
      <c r="G192">
        <v>1</v>
      </c>
      <c r="H192">
        <v>227</v>
      </c>
      <c r="I192" t="str">
        <f>IF(VLOOKUP(D192,Customers!A:E,5,FALSE)&gt;=1000,"YES","NO")</f>
        <v>YES</v>
      </c>
      <c r="J192">
        <f t="shared" si="5"/>
        <v>113.5</v>
      </c>
      <c r="K192">
        <f>(J192 - VLOOKUP(F192,Desserts!A:D,4,FALSE)) * G192</f>
        <v>63.5</v>
      </c>
    </row>
    <row r="193" spans="1:11" x14ac:dyDescent="0.3">
      <c r="A193" t="s">
        <v>969</v>
      </c>
      <c r="B193" s="8">
        <v>45890</v>
      </c>
      <c r="C193" s="8">
        <f t="shared" si="4"/>
        <v>45890</v>
      </c>
      <c r="D193" t="s">
        <v>451</v>
      </c>
      <c r="E193" t="s">
        <v>166</v>
      </c>
      <c r="F193" t="s">
        <v>569</v>
      </c>
      <c r="G193">
        <v>2</v>
      </c>
      <c r="H193">
        <v>146</v>
      </c>
      <c r="I193" t="str">
        <f>IF(VLOOKUP(D193,Customers!A:E,5,FALSE)&gt;=1000,"YES","NO")</f>
        <v>NO</v>
      </c>
      <c r="J193">
        <f t="shared" si="5"/>
        <v>146</v>
      </c>
      <c r="K193">
        <f>(J193 - VLOOKUP(F193,Desserts!A:D,4,FALSE)) * G193</f>
        <v>138</v>
      </c>
    </row>
    <row r="194" spans="1:11" x14ac:dyDescent="0.3">
      <c r="A194" t="s">
        <v>971</v>
      </c>
      <c r="B194" s="8">
        <v>46058</v>
      </c>
      <c r="C194" s="8">
        <f t="shared" ref="C194:C257" si="6">--B194</f>
        <v>46058</v>
      </c>
      <c r="D194" t="s">
        <v>373</v>
      </c>
      <c r="E194" t="s">
        <v>184</v>
      </c>
      <c r="F194" t="s">
        <v>547</v>
      </c>
      <c r="G194">
        <v>2</v>
      </c>
      <c r="H194">
        <v>189</v>
      </c>
      <c r="I194" t="str">
        <f>IF(VLOOKUP(D194,Customers!A:E,5,FALSE)&gt;=1000,"YES","NO")</f>
        <v>NO</v>
      </c>
      <c r="J194">
        <f t="shared" ref="J194:J257" si="7">IF(I194="YES",H194*0.5,H194)</f>
        <v>189</v>
      </c>
      <c r="K194">
        <f>(J194 - VLOOKUP(F194,Desserts!A:D,4,FALSE)) * G194</f>
        <v>278</v>
      </c>
    </row>
    <row r="195" spans="1:11" x14ac:dyDescent="0.3">
      <c r="A195" t="s">
        <v>973</v>
      </c>
      <c r="B195" s="8">
        <v>45954</v>
      </c>
      <c r="C195" s="8">
        <f t="shared" si="6"/>
        <v>45954</v>
      </c>
      <c r="D195" t="s">
        <v>509</v>
      </c>
      <c r="E195" t="s">
        <v>66</v>
      </c>
      <c r="F195" t="s">
        <v>563</v>
      </c>
      <c r="G195">
        <v>3</v>
      </c>
      <c r="H195">
        <v>240</v>
      </c>
      <c r="I195" t="str">
        <f>IF(VLOOKUP(D195,Customers!A:E,5,FALSE)&gt;=1000,"YES","NO")</f>
        <v>NO</v>
      </c>
      <c r="J195">
        <f t="shared" si="7"/>
        <v>240</v>
      </c>
      <c r="K195">
        <f>(J195 - VLOOKUP(F195,Desserts!A:D,4,FALSE)) * G195</f>
        <v>525</v>
      </c>
    </row>
    <row r="196" spans="1:11" x14ac:dyDescent="0.3">
      <c r="A196" t="s">
        <v>975</v>
      </c>
      <c r="B196" s="8">
        <v>45793</v>
      </c>
      <c r="C196" s="8">
        <f t="shared" si="6"/>
        <v>45793</v>
      </c>
      <c r="D196" t="s">
        <v>493</v>
      </c>
      <c r="E196" t="s">
        <v>235</v>
      </c>
      <c r="F196" t="s">
        <v>593</v>
      </c>
      <c r="G196">
        <v>5</v>
      </c>
      <c r="H196">
        <v>127</v>
      </c>
      <c r="I196" t="str">
        <f>IF(VLOOKUP(D196,Customers!A:E,5,FALSE)&gt;=1000,"YES","NO")</f>
        <v>NO</v>
      </c>
      <c r="J196">
        <f t="shared" si="7"/>
        <v>127</v>
      </c>
      <c r="K196">
        <f>(J196 - VLOOKUP(F196,Desserts!A:D,4,FALSE)) * G196</f>
        <v>365</v>
      </c>
    </row>
    <row r="197" spans="1:11" x14ac:dyDescent="0.3">
      <c r="A197" t="s">
        <v>977</v>
      </c>
      <c r="B197" s="8">
        <v>45799</v>
      </c>
      <c r="C197" s="8">
        <f t="shared" si="6"/>
        <v>45799</v>
      </c>
      <c r="D197" t="s">
        <v>347</v>
      </c>
      <c r="E197" t="s">
        <v>280</v>
      </c>
      <c r="F197" t="s">
        <v>581</v>
      </c>
      <c r="G197">
        <v>5</v>
      </c>
      <c r="H197">
        <v>215</v>
      </c>
      <c r="I197" t="str">
        <f>IF(VLOOKUP(D197,Customers!A:E,5,FALSE)&gt;=1000,"YES","NO")</f>
        <v>YES</v>
      </c>
      <c r="J197">
        <f t="shared" si="7"/>
        <v>107.5</v>
      </c>
      <c r="K197">
        <f>(J197 - VLOOKUP(F197,Desserts!A:D,4,FALSE)) * G197</f>
        <v>92.5</v>
      </c>
    </row>
    <row r="198" spans="1:11" x14ac:dyDescent="0.3">
      <c r="A198" t="s">
        <v>979</v>
      </c>
      <c r="B198" s="8">
        <v>45710</v>
      </c>
      <c r="C198" s="8">
        <f t="shared" si="6"/>
        <v>45710</v>
      </c>
      <c r="D198" t="s">
        <v>459</v>
      </c>
      <c r="E198" t="s">
        <v>214</v>
      </c>
      <c r="F198" t="s">
        <v>563</v>
      </c>
      <c r="G198">
        <v>3</v>
      </c>
      <c r="H198">
        <v>224</v>
      </c>
      <c r="I198" t="str">
        <f>IF(VLOOKUP(D198,Customers!A:E,5,FALSE)&gt;=1000,"YES","NO")</f>
        <v>NO</v>
      </c>
      <c r="J198">
        <f t="shared" si="7"/>
        <v>224</v>
      </c>
      <c r="K198">
        <f>(J198 - VLOOKUP(F198,Desserts!A:D,4,FALSE)) * G198</f>
        <v>477</v>
      </c>
    </row>
    <row r="199" spans="1:11" x14ac:dyDescent="0.3">
      <c r="A199" t="s">
        <v>980</v>
      </c>
      <c r="B199" s="8">
        <v>45693</v>
      </c>
      <c r="C199" s="8">
        <f t="shared" si="6"/>
        <v>45693</v>
      </c>
      <c r="D199" t="s">
        <v>389</v>
      </c>
      <c r="E199" t="s">
        <v>30</v>
      </c>
      <c r="F199" t="s">
        <v>589</v>
      </c>
      <c r="G199">
        <v>5</v>
      </c>
      <c r="H199">
        <v>135</v>
      </c>
      <c r="I199" t="str">
        <f>IF(VLOOKUP(D199,Customers!A:E,5,FALSE)&gt;=1000,"YES","NO")</f>
        <v>YES</v>
      </c>
      <c r="J199">
        <f t="shared" si="7"/>
        <v>67.5</v>
      </c>
      <c r="K199">
        <f>(J199 - VLOOKUP(F199,Desserts!A:D,4,FALSE)) * G199</f>
        <v>-17.5</v>
      </c>
    </row>
    <row r="200" spans="1:11" x14ac:dyDescent="0.3">
      <c r="A200" t="s">
        <v>982</v>
      </c>
      <c r="B200" s="8">
        <v>45754</v>
      </c>
      <c r="C200" s="8">
        <f t="shared" si="6"/>
        <v>45754</v>
      </c>
      <c r="D200" t="s">
        <v>323</v>
      </c>
      <c r="E200" t="s">
        <v>54</v>
      </c>
      <c r="F200" t="s">
        <v>577</v>
      </c>
      <c r="G200">
        <v>3</v>
      </c>
      <c r="H200">
        <v>180</v>
      </c>
      <c r="I200" t="str">
        <f>IF(VLOOKUP(D200,Customers!A:E,5,FALSE)&gt;=1000,"YES","NO")</f>
        <v>NO</v>
      </c>
      <c r="J200">
        <f t="shared" si="7"/>
        <v>180</v>
      </c>
      <c r="K200">
        <f>(J200 - VLOOKUP(F200,Desserts!A:D,4,FALSE)) * G200</f>
        <v>330</v>
      </c>
    </row>
    <row r="201" spans="1:11" x14ac:dyDescent="0.3">
      <c r="A201" t="s">
        <v>983</v>
      </c>
      <c r="B201" s="8">
        <v>45946</v>
      </c>
      <c r="C201" s="8">
        <f t="shared" si="6"/>
        <v>45946</v>
      </c>
      <c r="D201" t="s">
        <v>329</v>
      </c>
      <c r="E201" t="s">
        <v>256</v>
      </c>
      <c r="F201" t="s">
        <v>529</v>
      </c>
      <c r="G201">
        <v>5</v>
      </c>
      <c r="H201">
        <v>211</v>
      </c>
      <c r="I201" t="str">
        <f>IF(VLOOKUP(D201,Customers!A:E,5,FALSE)&gt;=1000,"YES","NO")</f>
        <v>YES</v>
      </c>
      <c r="J201">
        <f t="shared" si="7"/>
        <v>105.5</v>
      </c>
      <c r="K201">
        <f>(J201 - VLOOKUP(F201,Desserts!A:D,4,FALSE)) * G201</f>
        <v>187.5</v>
      </c>
    </row>
    <row r="202" spans="1:11" x14ac:dyDescent="0.3">
      <c r="A202" t="s">
        <v>984</v>
      </c>
      <c r="B202" s="8">
        <v>45976</v>
      </c>
      <c r="C202" s="8">
        <f t="shared" si="6"/>
        <v>45976</v>
      </c>
      <c r="D202" t="s">
        <v>405</v>
      </c>
      <c r="E202" t="s">
        <v>262</v>
      </c>
      <c r="F202" t="s">
        <v>589</v>
      </c>
      <c r="G202">
        <v>4</v>
      </c>
      <c r="H202">
        <v>153</v>
      </c>
      <c r="I202" t="str">
        <f>IF(VLOOKUP(D202,Customers!A:E,5,FALSE)&gt;=1000,"YES","NO")</f>
        <v>YES</v>
      </c>
      <c r="J202">
        <f t="shared" si="7"/>
        <v>76.5</v>
      </c>
      <c r="K202">
        <f>(J202 - VLOOKUP(F202,Desserts!A:D,4,FALSE)) * G202</f>
        <v>22</v>
      </c>
    </row>
    <row r="203" spans="1:11" x14ac:dyDescent="0.3">
      <c r="A203" t="s">
        <v>986</v>
      </c>
      <c r="B203" s="8">
        <v>45908</v>
      </c>
      <c r="C203" s="8">
        <f t="shared" si="6"/>
        <v>45908</v>
      </c>
      <c r="D203" t="s">
        <v>349</v>
      </c>
      <c r="E203" t="s">
        <v>220</v>
      </c>
      <c r="F203" t="s">
        <v>591</v>
      </c>
      <c r="G203">
        <v>1</v>
      </c>
      <c r="H203">
        <v>250</v>
      </c>
      <c r="I203" t="str">
        <f>IF(VLOOKUP(D203,Customers!A:E,5,FALSE)&gt;=1000,"YES","NO")</f>
        <v>NO</v>
      </c>
      <c r="J203">
        <f t="shared" si="7"/>
        <v>250</v>
      </c>
      <c r="K203">
        <f>(J203 - VLOOKUP(F203,Desserts!A:D,4,FALSE)) * G203</f>
        <v>188</v>
      </c>
    </row>
    <row r="204" spans="1:11" x14ac:dyDescent="0.3">
      <c r="A204" t="s">
        <v>987</v>
      </c>
      <c r="B204" s="8">
        <v>45965</v>
      </c>
      <c r="C204" s="8">
        <f t="shared" si="6"/>
        <v>45965</v>
      </c>
      <c r="D204" t="s">
        <v>437</v>
      </c>
      <c r="E204" t="s">
        <v>109</v>
      </c>
      <c r="F204" t="s">
        <v>551</v>
      </c>
      <c r="G204">
        <v>1</v>
      </c>
      <c r="H204">
        <v>112</v>
      </c>
      <c r="I204" t="str">
        <f>IF(VLOOKUP(D204,Customers!A:E,5,FALSE)&gt;=1000,"YES","NO")</f>
        <v>NO</v>
      </c>
      <c r="J204">
        <f t="shared" si="7"/>
        <v>112</v>
      </c>
      <c r="K204">
        <f>(J204 - VLOOKUP(F204,Desserts!A:D,4,FALSE)) * G204</f>
        <v>43</v>
      </c>
    </row>
    <row r="205" spans="1:11" x14ac:dyDescent="0.3">
      <c r="A205" t="s">
        <v>989</v>
      </c>
      <c r="B205" s="8">
        <v>45769</v>
      </c>
      <c r="C205" s="8">
        <f t="shared" si="6"/>
        <v>45769</v>
      </c>
      <c r="D205" t="s">
        <v>413</v>
      </c>
      <c r="E205" t="s">
        <v>88</v>
      </c>
      <c r="F205" t="s">
        <v>563</v>
      </c>
      <c r="G205">
        <v>2</v>
      </c>
      <c r="H205">
        <v>138</v>
      </c>
      <c r="I205" t="str">
        <f>IF(VLOOKUP(D205,Customers!A:E,5,FALSE)&gt;=1000,"YES","NO")</f>
        <v>YES</v>
      </c>
      <c r="J205">
        <f t="shared" si="7"/>
        <v>69</v>
      </c>
      <c r="K205">
        <f>(J205 - VLOOKUP(F205,Desserts!A:D,4,FALSE)) * G205</f>
        <v>8</v>
      </c>
    </row>
    <row r="206" spans="1:11" x14ac:dyDescent="0.3">
      <c r="A206" t="s">
        <v>991</v>
      </c>
      <c r="B206" s="8">
        <v>45695</v>
      </c>
      <c r="C206" s="8">
        <f t="shared" si="6"/>
        <v>45695</v>
      </c>
      <c r="D206" t="s">
        <v>507</v>
      </c>
      <c r="E206" t="s">
        <v>115</v>
      </c>
      <c r="F206" t="s">
        <v>589</v>
      </c>
      <c r="G206">
        <v>3</v>
      </c>
      <c r="H206">
        <v>128</v>
      </c>
      <c r="I206" t="str">
        <f>IF(VLOOKUP(D206,Customers!A:E,5,FALSE)&gt;=1000,"YES","NO")</f>
        <v>NO</v>
      </c>
      <c r="J206">
        <f t="shared" si="7"/>
        <v>128</v>
      </c>
      <c r="K206">
        <f>(J206 - VLOOKUP(F206,Desserts!A:D,4,FALSE)) * G206</f>
        <v>171</v>
      </c>
    </row>
    <row r="207" spans="1:11" x14ac:dyDescent="0.3">
      <c r="A207" t="s">
        <v>993</v>
      </c>
      <c r="B207" s="8">
        <v>45752</v>
      </c>
      <c r="C207" s="8">
        <f t="shared" si="6"/>
        <v>45752</v>
      </c>
      <c r="D207" t="s">
        <v>391</v>
      </c>
      <c r="E207" t="s">
        <v>133</v>
      </c>
      <c r="F207" t="s">
        <v>521</v>
      </c>
      <c r="G207">
        <v>3</v>
      </c>
      <c r="H207">
        <v>147</v>
      </c>
      <c r="I207" t="str">
        <f>IF(VLOOKUP(D207,Customers!A:E,5,FALSE)&gt;=1000,"YES","NO")</f>
        <v>YES</v>
      </c>
      <c r="J207">
        <f t="shared" si="7"/>
        <v>73.5</v>
      </c>
      <c r="K207">
        <f>(J207 - VLOOKUP(F207,Desserts!A:D,4,FALSE)) * G207</f>
        <v>28.5</v>
      </c>
    </row>
    <row r="208" spans="1:11" x14ac:dyDescent="0.3">
      <c r="A208" t="s">
        <v>995</v>
      </c>
      <c r="B208" s="8">
        <v>45948</v>
      </c>
      <c r="C208" s="8">
        <f t="shared" si="6"/>
        <v>45948</v>
      </c>
      <c r="D208" t="s">
        <v>449</v>
      </c>
      <c r="E208" t="s">
        <v>250</v>
      </c>
      <c r="F208" t="s">
        <v>569</v>
      </c>
      <c r="G208">
        <v>2</v>
      </c>
      <c r="H208">
        <v>188</v>
      </c>
      <c r="I208" t="str">
        <f>IF(VLOOKUP(D208,Customers!A:E,5,FALSE)&gt;=1000,"YES","NO")</f>
        <v>YES</v>
      </c>
      <c r="J208">
        <f t="shared" si="7"/>
        <v>94</v>
      </c>
      <c r="K208">
        <f>(J208 - VLOOKUP(F208,Desserts!A:D,4,FALSE)) * G208</f>
        <v>34</v>
      </c>
    </row>
    <row r="209" spans="1:11" x14ac:dyDescent="0.3">
      <c r="A209" t="s">
        <v>997</v>
      </c>
      <c r="B209" s="8">
        <v>45802</v>
      </c>
      <c r="C209" s="8">
        <f t="shared" si="6"/>
        <v>45802</v>
      </c>
      <c r="D209" t="s">
        <v>515</v>
      </c>
      <c r="E209" t="s">
        <v>175</v>
      </c>
      <c r="F209" t="s">
        <v>527</v>
      </c>
      <c r="G209">
        <v>3</v>
      </c>
      <c r="H209">
        <v>223</v>
      </c>
      <c r="I209" t="str">
        <f>IF(VLOOKUP(D209,Customers!A:E,5,FALSE)&gt;=1000,"YES","NO")</f>
        <v>YES</v>
      </c>
      <c r="J209">
        <f t="shared" si="7"/>
        <v>111.5</v>
      </c>
      <c r="K209">
        <f>(J209 - VLOOKUP(F209,Desserts!A:D,4,FALSE)) * G209</f>
        <v>205.5</v>
      </c>
    </row>
    <row r="210" spans="1:11" x14ac:dyDescent="0.3">
      <c r="A210" t="s">
        <v>999</v>
      </c>
      <c r="B210" s="8">
        <v>45826</v>
      </c>
      <c r="C210" s="8">
        <f t="shared" si="6"/>
        <v>45826</v>
      </c>
      <c r="D210" t="s">
        <v>329</v>
      </c>
      <c r="E210" t="s">
        <v>190</v>
      </c>
      <c r="F210" t="s">
        <v>591</v>
      </c>
      <c r="G210">
        <v>3</v>
      </c>
      <c r="H210">
        <v>145</v>
      </c>
      <c r="I210" t="str">
        <f>IF(VLOOKUP(D210,Customers!A:E,5,FALSE)&gt;=1000,"YES","NO")</f>
        <v>YES</v>
      </c>
      <c r="J210">
        <f t="shared" si="7"/>
        <v>72.5</v>
      </c>
      <c r="K210">
        <f>(J210 - VLOOKUP(F210,Desserts!A:D,4,FALSE)) * G210</f>
        <v>31.5</v>
      </c>
    </row>
    <row r="211" spans="1:11" x14ac:dyDescent="0.3">
      <c r="A211" t="s">
        <v>1001</v>
      </c>
      <c r="B211" s="8">
        <v>45727</v>
      </c>
      <c r="C211" s="8">
        <f t="shared" si="6"/>
        <v>45727</v>
      </c>
      <c r="D211" t="s">
        <v>437</v>
      </c>
      <c r="E211" t="s">
        <v>60</v>
      </c>
      <c r="F211" t="s">
        <v>527</v>
      </c>
      <c r="G211">
        <v>1</v>
      </c>
      <c r="H211">
        <v>128</v>
      </c>
      <c r="I211" t="str">
        <f>IF(VLOOKUP(D211,Customers!A:E,5,FALSE)&gt;=1000,"YES","NO")</f>
        <v>NO</v>
      </c>
      <c r="J211">
        <f t="shared" si="7"/>
        <v>128</v>
      </c>
      <c r="K211">
        <f>(J211 - VLOOKUP(F211,Desserts!A:D,4,FALSE)) * G211</f>
        <v>85</v>
      </c>
    </row>
    <row r="212" spans="1:11" x14ac:dyDescent="0.3">
      <c r="A212" t="s">
        <v>1002</v>
      </c>
      <c r="B212" s="8">
        <v>45919</v>
      </c>
      <c r="C212" s="8">
        <f t="shared" si="6"/>
        <v>45919</v>
      </c>
      <c r="D212" t="s">
        <v>323</v>
      </c>
      <c r="E212" t="s">
        <v>40</v>
      </c>
      <c r="F212" t="s">
        <v>533</v>
      </c>
      <c r="G212">
        <v>3</v>
      </c>
      <c r="H212">
        <v>108</v>
      </c>
      <c r="I212" t="str">
        <f>IF(VLOOKUP(D212,Customers!A:E,5,FALSE)&gt;=1000,"YES","NO")</f>
        <v>NO</v>
      </c>
      <c r="J212">
        <f t="shared" si="7"/>
        <v>108</v>
      </c>
      <c r="K212">
        <f>(J212 - VLOOKUP(F212,Desserts!A:D,4,FALSE)) * G212</f>
        <v>123</v>
      </c>
    </row>
    <row r="213" spans="1:11" x14ac:dyDescent="0.3">
      <c r="A213" t="s">
        <v>1003</v>
      </c>
      <c r="B213" s="8">
        <v>45742</v>
      </c>
      <c r="C213" s="8">
        <f t="shared" si="6"/>
        <v>45742</v>
      </c>
      <c r="D213" t="s">
        <v>335</v>
      </c>
      <c r="E213" t="s">
        <v>214</v>
      </c>
      <c r="F213" t="s">
        <v>599</v>
      </c>
      <c r="G213">
        <v>3</v>
      </c>
      <c r="H213">
        <v>143</v>
      </c>
      <c r="I213" t="str">
        <f>IF(VLOOKUP(D213,Customers!A:E,5,FALSE)&gt;=1000,"YES","NO")</f>
        <v>NO</v>
      </c>
      <c r="J213">
        <f t="shared" si="7"/>
        <v>143</v>
      </c>
      <c r="K213">
        <f>(J213 - VLOOKUP(F213,Desserts!A:D,4,FALSE)) * G213</f>
        <v>189</v>
      </c>
    </row>
    <row r="214" spans="1:11" x14ac:dyDescent="0.3">
      <c r="A214" t="s">
        <v>1005</v>
      </c>
      <c r="B214" s="8">
        <v>45920</v>
      </c>
      <c r="C214" s="8">
        <f t="shared" si="6"/>
        <v>45920</v>
      </c>
      <c r="D214" t="s">
        <v>487</v>
      </c>
      <c r="E214" t="s">
        <v>142</v>
      </c>
      <c r="F214" t="s">
        <v>549</v>
      </c>
      <c r="G214">
        <v>1</v>
      </c>
      <c r="H214">
        <v>231</v>
      </c>
      <c r="I214" t="str">
        <f>IF(VLOOKUP(D214,Customers!A:E,5,FALSE)&gt;=1000,"YES","NO")</f>
        <v>NO</v>
      </c>
      <c r="J214">
        <f t="shared" si="7"/>
        <v>231</v>
      </c>
      <c r="K214">
        <f>(J214 - VLOOKUP(F214,Desserts!A:D,4,FALSE)) * G214</f>
        <v>152</v>
      </c>
    </row>
    <row r="215" spans="1:11" x14ac:dyDescent="0.3">
      <c r="A215" t="s">
        <v>1007</v>
      </c>
      <c r="B215" s="8">
        <v>45741</v>
      </c>
      <c r="C215" s="8">
        <f t="shared" si="6"/>
        <v>45741</v>
      </c>
      <c r="D215" t="s">
        <v>343</v>
      </c>
      <c r="E215" t="s">
        <v>43</v>
      </c>
      <c r="F215" t="s">
        <v>585</v>
      </c>
      <c r="G215">
        <v>2</v>
      </c>
      <c r="H215">
        <v>232</v>
      </c>
      <c r="I215" t="str">
        <f>IF(VLOOKUP(D215,Customers!A:E,5,FALSE)&gt;=1000,"YES","NO")</f>
        <v>YES</v>
      </c>
      <c r="J215">
        <f t="shared" si="7"/>
        <v>116</v>
      </c>
      <c r="K215">
        <f>(J215 - VLOOKUP(F215,Desserts!A:D,4,FALSE)) * G215</f>
        <v>138</v>
      </c>
    </row>
    <row r="216" spans="1:11" x14ac:dyDescent="0.3">
      <c r="A216" t="s">
        <v>1009</v>
      </c>
      <c r="B216" s="8">
        <v>45927</v>
      </c>
      <c r="C216" s="8">
        <f t="shared" si="6"/>
        <v>45927</v>
      </c>
      <c r="D216" t="s">
        <v>413</v>
      </c>
      <c r="E216" t="s">
        <v>193</v>
      </c>
      <c r="F216" t="s">
        <v>593</v>
      </c>
      <c r="G216">
        <v>4</v>
      </c>
      <c r="H216">
        <v>228</v>
      </c>
      <c r="I216" t="str">
        <f>IF(VLOOKUP(D216,Customers!A:E,5,FALSE)&gt;=1000,"YES","NO")</f>
        <v>YES</v>
      </c>
      <c r="J216">
        <f t="shared" si="7"/>
        <v>114</v>
      </c>
      <c r="K216">
        <f>(J216 - VLOOKUP(F216,Desserts!A:D,4,FALSE)) * G216</f>
        <v>240</v>
      </c>
    </row>
    <row r="217" spans="1:11" x14ac:dyDescent="0.3">
      <c r="A217" t="s">
        <v>1010</v>
      </c>
      <c r="B217" s="8">
        <v>45987</v>
      </c>
      <c r="C217" s="8">
        <f t="shared" si="6"/>
        <v>45987</v>
      </c>
      <c r="D217" t="s">
        <v>457</v>
      </c>
      <c r="E217" t="s">
        <v>250</v>
      </c>
      <c r="F217" t="s">
        <v>589</v>
      </c>
      <c r="G217">
        <v>4</v>
      </c>
      <c r="H217">
        <v>202</v>
      </c>
      <c r="I217" t="str">
        <f>IF(VLOOKUP(D217,Customers!A:E,5,FALSE)&gt;=1000,"YES","NO")</f>
        <v>YES</v>
      </c>
      <c r="J217">
        <f t="shared" si="7"/>
        <v>101</v>
      </c>
      <c r="K217">
        <f>(J217 - VLOOKUP(F217,Desserts!A:D,4,FALSE)) * G217</f>
        <v>120</v>
      </c>
    </row>
    <row r="218" spans="1:11" x14ac:dyDescent="0.3">
      <c r="A218" t="s">
        <v>1011</v>
      </c>
      <c r="B218" s="8">
        <v>45785</v>
      </c>
      <c r="C218" s="8">
        <f t="shared" si="6"/>
        <v>45785</v>
      </c>
      <c r="D218" t="s">
        <v>369</v>
      </c>
      <c r="E218" t="s">
        <v>301</v>
      </c>
      <c r="F218" t="s">
        <v>567</v>
      </c>
      <c r="G218">
        <v>2</v>
      </c>
      <c r="H218">
        <v>228</v>
      </c>
      <c r="I218" t="str">
        <f>IF(VLOOKUP(D218,Customers!A:E,5,FALSE)&gt;=1000,"YES","NO")</f>
        <v>YES</v>
      </c>
      <c r="J218">
        <f t="shared" si="7"/>
        <v>114</v>
      </c>
      <c r="K218">
        <f>(J218 - VLOOKUP(F218,Desserts!A:D,4,FALSE)) * G218</f>
        <v>116</v>
      </c>
    </row>
    <row r="219" spans="1:11" x14ac:dyDescent="0.3">
      <c r="A219" t="s">
        <v>1012</v>
      </c>
      <c r="B219" s="8">
        <v>45877</v>
      </c>
      <c r="C219" s="8">
        <f t="shared" si="6"/>
        <v>45877</v>
      </c>
      <c r="D219" t="s">
        <v>459</v>
      </c>
      <c r="E219" t="s">
        <v>307</v>
      </c>
      <c r="F219" t="s">
        <v>529</v>
      </c>
      <c r="G219">
        <v>3</v>
      </c>
      <c r="H219">
        <v>175</v>
      </c>
      <c r="I219" t="str">
        <f>IF(VLOOKUP(D219,Customers!A:E,5,FALSE)&gt;=1000,"YES","NO")</f>
        <v>NO</v>
      </c>
      <c r="J219">
        <f t="shared" si="7"/>
        <v>175</v>
      </c>
      <c r="K219">
        <f>(J219 - VLOOKUP(F219,Desserts!A:D,4,FALSE)) * G219</f>
        <v>321</v>
      </c>
    </row>
    <row r="220" spans="1:11" x14ac:dyDescent="0.3">
      <c r="A220" t="s">
        <v>1014</v>
      </c>
      <c r="B220" s="8">
        <v>45710</v>
      </c>
      <c r="C220" s="8">
        <f t="shared" si="6"/>
        <v>45710</v>
      </c>
      <c r="D220" t="s">
        <v>441</v>
      </c>
      <c r="E220" t="s">
        <v>262</v>
      </c>
      <c r="F220" t="s">
        <v>555</v>
      </c>
      <c r="G220">
        <v>4</v>
      </c>
      <c r="H220">
        <v>138</v>
      </c>
      <c r="I220" t="str">
        <f>IF(VLOOKUP(D220,Customers!A:E,5,FALSE)&gt;=1000,"YES","NO")</f>
        <v>NO</v>
      </c>
      <c r="J220">
        <f t="shared" si="7"/>
        <v>138</v>
      </c>
      <c r="K220">
        <f>(J220 - VLOOKUP(F220,Desserts!A:D,4,FALSE)) * G220</f>
        <v>252</v>
      </c>
    </row>
    <row r="221" spans="1:11" x14ac:dyDescent="0.3">
      <c r="A221" t="s">
        <v>1015</v>
      </c>
      <c r="B221" s="8">
        <v>45902</v>
      </c>
      <c r="C221" s="8">
        <f t="shared" si="6"/>
        <v>45902</v>
      </c>
      <c r="D221" t="s">
        <v>319</v>
      </c>
      <c r="E221" t="s">
        <v>295</v>
      </c>
      <c r="F221" t="s">
        <v>573</v>
      </c>
      <c r="G221">
        <v>3</v>
      </c>
      <c r="H221">
        <v>210</v>
      </c>
      <c r="I221" t="str">
        <f>IF(VLOOKUP(D221,Customers!A:E,5,FALSE)&gt;=1000,"YES","NO")</f>
        <v>YES</v>
      </c>
      <c r="J221">
        <f t="shared" si="7"/>
        <v>105</v>
      </c>
      <c r="K221">
        <f>(J221 - VLOOKUP(F221,Desserts!A:D,4,FALSE)) * G221</f>
        <v>165</v>
      </c>
    </row>
    <row r="222" spans="1:11" x14ac:dyDescent="0.3">
      <c r="A222" t="s">
        <v>1017</v>
      </c>
      <c r="B222" s="8">
        <v>45746</v>
      </c>
      <c r="C222" s="8">
        <f t="shared" si="6"/>
        <v>45746</v>
      </c>
      <c r="D222" t="s">
        <v>321</v>
      </c>
      <c r="E222" t="s">
        <v>9</v>
      </c>
      <c r="F222" t="s">
        <v>613</v>
      </c>
      <c r="G222">
        <v>5</v>
      </c>
      <c r="H222">
        <v>170</v>
      </c>
      <c r="I222" t="str">
        <f>IF(VLOOKUP(D222,Customers!A:E,5,FALSE)&gt;=1000,"YES","NO")</f>
        <v>NO</v>
      </c>
      <c r="J222">
        <f t="shared" si="7"/>
        <v>170</v>
      </c>
      <c r="K222">
        <f>(J222 - VLOOKUP(F222,Desserts!A:D,4,FALSE)) * G222</f>
        <v>425</v>
      </c>
    </row>
    <row r="223" spans="1:11" x14ac:dyDescent="0.3">
      <c r="A223" t="s">
        <v>1018</v>
      </c>
      <c r="B223" s="8">
        <v>45780</v>
      </c>
      <c r="C223" s="8">
        <f t="shared" si="6"/>
        <v>45780</v>
      </c>
      <c r="D223" t="s">
        <v>513</v>
      </c>
      <c r="E223" t="s">
        <v>54</v>
      </c>
      <c r="F223" t="s">
        <v>617</v>
      </c>
      <c r="G223">
        <v>5</v>
      </c>
      <c r="H223">
        <v>140</v>
      </c>
      <c r="I223" t="str">
        <f>IF(VLOOKUP(D223,Customers!A:E,5,FALSE)&gt;=1000,"YES","NO")</f>
        <v>YES</v>
      </c>
      <c r="J223">
        <f t="shared" si="7"/>
        <v>70</v>
      </c>
      <c r="K223">
        <f>(J223 - VLOOKUP(F223,Desserts!A:D,4,FALSE)) * G223</f>
        <v>145</v>
      </c>
    </row>
    <row r="224" spans="1:11" x14ac:dyDescent="0.3">
      <c r="A224" t="s">
        <v>1020</v>
      </c>
      <c r="B224" s="8">
        <v>46035</v>
      </c>
      <c r="C224" s="8">
        <f t="shared" si="6"/>
        <v>46035</v>
      </c>
      <c r="D224" t="s">
        <v>509</v>
      </c>
      <c r="E224" t="s">
        <v>208</v>
      </c>
      <c r="F224" t="s">
        <v>615</v>
      </c>
      <c r="G224">
        <v>1</v>
      </c>
      <c r="H224">
        <v>184</v>
      </c>
      <c r="I224" t="str">
        <f>IF(VLOOKUP(D224,Customers!A:E,5,FALSE)&gt;=1000,"YES","NO")</f>
        <v>NO</v>
      </c>
      <c r="J224">
        <f t="shared" si="7"/>
        <v>184</v>
      </c>
      <c r="K224">
        <f>(J224 - VLOOKUP(F224,Desserts!A:D,4,FALSE)) * G224</f>
        <v>142</v>
      </c>
    </row>
    <row r="225" spans="1:11" x14ac:dyDescent="0.3">
      <c r="A225" t="s">
        <v>1022</v>
      </c>
      <c r="B225" s="8">
        <v>45960</v>
      </c>
      <c r="C225" s="8">
        <f t="shared" si="6"/>
        <v>45960</v>
      </c>
      <c r="D225" t="s">
        <v>357</v>
      </c>
      <c r="E225" t="s">
        <v>217</v>
      </c>
      <c r="F225" t="s">
        <v>605</v>
      </c>
      <c r="G225">
        <v>4</v>
      </c>
      <c r="H225">
        <v>164</v>
      </c>
      <c r="I225" t="str">
        <f>IF(VLOOKUP(D225,Customers!A:E,5,FALSE)&gt;=1000,"YES","NO")</f>
        <v>NO</v>
      </c>
      <c r="J225">
        <f t="shared" si="7"/>
        <v>164</v>
      </c>
      <c r="K225">
        <f>(J225 - VLOOKUP(F225,Desserts!A:D,4,FALSE)) * G225</f>
        <v>408</v>
      </c>
    </row>
    <row r="226" spans="1:11" x14ac:dyDescent="0.3">
      <c r="A226" t="s">
        <v>1024</v>
      </c>
      <c r="B226" s="8">
        <v>45879</v>
      </c>
      <c r="C226" s="8">
        <f t="shared" si="6"/>
        <v>45879</v>
      </c>
      <c r="D226" t="s">
        <v>499</v>
      </c>
      <c r="E226" t="s">
        <v>259</v>
      </c>
      <c r="F226" t="s">
        <v>575</v>
      </c>
      <c r="G226">
        <v>2</v>
      </c>
      <c r="H226">
        <v>141</v>
      </c>
      <c r="I226" t="str">
        <f>IF(VLOOKUP(D226,Customers!A:E,5,FALSE)&gt;=1000,"YES","NO")</f>
        <v>NO</v>
      </c>
      <c r="J226">
        <f t="shared" si="7"/>
        <v>141</v>
      </c>
      <c r="K226">
        <f>(J226 - VLOOKUP(F226,Desserts!A:D,4,FALSE)) * G226</f>
        <v>132</v>
      </c>
    </row>
    <row r="227" spans="1:11" x14ac:dyDescent="0.3">
      <c r="A227" t="s">
        <v>1026</v>
      </c>
      <c r="B227" s="8">
        <v>45976</v>
      </c>
      <c r="C227" s="8">
        <f t="shared" si="6"/>
        <v>45976</v>
      </c>
      <c r="D227" t="s">
        <v>349</v>
      </c>
      <c r="E227" t="s">
        <v>208</v>
      </c>
      <c r="F227" t="s">
        <v>557</v>
      </c>
      <c r="G227">
        <v>3</v>
      </c>
      <c r="H227">
        <v>144</v>
      </c>
      <c r="I227" t="str">
        <f>IF(VLOOKUP(D227,Customers!A:E,5,FALSE)&gt;=1000,"YES","NO")</f>
        <v>NO</v>
      </c>
      <c r="J227">
        <f t="shared" si="7"/>
        <v>144</v>
      </c>
      <c r="K227">
        <f>(J227 - VLOOKUP(F227,Desserts!A:D,4,FALSE)) * G227</f>
        <v>180</v>
      </c>
    </row>
    <row r="228" spans="1:11" x14ac:dyDescent="0.3">
      <c r="A228" t="s">
        <v>1027</v>
      </c>
      <c r="B228" s="8">
        <v>45952</v>
      </c>
      <c r="C228" s="8">
        <f t="shared" si="6"/>
        <v>45952</v>
      </c>
      <c r="D228" t="s">
        <v>431</v>
      </c>
      <c r="E228" t="s">
        <v>220</v>
      </c>
      <c r="F228" t="s">
        <v>607</v>
      </c>
      <c r="G228">
        <v>2</v>
      </c>
      <c r="H228">
        <v>175</v>
      </c>
      <c r="I228" t="str">
        <f>IF(VLOOKUP(D228,Customers!A:E,5,FALSE)&gt;=1000,"YES","NO")</f>
        <v>YES</v>
      </c>
      <c r="J228">
        <f t="shared" si="7"/>
        <v>87.5</v>
      </c>
      <c r="K228">
        <f>(J228 - VLOOKUP(F228,Desserts!A:D,4,FALSE)) * G228</f>
        <v>35</v>
      </c>
    </row>
    <row r="229" spans="1:11" x14ac:dyDescent="0.3">
      <c r="A229" t="s">
        <v>1028</v>
      </c>
      <c r="B229" s="8">
        <v>45955</v>
      </c>
      <c r="C229" s="8">
        <f t="shared" si="6"/>
        <v>45955</v>
      </c>
      <c r="D229" t="s">
        <v>349</v>
      </c>
      <c r="E229" t="s">
        <v>202</v>
      </c>
      <c r="F229" t="s">
        <v>559</v>
      </c>
      <c r="G229">
        <v>2</v>
      </c>
      <c r="H229">
        <v>186</v>
      </c>
      <c r="I229" t="str">
        <f>IF(VLOOKUP(D229,Customers!A:E,5,FALSE)&gt;=1000,"YES","NO")</f>
        <v>NO</v>
      </c>
      <c r="J229">
        <f t="shared" si="7"/>
        <v>186</v>
      </c>
      <c r="K229">
        <f>(J229 - VLOOKUP(F229,Desserts!A:D,4,FALSE)) * G229</f>
        <v>262</v>
      </c>
    </row>
    <row r="230" spans="1:11" x14ac:dyDescent="0.3">
      <c r="A230" t="s">
        <v>1030</v>
      </c>
      <c r="B230" s="8">
        <v>45992</v>
      </c>
      <c r="C230" s="8">
        <f t="shared" si="6"/>
        <v>45992</v>
      </c>
      <c r="D230" t="s">
        <v>427</v>
      </c>
      <c r="E230" t="s">
        <v>286</v>
      </c>
      <c r="F230" t="s">
        <v>601</v>
      </c>
      <c r="G230">
        <v>1</v>
      </c>
      <c r="H230">
        <v>166</v>
      </c>
      <c r="I230" t="str">
        <f>IF(VLOOKUP(D230,Customers!A:E,5,FALSE)&gt;=1000,"YES","NO")</f>
        <v>NO</v>
      </c>
      <c r="J230">
        <f t="shared" si="7"/>
        <v>166</v>
      </c>
      <c r="K230">
        <f>(J230 - VLOOKUP(F230,Desserts!A:D,4,FALSE)) * G230</f>
        <v>111</v>
      </c>
    </row>
    <row r="231" spans="1:11" x14ac:dyDescent="0.3">
      <c r="A231" t="s">
        <v>1032</v>
      </c>
      <c r="B231" s="8">
        <v>45768</v>
      </c>
      <c r="C231" s="8">
        <f t="shared" si="6"/>
        <v>45768</v>
      </c>
      <c r="D231" t="s">
        <v>515</v>
      </c>
      <c r="E231" t="s">
        <v>118</v>
      </c>
      <c r="F231" t="s">
        <v>533</v>
      </c>
      <c r="G231">
        <v>5</v>
      </c>
      <c r="H231">
        <v>167</v>
      </c>
      <c r="I231" t="str">
        <f>IF(VLOOKUP(D231,Customers!A:E,5,FALSE)&gt;=1000,"YES","NO")</f>
        <v>YES</v>
      </c>
      <c r="J231">
        <f t="shared" si="7"/>
        <v>83.5</v>
      </c>
      <c r="K231">
        <f>(J231 - VLOOKUP(F231,Desserts!A:D,4,FALSE)) * G231</f>
        <v>82.5</v>
      </c>
    </row>
    <row r="232" spans="1:11" x14ac:dyDescent="0.3">
      <c r="A232" t="s">
        <v>1033</v>
      </c>
      <c r="B232" s="8">
        <v>45957</v>
      </c>
      <c r="C232" s="8">
        <f t="shared" si="6"/>
        <v>45957</v>
      </c>
      <c r="D232" t="s">
        <v>507</v>
      </c>
      <c r="E232" t="s">
        <v>214</v>
      </c>
      <c r="F232" t="s">
        <v>543</v>
      </c>
      <c r="G232">
        <v>2</v>
      </c>
      <c r="H232">
        <v>216</v>
      </c>
      <c r="I232" t="str">
        <f>IF(VLOOKUP(D232,Customers!A:E,5,FALSE)&gt;=1000,"YES","NO")</f>
        <v>NO</v>
      </c>
      <c r="J232">
        <f t="shared" si="7"/>
        <v>216</v>
      </c>
      <c r="K232">
        <f>(J232 - VLOOKUP(F232,Desserts!A:D,4,FALSE)) * G232</f>
        <v>286</v>
      </c>
    </row>
    <row r="233" spans="1:11" x14ac:dyDescent="0.3">
      <c r="A233" t="s">
        <v>1035</v>
      </c>
      <c r="B233" s="8">
        <v>45686</v>
      </c>
      <c r="C233" s="8">
        <f t="shared" si="6"/>
        <v>45686</v>
      </c>
      <c r="D233" t="s">
        <v>433</v>
      </c>
      <c r="E233" t="s">
        <v>253</v>
      </c>
      <c r="F233" t="s">
        <v>565</v>
      </c>
      <c r="G233">
        <v>3</v>
      </c>
      <c r="H233">
        <v>160</v>
      </c>
      <c r="I233" t="str">
        <f>IF(VLOOKUP(D233,Customers!A:E,5,FALSE)&gt;=1000,"YES","NO")</f>
        <v>YES</v>
      </c>
      <c r="J233">
        <f t="shared" si="7"/>
        <v>80</v>
      </c>
      <c r="K233">
        <f>(J233 - VLOOKUP(F233,Desserts!A:D,4,FALSE)) * G233</f>
        <v>117</v>
      </c>
    </row>
    <row r="234" spans="1:11" x14ac:dyDescent="0.3">
      <c r="A234" t="s">
        <v>1037</v>
      </c>
      <c r="B234" s="8">
        <v>45904</v>
      </c>
      <c r="C234" s="8">
        <f t="shared" si="6"/>
        <v>45904</v>
      </c>
      <c r="D234" t="s">
        <v>401</v>
      </c>
      <c r="E234" t="s">
        <v>235</v>
      </c>
      <c r="F234" t="s">
        <v>593</v>
      </c>
      <c r="G234">
        <v>4</v>
      </c>
      <c r="H234">
        <v>110</v>
      </c>
      <c r="I234" t="str">
        <f>IF(VLOOKUP(D234,Customers!A:E,5,FALSE)&gt;=1000,"YES","NO")</f>
        <v>YES</v>
      </c>
      <c r="J234">
        <f t="shared" si="7"/>
        <v>55</v>
      </c>
      <c r="K234">
        <f>(J234 - VLOOKUP(F234,Desserts!A:D,4,FALSE)) * G234</f>
        <v>4</v>
      </c>
    </row>
    <row r="235" spans="1:11" x14ac:dyDescent="0.3">
      <c r="A235" t="s">
        <v>1039</v>
      </c>
      <c r="B235" s="8">
        <v>45832</v>
      </c>
      <c r="C235" s="8">
        <f t="shared" si="6"/>
        <v>45832</v>
      </c>
      <c r="D235" t="s">
        <v>331</v>
      </c>
      <c r="E235" t="s">
        <v>190</v>
      </c>
      <c r="F235" t="s">
        <v>561</v>
      </c>
      <c r="G235">
        <v>3</v>
      </c>
      <c r="H235">
        <v>103</v>
      </c>
      <c r="I235" t="str">
        <f>IF(VLOOKUP(D235,Customers!A:E,5,FALSE)&gt;=1000,"YES","NO")</f>
        <v>YES</v>
      </c>
      <c r="J235">
        <f t="shared" si="7"/>
        <v>51.5</v>
      </c>
      <c r="K235">
        <f>(J235 - VLOOKUP(F235,Desserts!A:D,4,FALSE)) * G235</f>
        <v>-34.5</v>
      </c>
    </row>
    <row r="236" spans="1:11" x14ac:dyDescent="0.3">
      <c r="A236" t="s">
        <v>1040</v>
      </c>
      <c r="B236" s="8">
        <v>46035</v>
      </c>
      <c r="C236" s="8">
        <f t="shared" si="6"/>
        <v>46035</v>
      </c>
      <c r="D236" t="s">
        <v>499</v>
      </c>
      <c r="E236" t="s">
        <v>166</v>
      </c>
      <c r="F236" t="s">
        <v>595</v>
      </c>
      <c r="G236">
        <v>1</v>
      </c>
      <c r="H236">
        <v>207</v>
      </c>
      <c r="I236" t="str">
        <f>IF(VLOOKUP(D236,Customers!A:E,5,FALSE)&gt;=1000,"YES","NO")</f>
        <v>NO</v>
      </c>
      <c r="J236">
        <f t="shared" si="7"/>
        <v>207</v>
      </c>
      <c r="K236">
        <f>(J236 - VLOOKUP(F236,Desserts!A:D,4,FALSE)) * G236</f>
        <v>137</v>
      </c>
    </row>
    <row r="237" spans="1:11" x14ac:dyDescent="0.3">
      <c r="A237" t="s">
        <v>1041</v>
      </c>
      <c r="B237" s="8">
        <v>45960</v>
      </c>
      <c r="C237" s="8">
        <f t="shared" si="6"/>
        <v>45960</v>
      </c>
      <c r="D237" t="s">
        <v>411</v>
      </c>
      <c r="E237" t="s">
        <v>202</v>
      </c>
      <c r="F237" t="s">
        <v>553</v>
      </c>
      <c r="G237">
        <v>5</v>
      </c>
      <c r="H237">
        <v>145</v>
      </c>
      <c r="I237" t="str">
        <f>IF(VLOOKUP(D237,Customers!A:E,5,FALSE)&gt;=1000,"YES","NO")</f>
        <v>NO</v>
      </c>
      <c r="J237">
        <f t="shared" si="7"/>
        <v>145</v>
      </c>
      <c r="K237">
        <f>(J237 - VLOOKUP(F237,Desserts!A:D,4,FALSE)) * G237</f>
        <v>425</v>
      </c>
    </row>
    <row r="238" spans="1:11" x14ac:dyDescent="0.3">
      <c r="A238" t="s">
        <v>1042</v>
      </c>
      <c r="B238" s="8">
        <v>45933</v>
      </c>
      <c r="C238" s="8">
        <f t="shared" si="6"/>
        <v>45933</v>
      </c>
      <c r="D238" t="s">
        <v>437</v>
      </c>
      <c r="E238" t="s">
        <v>139</v>
      </c>
      <c r="F238" t="s">
        <v>541</v>
      </c>
      <c r="G238">
        <v>1</v>
      </c>
      <c r="H238">
        <v>179</v>
      </c>
      <c r="I238" t="str">
        <f>IF(VLOOKUP(D238,Customers!A:E,5,FALSE)&gt;=1000,"YES","NO")</f>
        <v>NO</v>
      </c>
      <c r="J238">
        <f t="shared" si="7"/>
        <v>179</v>
      </c>
      <c r="K238">
        <f>(J238 - VLOOKUP(F238,Desserts!A:D,4,FALSE)) * G238</f>
        <v>122</v>
      </c>
    </row>
    <row r="239" spans="1:11" x14ac:dyDescent="0.3">
      <c r="A239" t="s">
        <v>1044</v>
      </c>
      <c r="B239" s="8">
        <v>45837</v>
      </c>
      <c r="C239" s="8">
        <f t="shared" si="6"/>
        <v>45837</v>
      </c>
      <c r="D239" t="s">
        <v>495</v>
      </c>
      <c r="E239" t="s">
        <v>208</v>
      </c>
      <c r="F239" t="s">
        <v>557</v>
      </c>
      <c r="G239">
        <v>4</v>
      </c>
      <c r="H239">
        <v>243</v>
      </c>
      <c r="I239" t="str">
        <f>IF(VLOOKUP(D239,Customers!A:E,5,FALSE)&gt;=1000,"YES","NO")</f>
        <v>NO</v>
      </c>
      <c r="J239">
        <f t="shared" si="7"/>
        <v>243</v>
      </c>
      <c r="K239">
        <f>(J239 - VLOOKUP(F239,Desserts!A:D,4,FALSE)) * G239</f>
        <v>636</v>
      </c>
    </row>
    <row r="240" spans="1:11" x14ac:dyDescent="0.3">
      <c r="A240" t="s">
        <v>1045</v>
      </c>
      <c r="B240" s="8">
        <v>45831</v>
      </c>
      <c r="C240" s="8">
        <f t="shared" si="6"/>
        <v>45831</v>
      </c>
      <c r="D240" t="s">
        <v>501</v>
      </c>
      <c r="E240" t="s">
        <v>211</v>
      </c>
      <c r="F240" t="s">
        <v>617</v>
      </c>
      <c r="G240">
        <v>3</v>
      </c>
      <c r="H240">
        <v>242</v>
      </c>
      <c r="I240" t="str">
        <f>IF(VLOOKUP(D240,Customers!A:E,5,FALSE)&gt;=1000,"YES","NO")</f>
        <v>YES</v>
      </c>
      <c r="J240">
        <f t="shared" si="7"/>
        <v>121</v>
      </c>
      <c r="K240">
        <f>(J240 - VLOOKUP(F240,Desserts!A:D,4,FALSE)) * G240</f>
        <v>240</v>
      </c>
    </row>
    <row r="241" spans="1:11" x14ac:dyDescent="0.3">
      <c r="A241" t="s">
        <v>1046</v>
      </c>
      <c r="B241" s="8">
        <v>45874</v>
      </c>
      <c r="C241" s="8">
        <f t="shared" si="6"/>
        <v>45874</v>
      </c>
      <c r="D241" t="s">
        <v>399</v>
      </c>
      <c r="E241" t="s">
        <v>178</v>
      </c>
      <c r="F241" t="s">
        <v>563</v>
      </c>
      <c r="G241">
        <v>3</v>
      </c>
      <c r="H241">
        <v>238</v>
      </c>
      <c r="I241" t="str">
        <f>IF(VLOOKUP(D241,Customers!A:E,5,FALSE)&gt;=1000,"YES","NO")</f>
        <v>YES</v>
      </c>
      <c r="J241">
        <f t="shared" si="7"/>
        <v>119</v>
      </c>
      <c r="K241">
        <f>(J241 - VLOOKUP(F241,Desserts!A:D,4,FALSE)) * G241</f>
        <v>162</v>
      </c>
    </row>
    <row r="242" spans="1:11" x14ac:dyDescent="0.3">
      <c r="A242" t="s">
        <v>1048</v>
      </c>
      <c r="B242" s="8">
        <v>45921</v>
      </c>
      <c r="C242" s="8">
        <f t="shared" si="6"/>
        <v>45921</v>
      </c>
      <c r="D242" t="s">
        <v>451</v>
      </c>
      <c r="E242" t="s">
        <v>187</v>
      </c>
      <c r="F242" t="s">
        <v>541</v>
      </c>
      <c r="G242">
        <v>4</v>
      </c>
      <c r="H242">
        <v>196</v>
      </c>
      <c r="I242" t="str">
        <f>IF(VLOOKUP(D242,Customers!A:E,5,FALSE)&gt;=1000,"YES","NO")</f>
        <v>NO</v>
      </c>
      <c r="J242">
        <f t="shared" si="7"/>
        <v>196</v>
      </c>
      <c r="K242">
        <f>(J242 - VLOOKUP(F242,Desserts!A:D,4,FALSE)) * G242</f>
        <v>556</v>
      </c>
    </row>
    <row r="243" spans="1:11" x14ac:dyDescent="0.3">
      <c r="A243" t="s">
        <v>1050</v>
      </c>
      <c r="B243" s="8">
        <v>45863</v>
      </c>
      <c r="C243" s="8">
        <f t="shared" si="6"/>
        <v>45863</v>
      </c>
      <c r="D243" t="s">
        <v>437</v>
      </c>
      <c r="E243" t="s">
        <v>30</v>
      </c>
      <c r="F243" t="s">
        <v>589</v>
      </c>
      <c r="G243">
        <v>3</v>
      </c>
      <c r="H243">
        <v>204</v>
      </c>
      <c r="I243" t="str">
        <f>IF(VLOOKUP(D243,Customers!A:E,5,FALSE)&gt;=1000,"YES","NO")</f>
        <v>NO</v>
      </c>
      <c r="J243">
        <f t="shared" si="7"/>
        <v>204</v>
      </c>
      <c r="K243">
        <f>(J243 - VLOOKUP(F243,Desserts!A:D,4,FALSE)) * G243</f>
        <v>399</v>
      </c>
    </row>
    <row r="244" spans="1:11" x14ac:dyDescent="0.3">
      <c r="A244" t="s">
        <v>1052</v>
      </c>
      <c r="B244" s="8">
        <v>45788</v>
      </c>
      <c r="C244" s="8">
        <f t="shared" si="6"/>
        <v>45788</v>
      </c>
      <c r="D244" t="s">
        <v>399</v>
      </c>
      <c r="E244" t="s">
        <v>154</v>
      </c>
      <c r="F244" t="s">
        <v>613</v>
      </c>
      <c r="G244">
        <v>1</v>
      </c>
      <c r="H244">
        <v>224</v>
      </c>
      <c r="I244" t="str">
        <f>IF(VLOOKUP(D244,Customers!A:E,5,FALSE)&gt;=1000,"YES","NO")</f>
        <v>YES</v>
      </c>
      <c r="J244">
        <f t="shared" si="7"/>
        <v>112</v>
      </c>
      <c r="K244">
        <f>(J244 - VLOOKUP(F244,Desserts!A:D,4,FALSE)) * G244</f>
        <v>27</v>
      </c>
    </row>
    <row r="245" spans="1:11" x14ac:dyDescent="0.3">
      <c r="A245" t="s">
        <v>1053</v>
      </c>
      <c r="B245" s="8">
        <v>45940</v>
      </c>
      <c r="C245" s="8">
        <f t="shared" si="6"/>
        <v>45940</v>
      </c>
      <c r="D245" t="s">
        <v>375</v>
      </c>
      <c r="E245" t="s">
        <v>130</v>
      </c>
      <c r="F245" t="s">
        <v>545</v>
      </c>
      <c r="G245">
        <v>5</v>
      </c>
      <c r="H245">
        <v>232</v>
      </c>
      <c r="I245" t="str">
        <f>IF(VLOOKUP(D245,Customers!A:E,5,FALSE)&gt;=1000,"YES","NO")</f>
        <v>NO</v>
      </c>
      <c r="J245">
        <f t="shared" si="7"/>
        <v>232</v>
      </c>
      <c r="K245">
        <f>(J245 - VLOOKUP(F245,Desserts!A:D,4,FALSE)) * G245</f>
        <v>935</v>
      </c>
    </row>
    <row r="246" spans="1:11" x14ac:dyDescent="0.3">
      <c r="A246" t="s">
        <v>1055</v>
      </c>
      <c r="B246" s="8">
        <v>45794</v>
      </c>
      <c r="C246" s="8">
        <f t="shared" si="6"/>
        <v>45794</v>
      </c>
      <c r="D246" t="s">
        <v>499</v>
      </c>
      <c r="E246" t="s">
        <v>151</v>
      </c>
      <c r="F246" t="s">
        <v>615</v>
      </c>
      <c r="G246">
        <v>5</v>
      </c>
      <c r="H246">
        <v>141</v>
      </c>
      <c r="I246" t="str">
        <f>IF(VLOOKUP(D246,Customers!A:E,5,FALSE)&gt;=1000,"YES","NO")</f>
        <v>NO</v>
      </c>
      <c r="J246">
        <f t="shared" si="7"/>
        <v>141</v>
      </c>
      <c r="K246">
        <f>(J246 - VLOOKUP(F246,Desserts!A:D,4,FALSE)) * G246</f>
        <v>495</v>
      </c>
    </row>
    <row r="247" spans="1:11" x14ac:dyDescent="0.3">
      <c r="A247" t="s">
        <v>1056</v>
      </c>
      <c r="B247" s="8">
        <v>45911</v>
      </c>
      <c r="C247" s="8">
        <f t="shared" si="6"/>
        <v>45911</v>
      </c>
      <c r="D247" t="s">
        <v>357</v>
      </c>
      <c r="E247" t="s">
        <v>66</v>
      </c>
      <c r="F247" t="s">
        <v>595</v>
      </c>
      <c r="G247">
        <v>2</v>
      </c>
      <c r="H247">
        <v>179</v>
      </c>
      <c r="I247" t="str">
        <f>IF(VLOOKUP(D247,Customers!A:E,5,FALSE)&gt;=1000,"YES","NO")</f>
        <v>NO</v>
      </c>
      <c r="J247">
        <f t="shared" si="7"/>
        <v>179</v>
      </c>
      <c r="K247">
        <f>(J247 - VLOOKUP(F247,Desserts!A:D,4,FALSE)) * G247</f>
        <v>218</v>
      </c>
    </row>
    <row r="248" spans="1:11" x14ac:dyDescent="0.3">
      <c r="A248" t="s">
        <v>1057</v>
      </c>
      <c r="B248" s="8">
        <v>45983</v>
      </c>
      <c r="C248" s="8">
        <f t="shared" si="6"/>
        <v>45983</v>
      </c>
      <c r="D248" t="s">
        <v>431</v>
      </c>
      <c r="E248" t="s">
        <v>63</v>
      </c>
      <c r="F248" t="s">
        <v>583</v>
      </c>
      <c r="G248">
        <v>2</v>
      </c>
      <c r="H248">
        <v>156</v>
      </c>
      <c r="I248" t="str">
        <f>IF(VLOOKUP(D248,Customers!A:E,5,FALSE)&gt;=1000,"YES","NO")</f>
        <v>YES</v>
      </c>
      <c r="J248">
        <f t="shared" si="7"/>
        <v>78</v>
      </c>
      <c r="K248">
        <f>(J248 - VLOOKUP(F248,Desserts!A:D,4,FALSE)) * G248</f>
        <v>-10</v>
      </c>
    </row>
    <row r="249" spans="1:11" x14ac:dyDescent="0.3">
      <c r="A249" t="s">
        <v>1058</v>
      </c>
      <c r="B249" s="8">
        <v>45805</v>
      </c>
      <c r="C249" s="8">
        <f t="shared" si="6"/>
        <v>45805</v>
      </c>
      <c r="D249" t="s">
        <v>427</v>
      </c>
      <c r="E249" t="s">
        <v>169</v>
      </c>
      <c r="F249" t="s">
        <v>523</v>
      </c>
      <c r="G249">
        <v>3</v>
      </c>
      <c r="H249">
        <v>219</v>
      </c>
      <c r="I249" t="str">
        <f>IF(VLOOKUP(D249,Customers!A:E,5,FALSE)&gt;=1000,"YES","NO")</f>
        <v>NO</v>
      </c>
      <c r="J249">
        <f t="shared" si="7"/>
        <v>219</v>
      </c>
      <c r="K249">
        <f>(J249 - VLOOKUP(F249,Desserts!A:D,4,FALSE)) * G249</f>
        <v>453</v>
      </c>
    </row>
    <row r="250" spans="1:11" x14ac:dyDescent="0.3">
      <c r="A250" t="s">
        <v>1060</v>
      </c>
      <c r="B250" s="8">
        <v>45997</v>
      </c>
      <c r="C250" s="8">
        <f t="shared" si="6"/>
        <v>45997</v>
      </c>
      <c r="D250" t="s">
        <v>503</v>
      </c>
      <c r="E250" t="s">
        <v>187</v>
      </c>
      <c r="F250" t="s">
        <v>619</v>
      </c>
      <c r="G250">
        <v>4</v>
      </c>
      <c r="H250">
        <v>109</v>
      </c>
      <c r="I250" t="str">
        <f>IF(VLOOKUP(D250,Customers!A:E,5,FALSE)&gt;=1000,"YES","NO")</f>
        <v>NO</v>
      </c>
      <c r="J250">
        <f t="shared" si="7"/>
        <v>109</v>
      </c>
      <c r="K250">
        <f>(J250 - VLOOKUP(F250,Desserts!A:D,4,FALSE)) * G250</f>
        <v>112</v>
      </c>
    </row>
    <row r="251" spans="1:11" x14ac:dyDescent="0.3">
      <c r="A251" t="s">
        <v>1061</v>
      </c>
      <c r="B251" s="8">
        <v>45936</v>
      </c>
      <c r="C251" s="8">
        <f t="shared" si="6"/>
        <v>45936</v>
      </c>
      <c r="D251" t="s">
        <v>471</v>
      </c>
      <c r="E251" t="s">
        <v>223</v>
      </c>
      <c r="F251" t="s">
        <v>551</v>
      </c>
      <c r="G251">
        <v>3</v>
      </c>
      <c r="H251">
        <v>103</v>
      </c>
      <c r="I251" t="str">
        <f>IF(VLOOKUP(D251,Customers!A:E,5,FALSE)&gt;=1000,"YES","NO")</f>
        <v>NO</v>
      </c>
      <c r="J251">
        <f t="shared" si="7"/>
        <v>103</v>
      </c>
      <c r="K251">
        <f>(J251 - VLOOKUP(F251,Desserts!A:D,4,FALSE)) * G251</f>
        <v>102</v>
      </c>
    </row>
    <row r="252" spans="1:11" x14ac:dyDescent="0.3">
      <c r="A252" t="s">
        <v>1063</v>
      </c>
      <c r="B252" s="8">
        <v>45806</v>
      </c>
      <c r="C252" s="8">
        <f t="shared" si="6"/>
        <v>45806</v>
      </c>
      <c r="D252" t="s">
        <v>503</v>
      </c>
      <c r="E252" t="s">
        <v>27</v>
      </c>
      <c r="F252" t="s">
        <v>553</v>
      </c>
      <c r="G252">
        <v>1</v>
      </c>
      <c r="H252">
        <v>223</v>
      </c>
      <c r="I252" t="str">
        <f>IF(VLOOKUP(D252,Customers!A:E,5,FALSE)&gt;=1000,"YES","NO")</f>
        <v>NO</v>
      </c>
      <c r="J252">
        <f t="shared" si="7"/>
        <v>223</v>
      </c>
      <c r="K252">
        <f>(J252 - VLOOKUP(F252,Desserts!A:D,4,FALSE)) * G252</f>
        <v>163</v>
      </c>
    </row>
    <row r="253" spans="1:11" x14ac:dyDescent="0.3">
      <c r="A253" t="s">
        <v>1065</v>
      </c>
      <c r="B253" s="8">
        <v>45767</v>
      </c>
      <c r="C253" s="8">
        <f t="shared" si="6"/>
        <v>45767</v>
      </c>
      <c r="D253" t="s">
        <v>397</v>
      </c>
      <c r="E253" t="s">
        <v>199</v>
      </c>
      <c r="F253" t="s">
        <v>527</v>
      </c>
      <c r="G253">
        <v>2</v>
      </c>
      <c r="H253">
        <v>101</v>
      </c>
      <c r="I253" t="str">
        <f>IF(VLOOKUP(D253,Customers!A:E,5,FALSE)&gt;=1000,"YES","NO")</f>
        <v>NO</v>
      </c>
      <c r="J253">
        <f t="shared" si="7"/>
        <v>101</v>
      </c>
      <c r="K253">
        <f>(J253 - VLOOKUP(F253,Desserts!A:D,4,FALSE)) * G253</f>
        <v>116</v>
      </c>
    </row>
    <row r="254" spans="1:11" x14ac:dyDescent="0.3">
      <c r="A254" t="s">
        <v>1067</v>
      </c>
      <c r="B254" s="8">
        <v>46010</v>
      </c>
      <c r="C254" s="8">
        <f t="shared" si="6"/>
        <v>46010</v>
      </c>
      <c r="D254" t="s">
        <v>367</v>
      </c>
      <c r="E254" t="s">
        <v>196</v>
      </c>
      <c r="F254" t="s">
        <v>575</v>
      </c>
      <c r="G254">
        <v>1</v>
      </c>
      <c r="H254">
        <v>160</v>
      </c>
      <c r="I254" t="str">
        <f>IF(VLOOKUP(D254,Customers!A:E,5,FALSE)&gt;=1000,"YES","NO")</f>
        <v>NO</v>
      </c>
      <c r="J254">
        <f t="shared" si="7"/>
        <v>160</v>
      </c>
      <c r="K254">
        <f>(J254 - VLOOKUP(F254,Desserts!A:D,4,FALSE)) * G254</f>
        <v>85</v>
      </c>
    </row>
    <row r="255" spans="1:11" x14ac:dyDescent="0.3">
      <c r="A255" t="s">
        <v>1069</v>
      </c>
      <c r="B255" s="8">
        <v>45876</v>
      </c>
      <c r="C255" s="8">
        <f t="shared" si="6"/>
        <v>45876</v>
      </c>
      <c r="D255" t="s">
        <v>359</v>
      </c>
      <c r="E255" t="s">
        <v>151</v>
      </c>
      <c r="F255" t="s">
        <v>597</v>
      </c>
      <c r="G255">
        <v>4</v>
      </c>
      <c r="H255">
        <v>110</v>
      </c>
      <c r="I255" t="str">
        <f>IF(VLOOKUP(D255,Customers!A:E,5,FALSE)&gt;=1000,"YES","NO")</f>
        <v>YES</v>
      </c>
      <c r="J255">
        <f t="shared" si="7"/>
        <v>55</v>
      </c>
      <c r="K255">
        <f>(J255 - VLOOKUP(F255,Desserts!A:D,4,FALSE)) * G255</f>
        <v>40</v>
      </c>
    </row>
    <row r="256" spans="1:11" x14ac:dyDescent="0.3">
      <c r="A256" t="s">
        <v>1070</v>
      </c>
      <c r="B256" s="8">
        <v>46052</v>
      </c>
      <c r="C256" s="8">
        <f t="shared" si="6"/>
        <v>46052</v>
      </c>
      <c r="D256" t="s">
        <v>389</v>
      </c>
      <c r="E256" t="s">
        <v>187</v>
      </c>
      <c r="F256" t="s">
        <v>605</v>
      </c>
      <c r="G256">
        <v>5</v>
      </c>
      <c r="H256">
        <v>155</v>
      </c>
      <c r="I256" t="str">
        <f>IF(VLOOKUP(D256,Customers!A:E,5,FALSE)&gt;=1000,"YES","NO")</f>
        <v>YES</v>
      </c>
      <c r="J256">
        <f t="shared" si="7"/>
        <v>77.5</v>
      </c>
      <c r="K256">
        <f>(J256 - VLOOKUP(F256,Desserts!A:D,4,FALSE)) * G256</f>
        <v>77.5</v>
      </c>
    </row>
    <row r="257" spans="1:11" x14ac:dyDescent="0.3">
      <c r="A257" t="s">
        <v>1072</v>
      </c>
      <c r="B257" s="8">
        <v>45986</v>
      </c>
      <c r="C257" s="8">
        <f t="shared" si="6"/>
        <v>45986</v>
      </c>
      <c r="D257" t="s">
        <v>507</v>
      </c>
      <c r="E257" t="s">
        <v>91</v>
      </c>
      <c r="F257" t="s">
        <v>599</v>
      </c>
      <c r="G257">
        <v>3</v>
      </c>
      <c r="H257">
        <v>236</v>
      </c>
      <c r="I257" t="str">
        <f>IF(VLOOKUP(D257,Customers!A:E,5,FALSE)&gt;=1000,"YES","NO")</f>
        <v>NO</v>
      </c>
      <c r="J257">
        <f t="shared" si="7"/>
        <v>236</v>
      </c>
      <c r="K257">
        <f>(J257 - VLOOKUP(F257,Desserts!A:D,4,FALSE)) * G257</f>
        <v>468</v>
      </c>
    </row>
    <row r="258" spans="1:11" x14ac:dyDescent="0.3">
      <c r="A258" t="s">
        <v>1074</v>
      </c>
      <c r="B258" s="8">
        <v>45898</v>
      </c>
      <c r="C258" s="8">
        <f t="shared" ref="C258:C321" si="8">--B258</f>
        <v>45898</v>
      </c>
      <c r="D258" t="s">
        <v>405</v>
      </c>
      <c r="E258" t="s">
        <v>166</v>
      </c>
      <c r="F258" t="s">
        <v>531</v>
      </c>
      <c r="G258">
        <v>1</v>
      </c>
      <c r="H258">
        <v>186</v>
      </c>
      <c r="I258" t="str">
        <f>IF(VLOOKUP(D258,Customers!A:E,5,FALSE)&gt;=1000,"YES","NO")</f>
        <v>YES</v>
      </c>
      <c r="J258">
        <f t="shared" ref="J258:J321" si="9">IF(I258="YES",H258*0.5,H258)</f>
        <v>93</v>
      </c>
      <c r="K258">
        <f>(J258 - VLOOKUP(F258,Desserts!A:D,4,FALSE)) * G258</f>
        <v>8</v>
      </c>
    </row>
    <row r="259" spans="1:11" x14ac:dyDescent="0.3">
      <c r="A259" t="s">
        <v>1076</v>
      </c>
      <c r="B259" s="8">
        <v>45918</v>
      </c>
      <c r="C259" s="8">
        <f t="shared" si="8"/>
        <v>45918</v>
      </c>
      <c r="D259" t="s">
        <v>501</v>
      </c>
      <c r="E259" t="s">
        <v>301</v>
      </c>
      <c r="F259" t="s">
        <v>567</v>
      </c>
      <c r="G259">
        <v>4</v>
      </c>
      <c r="H259">
        <v>153</v>
      </c>
      <c r="I259" t="str">
        <f>IF(VLOOKUP(D259,Customers!A:E,5,FALSE)&gt;=1000,"YES","NO")</f>
        <v>YES</v>
      </c>
      <c r="J259">
        <f t="shared" si="9"/>
        <v>76.5</v>
      </c>
      <c r="K259">
        <f>(J259 - VLOOKUP(F259,Desserts!A:D,4,FALSE)) * G259</f>
        <v>82</v>
      </c>
    </row>
    <row r="260" spans="1:11" x14ac:dyDescent="0.3">
      <c r="A260" t="s">
        <v>1077</v>
      </c>
      <c r="B260" s="8">
        <v>45706</v>
      </c>
      <c r="C260" s="8">
        <f t="shared" si="8"/>
        <v>45706</v>
      </c>
      <c r="D260" t="s">
        <v>501</v>
      </c>
      <c r="E260" t="s">
        <v>250</v>
      </c>
      <c r="F260" t="s">
        <v>543</v>
      </c>
      <c r="G260">
        <v>2</v>
      </c>
      <c r="H260">
        <v>185</v>
      </c>
      <c r="I260" t="str">
        <f>IF(VLOOKUP(D260,Customers!A:E,5,FALSE)&gt;=1000,"YES","NO")</f>
        <v>YES</v>
      </c>
      <c r="J260">
        <f t="shared" si="9"/>
        <v>92.5</v>
      </c>
      <c r="K260">
        <f>(J260 - VLOOKUP(F260,Desserts!A:D,4,FALSE)) * G260</f>
        <v>39</v>
      </c>
    </row>
    <row r="261" spans="1:11" x14ac:dyDescent="0.3">
      <c r="A261" t="s">
        <v>1079</v>
      </c>
      <c r="B261" s="8">
        <v>45989</v>
      </c>
      <c r="C261" s="8">
        <f t="shared" si="8"/>
        <v>45989</v>
      </c>
      <c r="D261" t="s">
        <v>391</v>
      </c>
      <c r="E261" t="s">
        <v>193</v>
      </c>
      <c r="F261" t="s">
        <v>615</v>
      </c>
      <c r="G261">
        <v>5</v>
      </c>
      <c r="H261">
        <v>110</v>
      </c>
      <c r="I261" t="str">
        <f>IF(VLOOKUP(D261,Customers!A:E,5,FALSE)&gt;=1000,"YES","NO")</f>
        <v>YES</v>
      </c>
      <c r="J261">
        <f t="shared" si="9"/>
        <v>55</v>
      </c>
      <c r="K261">
        <f>(J261 - VLOOKUP(F261,Desserts!A:D,4,FALSE)) * G261</f>
        <v>65</v>
      </c>
    </row>
    <row r="262" spans="1:11" x14ac:dyDescent="0.3">
      <c r="A262" t="s">
        <v>1080</v>
      </c>
      <c r="B262" s="8">
        <v>45917</v>
      </c>
      <c r="C262" s="8">
        <f t="shared" si="8"/>
        <v>45917</v>
      </c>
      <c r="D262" t="s">
        <v>455</v>
      </c>
      <c r="E262" t="s">
        <v>298</v>
      </c>
      <c r="F262" t="s">
        <v>525</v>
      </c>
      <c r="G262">
        <v>5</v>
      </c>
      <c r="H262">
        <v>164</v>
      </c>
      <c r="I262" t="str">
        <f>IF(VLOOKUP(D262,Customers!A:E,5,FALSE)&gt;=1000,"YES","NO")</f>
        <v>YES</v>
      </c>
      <c r="J262">
        <f t="shared" si="9"/>
        <v>82</v>
      </c>
      <c r="K262">
        <f>(J262 - VLOOKUP(F262,Desserts!A:D,4,FALSE)) * G262</f>
        <v>-10</v>
      </c>
    </row>
    <row r="263" spans="1:11" x14ac:dyDescent="0.3">
      <c r="A263" t="s">
        <v>1082</v>
      </c>
      <c r="B263" s="8">
        <v>46002</v>
      </c>
      <c r="C263" s="8">
        <f t="shared" si="8"/>
        <v>46002</v>
      </c>
      <c r="D263" t="s">
        <v>455</v>
      </c>
      <c r="E263" t="s">
        <v>57</v>
      </c>
      <c r="F263" t="s">
        <v>575</v>
      </c>
      <c r="G263">
        <v>5</v>
      </c>
      <c r="H263">
        <v>232</v>
      </c>
      <c r="I263" t="str">
        <f>IF(VLOOKUP(D263,Customers!A:E,5,FALSE)&gt;=1000,"YES","NO")</f>
        <v>YES</v>
      </c>
      <c r="J263">
        <f t="shared" si="9"/>
        <v>116</v>
      </c>
      <c r="K263">
        <f>(J263 - VLOOKUP(F263,Desserts!A:D,4,FALSE)) * G263</f>
        <v>205</v>
      </c>
    </row>
    <row r="264" spans="1:11" x14ac:dyDescent="0.3">
      <c r="A264" t="s">
        <v>1083</v>
      </c>
      <c r="B264" s="8">
        <v>45986</v>
      </c>
      <c r="C264" s="8">
        <f t="shared" si="8"/>
        <v>45986</v>
      </c>
      <c r="D264" t="s">
        <v>379</v>
      </c>
      <c r="E264" t="s">
        <v>13</v>
      </c>
      <c r="F264" t="s">
        <v>569</v>
      </c>
      <c r="G264">
        <v>3</v>
      </c>
      <c r="H264">
        <v>227</v>
      </c>
      <c r="I264" t="str">
        <f>IF(VLOOKUP(D264,Customers!A:E,5,FALSE)&gt;=1000,"YES","NO")</f>
        <v>NO</v>
      </c>
      <c r="J264">
        <f t="shared" si="9"/>
        <v>227</v>
      </c>
      <c r="K264">
        <f>(J264 - VLOOKUP(F264,Desserts!A:D,4,FALSE)) * G264</f>
        <v>450</v>
      </c>
    </row>
    <row r="265" spans="1:11" x14ac:dyDescent="0.3">
      <c r="A265" t="s">
        <v>1084</v>
      </c>
      <c r="B265" s="8">
        <v>45725</v>
      </c>
      <c r="C265" s="8">
        <f t="shared" si="8"/>
        <v>45725</v>
      </c>
      <c r="D265" t="s">
        <v>357</v>
      </c>
      <c r="E265" t="s">
        <v>5</v>
      </c>
      <c r="F265" t="s">
        <v>617</v>
      </c>
      <c r="G265">
        <v>3</v>
      </c>
      <c r="H265">
        <v>248</v>
      </c>
      <c r="I265" t="str">
        <f>IF(VLOOKUP(D265,Customers!A:E,5,FALSE)&gt;=1000,"YES","NO")</f>
        <v>NO</v>
      </c>
      <c r="J265">
        <f t="shared" si="9"/>
        <v>248</v>
      </c>
      <c r="K265">
        <f>(J265 - VLOOKUP(F265,Desserts!A:D,4,FALSE)) * G265</f>
        <v>621</v>
      </c>
    </row>
    <row r="266" spans="1:11" x14ac:dyDescent="0.3">
      <c r="A266" t="s">
        <v>1086</v>
      </c>
      <c r="B266" s="8">
        <v>45785</v>
      </c>
      <c r="C266" s="8">
        <f t="shared" si="8"/>
        <v>45785</v>
      </c>
      <c r="D266" t="s">
        <v>439</v>
      </c>
      <c r="E266" t="s">
        <v>196</v>
      </c>
      <c r="F266" t="s">
        <v>567</v>
      </c>
      <c r="G266">
        <v>2</v>
      </c>
      <c r="H266">
        <v>136</v>
      </c>
      <c r="I266" t="str">
        <f>IF(VLOOKUP(D266,Customers!A:E,5,FALSE)&gt;=1000,"YES","NO")</f>
        <v>YES</v>
      </c>
      <c r="J266">
        <f t="shared" si="9"/>
        <v>68</v>
      </c>
      <c r="K266">
        <f>(J266 - VLOOKUP(F266,Desserts!A:D,4,FALSE)) * G266</f>
        <v>24</v>
      </c>
    </row>
    <row r="267" spans="1:11" x14ac:dyDescent="0.3">
      <c r="A267" t="s">
        <v>1087</v>
      </c>
      <c r="B267" s="8">
        <v>45670</v>
      </c>
      <c r="C267" s="8">
        <f t="shared" si="8"/>
        <v>45670</v>
      </c>
      <c r="D267" t="s">
        <v>351</v>
      </c>
      <c r="E267" t="s">
        <v>256</v>
      </c>
      <c r="F267" t="s">
        <v>617</v>
      </c>
      <c r="G267">
        <v>5</v>
      </c>
      <c r="H267">
        <v>181</v>
      </c>
      <c r="I267" t="str">
        <f>IF(VLOOKUP(D267,Customers!A:E,5,FALSE)&gt;=1000,"YES","NO")</f>
        <v>NO</v>
      </c>
      <c r="J267">
        <f t="shared" si="9"/>
        <v>181</v>
      </c>
      <c r="K267">
        <f>(J267 - VLOOKUP(F267,Desserts!A:D,4,FALSE)) * G267</f>
        <v>700</v>
      </c>
    </row>
    <row r="268" spans="1:11" x14ac:dyDescent="0.3">
      <c r="A268" t="s">
        <v>1088</v>
      </c>
      <c r="B268" s="8">
        <v>45925</v>
      </c>
      <c r="C268" s="8">
        <f t="shared" si="8"/>
        <v>45925</v>
      </c>
      <c r="D268" t="s">
        <v>511</v>
      </c>
      <c r="E268" t="s">
        <v>151</v>
      </c>
      <c r="F268" t="s">
        <v>585</v>
      </c>
      <c r="G268">
        <v>4</v>
      </c>
      <c r="H268">
        <v>128</v>
      </c>
      <c r="I268" t="str">
        <f>IF(VLOOKUP(D268,Customers!A:E,5,FALSE)&gt;=1000,"YES","NO")</f>
        <v>YES</v>
      </c>
      <c r="J268">
        <f t="shared" si="9"/>
        <v>64</v>
      </c>
      <c r="K268">
        <f>(J268 - VLOOKUP(F268,Desserts!A:D,4,FALSE)) * G268</f>
        <v>68</v>
      </c>
    </row>
    <row r="269" spans="1:11" x14ac:dyDescent="0.3">
      <c r="A269" t="s">
        <v>1089</v>
      </c>
      <c r="B269" s="8">
        <v>45728</v>
      </c>
      <c r="C269" s="8">
        <f t="shared" si="8"/>
        <v>45728</v>
      </c>
      <c r="D269" t="s">
        <v>445</v>
      </c>
      <c r="E269" t="s">
        <v>145</v>
      </c>
      <c r="F269" t="s">
        <v>581</v>
      </c>
      <c r="G269">
        <v>5</v>
      </c>
      <c r="H269">
        <v>145</v>
      </c>
      <c r="I269" t="str">
        <f>IF(VLOOKUP(D269,Customers!A:E,5,FALSE)&gt;=1000,"YES","NO")</f>
        <v>NO</v>
      </c>
      <c r="J269">
        <f t="shared" si="9"/>
        <v>145</v>
      </c>
      <c r="K269">
        <f>(J269 - VLOOKUP(F269,Desserts!A:D,4,FALSE)) * G269</f>
        <v>280</v>
      </c>
    </row>
    <row r="270" spans="1:11" x14ac:dyDescent="0.3">
      <c r="A270" t="s">
        <v>1091</v>
      </c>
      <c r="B270" s="8">
        <v>45966</v>
      </c>
      <c r="C270" s="8">
        <f t="shared" si="8"/>
        <v>45966</v>
      </c>
      <c r="D270" t="s">
        <v>469</v>
      </c>
      <c r="E270" t="s">
        <v>51</v>
      </c>
      <c r="F270" t="s">
        <v>597</v>
      </c>
      <c r="G270">
        <v>5</v>
      </c>
      <c r="H270">
        <v>196</v>
      </c>
      <c r="I270" t="str">
        <f>IF(VLOOKUP(D270,Customers!A:E,5,FALSE)&gt;=1000,"YES","NO")</f>
        <v>NO</v>
      </c>
      <c r="J270">
        <f t="shared" si="9"/>
        <v>196</v>
      </c>
      <c r="K270">
        <f>(J270 - VLOOKUP(F270,Desserts!A:D,4,FALSE)) * G270</f>
        <v>755</v>
      </c>
    </row>
    <row r="271" spans="1:11" x14ac:dyDescent="0.3">
      <c r="A271" t="s">
        <v>1092</v>
      </c>
      <c r="B271" s="8">
        <v>45902</v>
      </c>
      <c r="C271" s="8">
        <f t="shared" si="8"/>
        <v>45902</v>
      </c>
      <c r="D271" t="s">
        <v>509</v>
      </c>
      <c r="E271" t="s">
        <v>27</v>
      </c>
      <c r="F271" t="s">
        <v>529</v>
      </c>
      <c r="G271">
        <v>4</v>
      </c>
      <c r="H271">
        <v>182</v>
      </c>
      <c r="I271" t="str">
        <f>IF(VLOOKUP(D271,Customers!A:E,5,FALSE)&gt;=1000,"YES","NO")</f>
        <v>NO</v>
      </c>
      <c r="J271">
        <f t="shared" si="9"/>
        <v>182</v>
      </c>
      <c r="K271">
        <f>(J271 - VLOOKUP(F271,Desserts!A:D,4,FALSE)) * G271</f>
        <v>456</v>
      </c>
    </row>
    <row r="272" spans="1:11" x14ac:dyDescent="0.3">
      <c r="A272" t="s">
        <v>1093</v>
      </c>
      <c r="B272" s="8">
        <v>45753</v>
      </c>
      <c r="C272" s="8">
        <f t="shared" si="8"/>
        <v>45753</v>
      </c>
      <c r="D272" t="s">
        <v>447</v>
      </c>
      <c r="E272" t="s">
        <v>136</v>
      </c>
      <c r="F272" t="s">
        <v>583</v>
      </c>
      <c r="G272">
        <v>3</v>
      </c>
      <c r="H272">
        <v>187</v>
      </c>
      <c r="I272" t="str">
        <f>IF(VLOOKUP(D272,Customers!A:E,5,FALSE)&gt;=1000,"YES","NO")</f>
        <v>YES</v>
      </c>
      <c r="J272">
        <f t="shared" si="9"/>
        <v>93.5</v>
      </c>
      <c r="K272">
        <f>(J272 - VLOOKUP(F272,Desserts!A:D,4,FALSE)) * G272</f>
        <v>31.5</v>
      </c>
    </row>
    <row r="273" spans="1:11" x14ac:dyDescent="0.3">
      <c r="A273" t="s">
        <v>1095</v>
      </c>
      <c r="B273" s="8">
        <v>45929</v>
      </c>
      <c r="C273" s="8">
        <f t="shared" si="8"/>
        <v>45929</v>
      </c>
      <c r="D273" t="s">
        <v>427</v>
      </c>
      <c r="E273" t="s">
        <v>199</v>
      </c>
      <c r="F273" t="s">
        <v>615</v>
      </c>
      <c r="G273">
        <v>5</v>
      </c>
      <c r="H273">
        <v>185</v>
      </c>
      <c r="I273" t="str">
        <f>IF(VLOOKUP(D273,Customers!A:E,5,FALSE)&gt;=1000,"YES","NO")</f>
        <v>NO</v>
      </c>
      <c r="J273">
        <f t="shared" si="9"/>
        <v>185</v>
      </c>
      <c r="K273">
        <f>(J273 - VLOOKUP(F273,Desserts!A:D,4,FALSE)) * G273</f>
        <v>715</v>
      </c>
    </row>
    <row r="274" spans="1:11" x14ac:dyDescent="0.3">
      <c r="A274" t="s">
        <v>1097</v>
      </c>
      <c r="B274" s="8">
        <v>45910</v>
      </c>
      <c r="C274" s="8">
        <f t="shared" si="8"/>
        <v>45910</v>
      </c>
      <c r="D274" t="s">
        <v>329</v>
      </c>
      <c r="E274" t="s">
        <v>187</v>
      </c>
      <c r="F274" t="s">
        <v>593</v>
      </c>
      <c r="G274">
        <v>4</v>
      </c>
      <c r="H274">
        <v>185</v>
      </c>
      <c r="I274" t="str">
        <f>IF(VLOOKUP(D274,Customers!A:E,5,FALSE)&gt;=1000,"YES","NO")</f>
        <v>YES</v>
      </c>
      <c r="J274">
        <f t="shared" si="9"/>
        <v>92.5</v>
      </c>
      <c r="K274">
        <f>(J274 - VLOOKUP(F274,Desserts!A:D,4,FALSE)) * G274</f>
        <v>154</v>
      </c>
    </row>
    <row r="275" spans="1:11" x14ac:dyDescent="0.3">
      <c r="A275" t="s">
        <v>1099</v>
      </c>
      <c r="B275" s="8">
        <v>45753</v>
      </c>
      <c r="C275" s="8">
        <f t="shared" si="8"/>
        <v>45753</v>
      </c>
      <c r="D275" t="s">
        <v>417</v>
      </c>
      <c r="E275" t="s">
        <v>76</v>
      </c>
      <c r="F275" t="s">
        <v>559</v>
      </c>
      <c r="G275">
        <v>5</v>
      </c>
      <c r="H275">
        <v>218</v>
      </c>
      <c r="I275" t="str">
        <f>IF(VLOOKUP(D275,Customers!A:E,5,FALSE)&gt;=1000,"YES","NO")</f>
        <v>YES</v>
      </c>
      <c r="J275">
        <f t="shared" si="9"/>
        <v>109</v>
      </c>
      <c r="K275">
        <f>(J275 - VLOOKUP(F275,Desserts!A:D,4,FALSE)) * G275</f>
        <v>270</v>
      </c>
    </row>
    <row r="276" spans="1:11" x14ac:dyDescent="0.3">
      <c r="A276" t="s">
        <v>1100</v>
      </c>
      <c r="B276" s="8">
        <v>45699</v>
      </c>
      <c r="C276" s="8">
        <f t="shared" si="8"/>
        <v>45699</v>
      </c>
      <c r="D276" t="s">
        <v>445</v>
      </c>
      <c r="E276" t="s">
        <v>79</v>
      </c>
      <c r="F276" t="s">
        <v>609</v>
      </c>
      <c r="G276">
        <v>5</v>
      </c>
      <c r="H276">
        <v>195</v>
      </c>
      <c r="I276" t="str">
        <f>IF(VLOOKUP(D276,Customers!A:E,5,FALSE)&gt;=1000,"YES","NO")</f>
        <v>NO</v>
      </c>
      <c r="J276">
        <f t="shared" si="9"/>
        <v>195</v>
      </c>
      <c r="K276">
        <f>(J276 - VLOOKUP(F276,Desserts!A:D,4,FALSE)) * G276</f>
        <v>655</v>
      </c>
    </row>
    <row r="277" spans="1:11" x14ac:dyDescent="0.3">
      <c r="A277" t="s">
        <v>1101</v>
      </c>
      <c r="B277" s="8">
        <v>45853</v>
      </c>
      <c r="C277" s="8">
        <f t="shared" si="8"/>
        <v>45853</v>
      </c>
      <c r="D277" t="s">
        <v>451</v>
      </c>
      <c r="E277" t="s">
        <v>5</v>
      </c>
      <c r="F277" t="s">
        <v>571</v>
      </c>
      <c r="G277">
        <v>1</v>
      </c>
      <c r="H277">
        <v>244</v>
      </c>
      <c r="I277" t="str">
        <f>IF(VLOOKUP(D277,Customers!A:E,5,FALSE)&gt;=1000,"YES","NO")</f>
        <v>NO</v>
      </c>
      <c r="J277">
        <f t="shared" si="9"/>
        <v>244</v>
      </c>
      <c r="K277">
        <f>(J277 - VLOOKUP(F277,Desserts!A:D,4,FALSE)) * G277</f>
        <v>203</v>
      </c>
    </row>
    <row r="278" spans="1:11" x14ac:dyDescent="0.3">
      <c r="A278" t="s">
        <v>1103</v>
      </c>
      <c r="B278" s="8">
        <v>45845</v>
      </c>
      <c r="C278" s="8">
        <f t="shared" si="8"/>
        <v>45845</v>
      </c>
      <c r="D278" t="s">
        <v>445</v>
      </c>
      <c r="E278" t="s">
        <v>88</v>
      </c>
      <c r="F278" t="s">
        <v>601</v>
      </c>
      <c r="G278">
        <v>3</v>
      </c>
      <c r="H278">
        <v>247</v>
      </c>
      <c r="I278" t="str">
        <f>IF(VLOOKUP(D278,Customers!A:E,5,FALSE)&gt;=1000,"YES","NO")</f>
        <v>NO</v>
      </c>
      <c r="J278">
        <f t="shared" si="9"/>
        <v>247</v>
      </c>
      <c r="K278">
        <f>(J278 - VLOOKUP(F278,Desserts!A:D,4,FALSE)) * G278</f>
        <v>576</v>
      </c>
    </row>
    <row r="279" spans="1:11" x14ac:dyDescent="0.3">
      <c r="A279" t="s">
        <v>1105</v>
      </c>
      <c r="B279" s="8">
        <v>45946</v>
      </c>
      <c r="C279" s="8">
        <f t="shared" si="8"/>
        <v>45946</v>
      </c>
      <c r="D279" t="s">
        <v>407</v>
      </c>
      <c r="E279" t="s">
        <v>106</v>
      </c>
      <c r="F279" t="s">
        <v>547</v>
      </c>
      <c r="G279">
        <v>2</v>
      </c>
      <c r="H279">
        <v>115</v>
      </c>
      <c r="I279" t="str">
        <f>IF(VLOOKUP(D279,Customers!A:E,5,FALSE)&gt;=1000,"YES","NO")</f>
        <v>YES</v>
      </c>
      <c r="J279">
        <f t="shared" si="9"/>
        <v>57.5</v>
      </c>
      <c r="K279">
        <f>(J279 - VLOOKUP(F279,Desserts!A:D,4,FALSE)) * G279</f>
        <v>15</v>
      </c>
    </row>
    <row r="280" spans="1:11" x14ac:dyDescent="0.3">
      <c r="A280" t="s">
        <v>1106</v>
      </c>
      <c r="B280" s="8">
        <v>45858</v>
      </c>
      <c r="C280" s="8">
        <f t="shared" si="8"/>
        <v>45858</v>
      </c>
      <c r="D280" t="s">
        <v>505</v>
      </c>
      <c r="E280" t="s">
        <v>136</v>
      </c>
      <c r="F280" t="s">
        <v>585</v>
      </c>
      <c r="G280">
        <v>1</v>
      </c>
      <c r="H280">
        <v>240</v>
      </c>
      <c r="I280" t="str">
        <f>IF(VLOOKUP(D280,Customers!A:E,5,FALSE)&gt;=1000,"YES","NO")</f>
        <v>YES</v>
      </c>
      <c r="J280">
        <f t="shared" si="9"/>
        <v>120</v>
      </c>
      <c r="K280">
        <f>(J280 - VLOOKUP(F280,Desserts!A:D,4,FALSE)) * G280</f>
        <v>73</v>
      </c>
    </row>
    <row r="281" spans="1:11" x14ac:dyDescent="0.3">
      <c r="A281" t="s">
        <v>1108</v>
      </c>
      <c r="B281" s="8">
        <v>45711</v>
      </c>
      <c r="C281" s="8">
        <f t="shared" si="8"/>
        <v>45711</v>
      </c>
      <c r="D281" t="s">
        <v>327</v>
      </c>
      <c r="E281" t="s">
        <v>166</v>
      </c>
      <c r="F281" t="s">
        <v>609</v>
      </c>
      <c r="G281">
        <v>5</v>
      </c>
      <c r="H281">
        <v>215</v>
      </c>
      <c r="I281" t="str">
        <f>IF(VLOOKUP(D281,Customers!A:E,5,FALSE)&gt;=1000,"YES","NO")</f>
        <v>YES</v>
      </c>
      <c r="J281">
        <f t="shared" si="9"/>
        <v>107.5</v>
      </c>
      <c r="K281">
        <f>(J281 - VLOOKUP(F281,Desserts!A:D,4,FALSE)) * G281</f>
        <v>217.5</v>
      </c>
    </row>
    <row r="282" spans="1:11" x14ac:dyDescent="0.3">
      <c r="A282" t="s">
        <v>1109</v>
      </c>
      <c r="B282" s="8">
        <v>46050</v>
      </c>
      <c r="C282" s="8">
        <f t="shared" si="8"/>
        <v>46050</v>
      </c>
      <c r="D282" t="s">
        <v>429</v>
      </c>
      <c r="E282" t="s">
        <v>69</v>
      </c>
      <c r="F282" t="s">
        <v>575</v>
      </c>
      <c r="G282">
        <v>4</v>
      </c>
      <c r="H282">
        <v>220</v>
      </c>
      <c r="I282" t="str">
        <f>IF(VLOOKUP(D282,Customers!A:E,5,FALSE)&gt;=1000,"YES","NO")</f>
        <v>YES</v>
      </c>
      <c r="J282">
        <f t="shared" si="9"/>
        <v>110</v>
      </c>
      <c r="K282">
        <f>(J282 - VLOOKUP(F282,Desserts!A:D,4,FALSE)) * G282</f>
        <v>140</v>
      </c>
    </row>
    <row r="283" spans="1:11" x14ac:dyDescent="0.3">
      <c r="A283" t="s">
        <v>1111</v>
      </c>
      <c r="B283" s="8">
        <v>45951</v>
      </c>
      <c r="C283" s="8">
        <f t="shared" si="8"/>
        <v>45951</v>
      </c>
      <c r="D283" t="s">
        <v>515</v>
      </c>
      <c r="E283" t="s">
        <v>181</v>
      </c>
      <c r="F283" t="s">
        <v>545</v>
      </c>
      <c r="G283">
        <v>5</v>
      </c>
      <c r="H283">
        <v>168</v>
      </c>
      <c r="I283" t="str">
        <f>IF(VLOOKUP(D283,Customers!A:E,5,FALSE)&gt;=1000,"YES","NO")</f>
        <v>YES</v>
      </c>
      <c r="J283">
        <f t="shared" si="9"/>
        <v>84</v>
      </c>
      <c r="K283">
        <f>(J283 - VLOOKUP(F283,Desserts!A:D,4,FALSE)) * G283</f>
        <v>195</v>
      </c>
    </row>
    <row r="284" spans="1:11" x14ac:dyDescent="0.3">
      <c r="A284" t="s">
        <v>1112</v>
      </c>
      <c r="B284" s="8">
        <v>45981</v>
      </c>
      <c r="C284" s="8">
        <f t="shared" si="8"/>
        <v>45981</v>
      </c>
      <c r="D284" t="s">
        <v>413</v>
      </c>
      <c r="E284" t="s">
        <v>91</v>
      </c>
      <c r="F284" t="s">
        <v>559</v>
      </c>
      <c r="G284">
        <v>2</v>
      </c>
      <c r="H284">
        <v>115</v>
      </c>
      <c r="I284" t="str">
        <f>IF(VLOOKUP(D284,Customers!A:E,5,FALSE)&gt;=1000,"YES","NO")</f>
        <v>YES</v>
      </c>
      <c r="J284">
        <f t="shared" si="9"/>
        <v>57.5</v>
      </c>
      <c r="K284">
        <f>(J284 - VLOOKUP(F284,Desserts!A:D,4,FALSE)) * G284</f>
        <v>5</v>
      </c>
    </row>
    <row r="285" spans="1:11" x14ac:dyDescent="0.3">
      <c r="A285" t="s">
        <v>1114</v>
      </c>
      <c r="B285" s="8">
        <v>46044</v>
      </c>
      <c r="C285" s="8">
        <f t="shared" si="8"/>
        <v>46044</v>
      </c>
      <c r="D285" t="s">
        <v>411</v>
      </c>
      <c r="E285" t="s">
        <v>217</v>
      </c>
      <c r="F285" t="s">
        <v>537</v>
      </c>
      <c r="G285">
        <v>4</v>
      </c>
      <c r="H285">
        <v>127</v>
      </c>
      <c r="I285" t="str">
        <f>IF(VLOOKUP(D285,Customers!A:E,5,FALSE)&gt;=1000,"YES","NO")</f>
        <v>NO</v>
      </c>
      <c r="J285">
        <f t="shared" si="9"/>
        <v>127</v>
      </c>
      <c r="K285">
        <f>(J285 - VLOOKUP(F285,Desserts!A:D,4,FALSE)) * G285</f>
        <v>172</v>
      </c>
    </row>
    <row r="286" spans="1:11" x14ac:dyDescent="0.3">
      <c r="A286" t="s">
        <v>1115</v>
      </c>
      <c r="B286" s="8">
        <v>45720</v>
      </c>
      <c r="C286" s="8">
        <f t="shared" si="8"/>
        <v>45720</v>
      </c>
      <c r="D286" t="s">
        <v>505</v>
      </c>
      <c r="E286" t="s">
        <v>208</v>
      </c>
      <c r="F286" t="s">
        <v>577</v>
      </c>
      <c r="G286">
        <v>5</v>
      </c>
      <c r="H286">
        <v>192</v>
      </c>
      <c r="I286" t="str">
        <f>IF(VLOOKUP(D286,Customers!A:E,5,FALSE)&gt;=1000,"YES","NO")</f>
        <v>YES</v>
      </c>
      <c r="J286">
        <f t="shared" si="9"/>
        <v>96</v>
      </c>
      <c r="K286">
        <f>(J286 - VLOOKUP(F286,Desserts!A:D,4,FALSE)) * G286</f>
        <v>130</v>
      </c>
    </row>
    <row r="287" spans="1:11" x14ac:dyDescent="0.3">
      <c r="A287" t="s">
        <v>1116</v>
      </c>
      <c r="B287" s="8">
        <v>45964</v>
      </c>
      <c r="C287" s="8">
        <f t="shared" si="8"/>
        <v>45964</v>
      </c>
      <c r="D287" t="s">
        <v>345</v>
      </c>
      <c r="E287" t="s">
        <v>271</v>
      </c>
      <c r="F287" t="s">
        <v>547</v>
      </c>
      <c r="G287">
        <v>2</v>
      </c>
      <c r="H287">
        <v>244</v>
      </c>
      <c r="I287" t="str">
        <f>IF(VLOOKUP(D287,Customers!A:E,5,FALSE)&gt;=1000,"YES","NO")</f>
        <v>YES</v>
      </c>
      <c r="J287">
        <f t="shared" si="9"/>
        <v>122</v>
      </c>
      <c r="K287">
        <f>(J287 - VLOOKUP(F287,Desserts!A:D,4,FALSE)) * G287</f>
        <v>144</v>
      </c>
    </row>
    <row r="288" spans="1:11" x14ac:dyDescent="0.3">
      <c r="A288" t="s">
        <v>1118</v>
      </c>
      <c r="B288" s="8">
        <v>45901</v>
      </c>
      <c r="C288" s="8">
        <f t="shared" si="8"/>
        <v>45901</v>
      </c>
      <c r="D288" t="s">
        <v>401</v>
      </c>
      <c r="E288" t="s">
        <v>226</v>
      </c>
      <c r="F288" t="s">
        <v>551</v>
      </c>
      <c r="G288">
        <v>2</v>
      </c>
      <c r="H288">
        <v>207</v>
      </c>
      <c r="I288" t="str">
        <f>IF(VLOOKUP(D288,Customers!A:E,5,FALSE)&gt;=1000,"YES","NO")</f>
        <v>YES</v>
      </c>
      <c r="J288">
        <f t="shared" si="9"/>
        <v>103.5</v>
      </c>
      <c r="K288">
        <f>(J288 - VLOOKUP(F288,Desserts!A:D,4,FALSE)) * G288</f>
        <v>69</v>
      </c>
    </row>
    <row r="289" spans="1:11" x14ac:dyDescent="0.3">
      <c r="A289" t="s">
        <v>1119</v>
      </c>
      <c r="B289" s="8">
        <v>46005</v>
      </c>
      <c r="C289" s="8">
        <f t="shared" si="8"/>
        <v>46005</v>
      </c>
      <c r="D289" t="s">
        <v>383</v>
      </c>
      <c r="E289" t="s">
        <v>57</v>
      </c>
      <c r="F289" t="s">
        <v>561</v>
      </c>
      <c r="G289">
        <v>1</v>
      </c>
      <c r="H289">
        <v>176</v>
      </c>
      <c r="I289" t="str">
        <f>IF(VLOOKUP(D289,Customers!A:E,5,FALSE)&gt;=1000,"YES","NO")</f>
        <v>NO</v>
      </c>
      <c r="J289">
        <f t="shared" si="9"/>
        <v>176</v>
      </c>
      <c r="K289">
        <f>(J289 - VLOOKUP(F289,Desserts!A:D,4,FALSE)) * G289</f>
        <v>113</v>
      </c>
    </row>
    <row r="290" spans="1:11" x14ac:dyDescent="0.3">
      <c r="A290" t="s">
        <v>1120</v>
      </c>
      <c r="B290" s="8">
        <v>46033</v>
      </c>
      <c r="C290" s="8">
        <f t="shared" si="8"/>
        <v>46033</v>
      </c>
      <c r="D290" t="s">
        <v>345</v>
      </c>
      <c r="E290" t="s">
        <v>66</v>
      </c>
      <c r="F290" t="s">
        <v>533</v>
      </c>
      <c r="G290">
        <v>2</v>
      </c>
      <c r="H290">
        <v>172</v>
      </c>
      <c r="I290" t="str">
        <f>IF(VLOOKUP(D290,Customers!A:E,5,FALSE)&gt;=1000,"YES","NO")</f>
        <v>YES</v>
      </c>
      <c r="J290">
        <f t="shared" si="9"/>
        <v>86</v>
      </c>
      <c r="K290">
        <f>(J290 - VLOOKUP(F290,Desserts!A:D,4,FALSE)) * G290</f>
        <v>38</v>
      </c>
    </row>
    <row r="291" spans="1:11" x14ac:dyDescent="0.3">
      <c r="A291" t="s">
        <v>1122</v>
      </c>
      <c r="B291" s="8">
        <v>46038</v>
      </c>
      <c r="C291" s="8">
        <f t="shared" si="8"/>
        <v>46038</v>
      </c>
      <c r="D291" t="s">
        <v>441</v>
      </c>
      <c r="E291" t="s">
        <v>112</v>
      </c>
      <c r="F291" t="s">
        <v>561</v>
      </c>
      <c r="G291">
        <v>3</v>
      </c>
      <c r="H291">
        <v>125</v>
      </c>
      <c r="I291" t="str">
        <f>IF(VLOOKUP(D291,Customers!A:E,5,FALSE)&gt;=1000,"YES","NO")</f>
        <v>NO</v>
      </c>
      <c r="J291">
        <f t="shared" si="9"/>
        <v>125</v>
      </c>
      <c r="K291">
        <f>(J291 - VLOOKUP(F291,Desserts!A:D,4,FALSE)) * G291</f>
        <v>186</v>
      </c>
    </row>
    <row r="292" spans="1:11" x14ac:dyDescent="0.3">
      <c r="A292" t="s">
        <v>1123</v>
      </c>
      <c r="B292" s="8">
        <v>45679</v>
      </c>
      <c r="C292" s="8">
        <f t="shared" si="8"/>
        <v>45679</v>
      </c>
      <c r="D292" t="s">
        <v>441</v>
      </c>
      <c r="E292" t="s">
        <v>295</v>
      </c>
      <c r="F292" t="s">
        <v>597</v>
      </c>
      <c r="G292">
        <v>2</v>
      </c>
      <c r="H292">
        <v>169</v>
      </c>
      <c r="I292" t="str">
        <f>IF(VLOOKUP(D292,Customers!A:E,5,FALSE)&gt;=1000,"YES","NO")</f>
        <v>NO</v>
      </c>
      <c r="J292">
        <f t="shared" si="9"/>
        <v>169</v>
      </c>
      <c r="K292">
        <f>(J292 - VLOOKUP(F292,Desserts!A:D,4,FALSE)) * G292</f>
        <v>248</v>
      </c>
    </row>
    <row r="293" spans="1:11" x14ac:dyDescent="0.3">
      <c r="A293" t="s">
        <v>1125</v>
      </c>
      <c r="B293" s="8">
        <v>45815</v>
      </c>
      <c r="C293" s="8">
        <f t="shared" si="8"/>
        <v>45815</v>
      </c>
      <c r="D293" t="s">
        <v>347</v>
      </c>
      <c r="E293" t="s">
        <v>277</v>
      </c>
      <c r="F293" t="s">
        <v>535</v>
      </c>
      <c r="G293">
        <v>1</v>
      </c>
      <c r="H293">
        <v>157</v>
      </c>
      <c r="I293" t="str">
        <f>IF(VLOOKUP(D293,Customers!A:E,5,FALSE)&gt;=1000,"YES","NO")</f>
        <v>YES</v>
      </c>
      <c r="J293">
        <f t="shared" si="9"/>
        <v>78.5</v>
      </c>
      <c r="K293">
        <f>(J293 - VLOOKUP(F293,Desserts!A:D,4,FALSE)) * G293</f>
        <v>4.5</v>
      </c>
    </row>
    <row r="294" spans="1:11" x14ac:dyDescent="0.3">
      <c r="A294" t="s">
        <v>1126</v>
      </c>
      <c r="B294" s="8">
        <v>45876</v>
      </c>
      <c r="C294" s="8">
        <f t="shared" si="8"/>
        <v>45876</v>
      </c>
      <c r="D294" t="s">
        <v>335</v>
      </c>
      <c r="E294" t="s">
        <v>20</v>
      </c>
      <c r="F294" t="s">
        <v>575</v>
      </c>
      <c r="G294">
        <v>1</v>
      </c>
      <c r="H294">
        <v>145</v>
      </c>
      <c r="I294" t="str">
        <f>IF(VLOOKUP(D294,Customers!A:E,5,FALSE)&gt;=1000,"YES","NO")</f>
        <v>NO</v>
      </c>
      <c r="J294">
        <f t="shared" si="9"/>
        <v>145</v>
      </c>
      <c r="K294">
        <f>(J294 - VLOOKUP(F294,Desserts!A:D,4,FALSE)) * G294</f>
        <v>70</v>
      </c>
    </row>
    <row r="295" spans="1:11" x14ac:dyDescent="0.3">
      <c r="A295" t="s">
        <v>1127</v>
      </c>
      <c r="B295" s="8">
        <v>45944</v>
      </c>
      <c r="C295" s="8">
        <f t="shared" si="8"/>
        <v>45944</v>
      </c>
      <c r="D295" t="s">
        <v>515</v>
      </c>
      <c r="E295" t="s">
        <v>43</v>
      </c>
      <c r="F295" t="s">
        <v>541</v>
      </c>
      <c r="G295">
        <v>1</v>
      </c>
      <c r="H295">
        <v>221</v>
      </c>
      <c r="I295" t="str">
        <f>IF(VLOOKUP(D295,Customers!A:E,5,FALSE)&gt;=1000,"YES","NO")</f>
        <v>YES</v>
      </c>
      <c r="J295">
        <f t="shared" si="9"/>
        <v>110.5</v>
      </c>
      <c r="K295">
        <f>(J295 - VLOOKUP(F295,Desserts!A:D,4,FALSE)) * G295</f>
        <v>53.5</v>
      </c>
    </row>
    <row r="296" spans="1:11" x14ac:dyDescent="0.3">
      <c r="A296" t="s">
        <v>1129</v>
      </c>
      <c r="B296" s="8">
        <v>45965</v>
      </c>
      <c r="C296" s="8">
        <f t="shared" si="8"/>
        <v>45965</v>
      </c>
      <c r="D296" t="s">
        <v>483</v>
      </c>
      <c r="E296" t="s">
        <v>51</v>
      </c>
      <c r="F296" t="s">
        <v>521</v>
      </c>
      <c r="G296">
        <v>4</v>
      </c>
      <c r="H296">
        <v>228</v>
      </c>
      <c r="I296" t="str">
        <f>IF(VLOOKUP(D296,Customers!A:E,5,FALSE)&gt;=1000,"YES","NO")</f>
        <v>YES</v>
      </c>
      <c r="J296">
        <f t="shared" si="9"/>
        <v>114</v>
      </c>
      <c r="K296">
        <f>(J296 - VLOOKUP(F296,Desserts!A:D,4,FALSE)) * G296</f>
        <v>200</v>
      </c>
    </row>
    <row r="297" spans="1:11" x14ac:dyDescent="0.3">
      <c r="A297" t="s">
        <v>1130</v>
      </c>
      <c r="B297" s="8">
        <v>45966</v>
      </c>
      <c r="C297" s="8">
        <f t="shared" si="8"/>
        <v>45966</v>
      </c>
      <c r="D297" t="s">
        <v>429</v>
      </c>
      <c r="E297" t="s">
        <v>244</v>
      </c>
      <c r="F297" t="s">
        <v>597</v>
      </c>
      <c r="G297">
        <v>2</v>
      </c>
      <c r="H297">
        <v>206</v>
      </c>
      <c r="I297" t="str">
        <f>IF(VLOOKUP(D297,Customers!A:E,5,FALSE)&gt;=1000,"YES","NO")</f>
        <v>YES</v>
      </c>
      <c r="J297">
        <f t="shared" si="9"/>
        <v>103</v>
      </c>
      <c r="K297">
        <f>(J297 - VLOOKUP(F297,Desserts!A:D,4,FALSE)) * G297</f>
        <v>116</v>
      </c>
    </row>
    <row r="298" spans="1:11" x14ac:dyDescent="0.3">
      <c r="A298" t="s">
        <v>1131</v>
      </c>
      <c r="B298" s="8">
        <v>45907</v>
      </c>
      <c r="C298" s="8">
        <f t="shared" si="8"/>
        <v>45907</v>
      </c>
      <c r="D298" t="s">
        <v>335</v>
      </c>
      <c r="E298" t="s">
        <v>103</v>
      </c>
      <c r="F298" t="s">
        <v>597</v>
      </c>
      <c r="G298">
        <v>2</v>
      </c>
      <c r="H298">
        <v>221</v>
      </c>
      <c r="I298" t="str">
        <f>IF(VLOOKUP(D298,Customers!A:E,5,FALSE)&gt;=1000,"YES","NO")</f>
        <v>NO</v>
      </c>
      <c r="J298">
        <f t="shared" si="9"/>
        <v>221</v>
      </c>
      <c r="K298">
        <f>(J298 - VLOOKUP(F298,Desserts!A:D,4,FALSE)) * G298</f>
        <v>352</v>
      </c>
    </row>
    <row r="299" spans="1:11" x14ac:dyDescent="0.3">
      <c r="A299" t="s">
        <v>1133</v>
      </c>
      <c r="B299" s="8">
        <v>45714</v>
      </c>
      <c r="C299" s="8">
        <f t="shared" si="8"/>
        <v>45714</v>
      </c>
      <c r="D299" t="s">
        <v>393</v>
      </c>
      <c r="E299" t="s">
        <v>247</v>
      </c>
      <c r="F299" t="s">
        <v>613</v>
      </c>
      <c r="G299">
        <v>2</v>
      </c>
      <c r="H299">
        <v>149</v>
      </c>
      <c r="I299" t="str">
        <f>IF(VLOOKUP(D299,Customers!A:E,5,FALSE)&gt;=1000,"YES","NO")</f>
        <v>YES</v>
      </c>
      <c r="J299">
        <f t="shared" si="9"/>
        <v>74.5</v>
      </c>
      <c r="K299">
        <f>(J299 - VLOOKUP(F299,Desserts!A:D,4,FALSE)) * G299</f>
        <v>-21</v>
      </c>
    </row>
    <row r="300" spans="1:11" x14ac:dyDescent="0.3">
      <c r="A300" t="s">
        <v>1135</v>
      </c>
      <c r="B300" s="8">
        <v>45995</v>
      </c>
      <c r="C300" s="8">
        <f t="shared" si="8"/>
        <v>45995</v>
      </c>
      <c r="D300" t="s">
        <v>461</v>
      </c>
      <c r="E300" t="s">
        <v>106</v>
      </c>
      <c r="F300" t="s">
        <v>603</v>
      </c>
      <c r="G300">
        <v>3</v>
      </c>
      <c r="H300">
        <v>110</v>
      </c>
      <c r="I300" t="str">
        <f>IF(VLOOKUP(D300,Customers!A:E,5,FALSE)&gt;=1000,"YES","NO")</f>
        <v>YES</v>
      </c>
      <c r="J300">
        <f t="shared" si="9"/>
        <v>55</v>
      </c>
      <c r="K300">
        <f>(J300 - VLOOKUP(F300,Desserts!A:D,4,FALSE)) * G300</f>
        <v>-102</v>
      </c>
    </row>
    <row r="301" spans="1:11" x14ac:dyDescent="0.3">
      <c r="A301" t="s">
        <v>1137</v>
      </c>
      <c r="B301" s="8">
        <v>45991</v>
      </c>
      <c r="C301" s="8">
        <f t="shared" si="8"/>
        <v>45991</v>
      </c>
      <c r="D301" t="s">
        <v>467</v>
      </c>
      <c r="E301" t="s">
        <v>106</v>
      </c>
      <c r="F301" t="s">
        <v>603</v>
      </c>
      <c r="G301">
        <v>2</v>
      </c>
      <c r="H301">
        <v>224</v>
      </c>
      <c r="I301" t="str">
        <f>IF(VLOOKUP(D301,Customers!A:E,5,FALSE)&gt;=1000,"YES","NO")</f>
        <v>YES</v>
      </c>
      <c r="J301">
        <f t="shared" si="9"/>
        <v>112</v>
      </c>
      <c r="K301">
        <f>(J301 - VLOOKUP(F301,Desserts!A:D,4,FALSE)) * G301</f>
        <v>46</v>
      </c>
    </row>
    <row r="302" spans="1:11" x14ac:dyDescent="0.3">
      <c r="A302" t="s">
        <v>1139</v>
      </c>
      <c r="B302" s="8">
        <v>45757</v>
      </c>
      <c r="C302" s="8">
        <f t="shared" si="8"/>
        <v>45757</v>
      </c>
      <c r="D302" t="s">
        <v>389</v>
      </c>
      <c r="E302" t="s">
        <v>214</v>
      </c>
      <c r="F302" t="s">
        <v>589</v>
      </c>
      <c r="G302">
        <v>5</v>
      </c>
      <c r="H302">
        <v>189</v>
      </c>
      <c r="I302" t="str">
        <f>IF(VLOOKUP(D302,Customers!A:E,5,FALSE)&gt;=1000,"YES","NO")</f>
        <v>YES</v>
      </c>
      <c r="J302">
        <f t="shared" si="9"/>
        <v>94.5</v>
      </c>
      <c r="K302">
        <f>(J302 - VLOOKUP(F302,Desserts!A:D,4,FALSE)) * G302</f>
        <v>117.5</v>
      </c>
    </row>
    <row r="303" spans="1:11" x14ac:dyDescent="0.3">
      <c r="A303" t="s">
        <v>1141</v>
      </c>
      <c r="B303" s="8">
        <v>45821</v>
      </c>
      <c r="C303" s="8">
        <f t="shared" si="8"/>
        <v>45821</v>
      </c>
      <c r="D303" t="s">
        <v>501</v>
      </c>
      <c r="E303" t="s">
        <v>115</v>
      </c>
      <c r="F303" t="s">
        <v>573</v>
      </c>
      <c r="G303">
        <v>2</v>
      </c>
      <c r="H303">
        <v>237</v>
      </c>
      <c r="I303" t="str">
        <f>IF(VLOOKUP(D303,Customers!A:E,5,FALSE)&gt;=1000,"YES","NO")</f>
        <v>YES</v>
      </c>
      <c r="J303">
        <f t="shared" si="9"/>
        <v>118.5</v>
      </c>
      <c r="K303">
        <f>(J303 - VLOOKUP(F303,Desserts!A:D,4,FALSE)) * G303</f>
        <v>137</v>
      </c>
    </row>
    <row r="304" spans="1:11" x14ac:dyDescent="0.3">
      <c r="A304" t="s">
        <v>1143</v>
      </c>
      <c r="B304" s="8">
        <v>45965</v>
      </c>
      <c r="C304" s="8">
        <f t="shared" si="8"/>
        <v>45965</v>
      </c>
      <c r="D304" t="s">
        <v>337</v>
      </c>
      <c r="E304" t="s">
        <v>136</v>
      </c>
      <c r="F304" t="s">
        <v>553</v>
      </c>
      <c r="G304">
        <v>4</v>
      </c>
      <c r="H304">
        <v>180</v>
      </c>
      <c r="I304" t="str">
        <f>IF(VLOOKUP(D304,Customers!A:E,5,FALSE)&gt;=1000,"YES","NO")</f>
        <v>NO</v>
      </c>
      <c r="J304">
        <f t="shared" si="9"/>
        <v>180</v>
      </c>
      <c r="K304">
        <f>(J304 - VLOOKUP(F304,Desserts!A:D,4,FALSE)) * G304</f>
        <v>480</v>
      </c>
    </row>
    <row r="305" spans="1:11" x14ac:dyDescent="0.3">
      <c r="A305" t="s">
        <v>1144</v>
      </c>
      <c r="B305" s="8">
        <v>45820</v>
      </c>
      <c r="C305" s="8">
        <f t="shared" si="8"/>
        <v>45820</v>
      </c>
      <c r="D305" t="s">
        <v>387</v>
      </c>
      <c r="E305" t="s">
        <v>208</v>
      </c>
      <c r="F305" t="s">
        <v>549</v>
      </c>
      <c r="G305">
        <v>3</v>
      </c>
      <c r="H305">
        <v>162</v>
      </c>
      <c r="I305" t="str">
        <f>IF(VLOOKUP(D305,Customers!A:E,5,FALSE)&gt;=1000,"YES","NO")</f>
        <v>NO</v>
      </c>
      <c r="J305">
        <f t="shared" si="9"/>
        <v>162</v>
      </c>
      <c r="K305">
        <f>(J305 - VLOOKUP(F305,Desserts!A:D,4,FALSE)) * G305</f>
        <v>249</v>
      </c>
    </row>
    <row r="306" spans="1:11" x14ac:dyDescent="0.3">
      <c r="A306" t="s">
        <v>1146</v>
      </c>
      <c r="B306" s="8">
        <v>46047</v>
      </c>
      <c r="C306" s="8">
        <f t="shared" si="8"/>
        <v>46047</v>
      </c>
      <c r="D306" t="s">
        <v>335</v>
      </c>
      <c r="E306" t="s">
        <v>214</v>
      </c>
      <c r="F306" t="s">
        <v>607</v>
      </c>
      <c r="G306">
        <v>4</v>
      </c>
      <c r="H306">
        <v>138</v>
      </c>
      <c r="I306" t="str">
        <f>IF(VLOOKUP(D306,Customers!A:E,5,FALSE)&gt;=1000,"YES","NO")</f>
        <v>NO</v>
      </c>
      <c r="J306">
        <f t="shared" si="9"/>
        <v>138</v>
      </c>
      <c r="K306">
        <f>(J306 - VLOOKUP(F306,Desserts!A:D,4,FALSE)) * G306</f>
        <v>272</v>
      </c>
    </row>
    <row r="307" spans="1:11" x14ac:dyDescent="0.3">
      <c r="A307" t="s">
        <v>1148</v>
      </c>
      <c r="B307" s="8">
        <v>45801</v>
      </c>
      <c r="C307" s="8">
        <f t="shared" si="8"/>
        <v>45801</v>
      </c>
      <c r="D307" t="s">
        <v>319</v>
      </c>
      <c r="E307" t="s">
        <v>115</v>
      </c>
      <c r="F307" t="s">
        <v>603</v>
      </c>
      <c r="G307">
        <v>3</v>
      </c>
      <c r="H307">
        <v>174</v>
      </c>
      <c r="I307" t="str">
        <f>IF(VLOOKUP(D307,Customers!A:E,5,FALSE)&gt;=1000,"YES","NO")</f>
        <v>YES</v>
      </c>
      <c r="J307">
        <f t="shared" si="9"/>
        <v>87</v>
      </c>
      <c r="K307">
        <f>(J307 - VLOOKUP(F307,Desserts!A:D,4,FALSE)) * G307</f>
        <v>-6</v>
      </c>
    </row>
    <row r="308" spans="1:11" x14ac:dyDescent="0.3">
      <c r="A308" t="s">
        <v>1150</v>
      </c>
      <c r="B308" s="8">
        <v>45778</v>
      </c>
      <c r="C308" s="8">
        <f t="shared" si="8"/>
        <v>45778</v>
      </c>
      <c r="D308" t="s">
        <v>491</v>
      </c>
      <c r="E308" t="s">
        <v>301</v>
      </c>
      <c r="F308" t="s">
        <v>613</v>
      </c>
      <c r="G308">
        <v>3</v>
      </c>
      <c r="H308">
        <v>119</v>
      </c>
      <c r="I308" t="str">
        <f>IF(VLOOKUP(D308,Customers!A:E,5,FALSE)&gt;=1000,"YES","NO")</f>
        <v>NO</v>
      </c>
      <c r="J308">
        <f t="shared" si="9"/>
        <v>119</v>
      </c>
      <c r="K308">
        <f>(J308 - VLOOKUP(F308,Desserts!A:D,4,FALSE)) * G308</f>
        <v>102</v>
      </c>
    </row>
    <row r="309" spans="1:11" x14ac:dyDescent="0.3">
      <c r="A309" t="s">
        <v>1152</v>
      </c>
      <c r="B309" s="8">
        <v>45835</v>
      </c>
      <c r="C309" s="8">
        <f t="shared" si="8"/>
        <v>45835</v>
      </c>
      <c r="D309" t="s">
        <v>503</v>
      </c>
      <c r="E309" t="s">
        <v>193</v>
      </c>
      <c r="F309" t="s">
        <v>611</v>
      </c>
      <c r="G309">
        <v>5</v>
      </c>
      <c r="H309">
        <v>111</v>
      </c>
      <c r="I309" t="str">
        <f>IF(VLOOKUP(D309,Customers!A:E,5,FALSE)&gt;=1000,"YES","NO")</f>
        <v>NO</v>
      </c>
      <c r="J309">
        <f t="shared" si="9"/>
        <v>111</v>
      </c>
      <c r="K309">
        <f>(J309 - VLOOKUP(F309,Desserts!A:D,4,FALSE)) * G309</f>
        <v>340</v>
      </c>
    </row>
    <row r="310" spans="1:11" x14ac:dyDescent="0.3">
      <c r="A310" t="s">
        <v>1154</v>
      </c>
      <c r="B310" s="8">
        <v>45792</v>
      </c>
      <c r="C310" s="8">
        <f t="shared" si="8"/>
        <v>45792</v>
      </c>
      <c r="D310" t="s">
        <v>389</v>
      </c>
      <c r="E310" t="s">
        <v>133</v>
      </c>
      <c r="F310" t="s">
        <v>609</v>
      </c>
      <c r="G310">
        <v>2</v>
      </c>
      <c r="H310">
        <v>147</v>
      </c>
      <c r="I310" t="str">
        <f>IF(VLOOKUP(D310,Customers!A:E,5,FALSE)&gt;=1000,"YES","NO")</f>
        <v>YES</v>
      </c>
      <c r="J310">
        <f t="shared" si="9"/>
        <v>73.5</v>
      </c>
      <c r="K310">
        <f>(J310 - VLOOKUP(F310,Desserts!A:D,4,FALSE)) * G310</f>
        <v>19</v>
      </c>
    </row>
    <row r="311" spans="1:11" x14ac:dyDescent="0.3">
      <c r="A311" t="s">
        <v>1156</v>
      </c>
      <c r="B311" s="8">
        <v>45798</v>
      </c>
      <c r="C311" s="8">
        <f t="shared" si="8"/>
        <v>45798</v>
      </c>
      <c r="D311" t="s">
        <v>379</v>
      </c>
      <c r="E311" t="s">
        <v>118</v>
      </c>
      <c r="F311" t="s">
        <v>615</v>
      </c>
      <c r="G311">
        <v>4</v>
      </c>
      <c r="H311">
        <v>156</v>
      </c>
      <c r="I311" t="str">
        <f>IF(VLOOKUP(D311,Customers!A:E,5,FALSE)&gt;=1000,"YES","NO")</f>
        <v>NO</v>
      </c>
      <c r="J311">
        <f t="shared" si="9"/>
        <v>156</v>
      </c>
      <c r="K311">
        <f>(J311 - VLOOKUP(F311,Desserts!A:D,4,FALSE)) * G311</f>
        <v>456</v>
      </c>
    </row>
    <row r="312" spans="1:11" x14ac:dyDescent="0.3">
      <c r="A312" t="s">
        <v>1157</v>
      </c>
      <c r="B312" s="8">
        <v>45783</v>
      </c>
      <c r="C312" s="8">
        <f t="shared" si="8"/>
        <v>45783</v>
      </c>
      <c r="D312" t="s">
        <v>337</v>
      </c>
      <c r="E312" t="s">
        <v>13</v>
      </c>
      <c r="F312" t="s">
        <v>521</v>
      </c>
      <c r="G312">
        <v>1</v>
      </c>
      <c r="H312">
        <v>225</v>
      </c>
      <c r="I312" t="str">
        <f>IF(VLOOKUP(D312,Customers!A:E,5,FALSE)&gt;=1000,"YES","NO")</f>
        <v>NO</v>
      </c>
      <c r="J312">
        <f t="shared" si="9"/>
        <v>225</v>
      </c>
      <c r="K312">
        <f>(J312 - VLOOKUP(F312,Desserts!A:D,4,FALSE)) * G312</f>
        <v>161</v>
      </c>
    </row>
    <row r="313" spans="1:11" x14ac:dyDescent="0.3">
      <c r="A313" t="s">
        <v>1159</v>
      </c>
      <c r="B313" s="8">
        <v>45711</v>
      </c>
      <c r="C313" s="8">
        <f t="shared" si="8"/>
        <v>45711</v>
      </c>
      <c r="D313" t="s">
        <v>457</v>
      </c>
      <c r="E313" t="s">
        <v>37</v>
      </c>
      <c r="F313" t="s">
        <v>599</v>
      </c>
      <c r="G313">
        <v>2</v>
      </c>
      <c r="H313">
        <v>213</v>
      </c>
      <c r="I313" t="str">
        <f>IF(VLOOKUP(D313,Customers!A:E,5,FALSE)&gt;=1000,"YES","NO")</f>
        <v>YES</v>
      </c>
      <c r="J313">
        <f t="shared" si="9"/>
        <v>106.5</v>
      </c>
      <c r="K313">
        <f>(J313 - VLOOKUP(F313,Desserts!A:D,4,FALSE)) * G313</f>
        <v>53</v>
      </c>
    </row>
    <row r="314" spans="1:11" x14ac:dyDescent="0.3">
      <c r="A314" t="s">
        <v>1160</v>
      </c>
      <c r="B314" s="8">
        <v>46022</v>
      </c>
      <c r="C314" s="8">
        <f t="shared" si="8"/>
        <v>46022</v>
      </c>
      <c r="D314" t="s">
        <v>495</v>
      </c>
      <c r="E314" t="s">
        <v>208</v>
      </c>
      <c r="F314" t="s">
        <v>533</v>
      </c>
      <c r="G314">
        <v>1</v>
      </c>
      <c r="H314">
        <v>247</v>
      </c>
      <c r="I314" t="str">
        <f>IF(VLOOKUP(D314,Customers!A:E,5,FALSE)&gt;=1000,"YES","NO")</f>
        <v>NO</v>
      </c>
      <c r="J314">
        <f t="shared" si="9"/>
        <v>247</v>
      </c>
      <c r="K314">
        <f>(J314 - VLOOKUP(F314,Desserts!A:D,4,FALSE)) * G314</f>
        <v>180</v>
      </c>
    </row>
    <row r="315" spans="1:11" x14ac:dyDescent="0.3">
      <c r="A315" t="s">
        <v>1162</v>
      </c>
      <c r="B315" s="8">
        <v>45810</v>
      </c>
      <c r="C315" s="8">
        <f t="shared" si="8"/>
        <v>45810</v>
      </c>
      <c r="D315" t="s">
        <v>445</v>
      </c>
      <c r="E315" t="s">
        <v>301</v>
      </c>
      <c r="F315" t="s">
        <v>559</v>
      </c>
      <c r="G315">
        <v>2</v>
      </c>
      <c r="H315">
        <v>245</v>
      </c>
      <c r="I315" t="str">
        <f>IF(VLOOKUP(D315,Customers!A:E,5,FALSE)&gt;=1000,"YES","NO")</f>
        <v>NO</v>
      </c>
      <c r="J315">
        <f t="shared" si="9"/>
        <v>245</v>
      </c>
      <c r="K315">
        <f>(J315 - VLOOKUP(F315,Desserts!A:D,4,FALSE)) * G315</f>
        <v>380</v>
      </c>
    </row>
    <row r="316" spans="1:11" x14ac:dyDescent="0.3">
      <c r="A316" t="s">
        <v>1164</v>
      </c>
      <c r="B316" s="8">
        <v>46009</v>
      </c>
      <c r="C316" s="8">
        <f t="shared" si="8"/>
        <v>46009</v>
      </c>
      <c r="D316" t="s">
        <v>429</v>
      </c>
      <c r="E316" t="s">
        <v>175</v>
      </c>
      <c r="F316" t="s">
        <v>559</v>
      </c>
      <c r="G316">
        <v>2</v>
      </c>
      <c r="H316">
        <v>130</v>
      </c>
      <c r="I316" t="str">
        <f>IF(VLOOKUP(D316,Customers!A:E,5,FALSE)&gt;=1000,"YES","NO")</f>
        <v>YES</v>
      </c>
      <c r="J316">
        <f t="shared" si="9"/>
        <v>65</v>
      </c>
      <c r="K316">
        <f>(J316 - VLOOKUP(F316,Desserts!A:D,4,FALSE)) * G316</f>
        <v>20</v>
      </c>
    </row>
    <row r="317" spans="1:11" x14ac:dyDescent="0.3">
      <c r="A317" t="s">
        <v>1165</v>
      </c>
      <c r="B317" s="8">
        <v>45856</v>
      </c>
      <c r="C317" s="8">
        <f t="shared" si="8"/>
        <v>45856</v>
      </c>
      <c r="D317" t="s">
        <v>369</v>
      </c>
      <c r="E317" t="s">
        <v>256</v>
      </c>
      <c r="F317" t="s">
        <v>575</v>
      </c>
      <c r="G317">
        <v>1</v>
      </c>
      <c r="H317">
        <v>200</v>
      </c>
      <c r="I317" t="str">
        <f>IF(VLOOKUP(D317,Customers!A:E,5,FALSE)&gt;=1000,"YES","NO")</f>
        <v>YES</v>
      </c>
      <c r="J317">
        <f t="shared" si="9"/>
        <v>100</v>
      </c>
      <c r="K317">
        <f>(J317 - VLOOKUP(F317,Desserts!A:D,4,FALSE)) * G317</f>
        <v>25</v>
      </c>
    </row>
    <row r="318" spans="1:11" x14ac:dyDescent="0.3">
      <c r="A318" t="s">
        <v>1166</v>
      </c>
      <c r="B318" s="8">
        <v>45996</v>
      </c>
      <c r="C318" s="8">
        <f t="shared" si="8"/>
        <v>45996</v>
      </c>
      <c r="D318" t="s">
        <v>385</v>
      </c>
      <c r="E318" t="s">
        <v>214</v>
      </c>
      <c r="F318" t="s">
        <v>575</v>
      </c>
      <c r="G318">
        <v>3</v>
      </c>
      <c r="H318">
        <v>244</v>
      </c>
      <c r="I318" t="str">
        <f>IF(VLOOKUP(D318,Customers!A:E,5,FALSE)&gt;=1000,"YES","NO")</f>
        <v>YES</v>
      </c>
      <c r="J318">
        <f t="shared" si="9"/>
        <v>122</v>
      </c>
      <c r="K318">
        <f>(J318 - VLOOKUP(F318,Desserts!A:D,4,FALSE)) * G318</f>
        <v>141</v>
      </c>
    </row>
    <row r="319" spans="1:11" x14ac:dyDescent="0.3">
      <c r="A319" t="s">
        <v>1168</v>
      </c>
      <c r="B319" s="8">
        <v>45816</v>
      </c>
      <c r="C319" s="8">
        <f t="shared" si="8"/>
        <v>45816</v>
      </c>
      <c r="D319" t="s">
        <v>429</v>
      </c>
      <c r="E319" t="s">
        <v>211</v>
      </c>
      <c r="F319" t="s">
        <v>603</v>
      </c>
      <c r="G319">
        <v>5</v>
      </c>
      <c r="H319">
        <v>246</v>
      </c>
      <c r="I319" t="str">
        <f>IF(VLOOKUP(D319,Customers!A:E,5,FALSE)&gt;=1000,"YES","NO")</f>
        <v>YES</v>
      </c>
      <c r="J319">
        <f t="shared" si="9"/>
        <v>123</v>
      </c>
      <c r="K319">
        <f>(J319 - VLOOKUP(F319,Desserts!A:D,4,FALSE)) * G319</f>
        <v>170</v>
      </c>
    </row>
    <row r="320" spans="1:11" x14ac:dyDescent="0.3">
      <c r="A320" t="s">
        <v>1170</v>
      </c>
      <c r="B320" s="8">
        <v>45691</v>
      </c>
      <c r="C320" s="8">
        <f t="shared" si="8"/>
        <v>45691</v>
      </c>
      <c r="D320" t="s">
        <v>323</v>
      </c>
      <c r="E320" t="s">
        <v>229</v>
      </c>
      <c r="F320" t="s">
        <v>597</v>
      </c>
      <c r="G320">
        <v>4</v>
      </c>
      <c r="H320">
        <v>119</v>
      </c>
      <c r="I320" t="str">
        <f>IF(VLOOKUP(D320,Customers!A:E,5,FALSE)&gt;=1000,"YES","NO")</f>
        <v>NO</v>
      </c>
      <c r="J320">
        <f t="shared" si="9"/>
        <v>119</v>
      </c>
      <c r="K320">
        <f>(J320 - VLOOKUP(F320,Desserts!A:D,4,FALSE)) * G320</f>
        <v>296</v>
      </c>
    </row>
    <row r="321" spans="1:11" x14ac:dyDescent="0.3">
      <c r="A321" t="s">
        <v>1171</v>
      </c>
      <c r="B321" s="8">
        <v>45797</v>
      </c>
      <c r="C321" s="8">
        <f t="shared" si="8"/>
        <v>45797</v>
      </c>
      <c r="D321" t="s">
        <v>375</v>
      </c>
      <c r="E321" t="s">
        <v>235</v>
      </c>
      <c r="F321" t="s">
        <v>577</v>
      </c>
      <c r="G321">
        <v>4</v>
      </c>
      <c r="H321">
        <v>121</v>
      </c>
      <c r="I321" t="str">
        <f>IF(VLOOKUP(D321,Customers!A:E,5,FALSE)&gt;=1000,"YES","NO")</f>
        <v>NO</v>
      </c>
      <c r="J321">
        <f t="shared" si="9"/>
        <v>121</v>
      </c>
      <c r="K321">
        <f>(J321 - VLOOKUP(F321,Desserts!A:D,4,FALSE)) * G321</f>
        <v>204</v>
      </c>
    </row>
    <row r="322" spans="1:11" x14ac:dyDescent="0.3">
      <c r="A322" t="s">
        <v>1172</v>
      </c>
      <c r="B322" s="8">
        <v>45945</v>
      </c>
      <c r="C322" s="8">
        <f t="shared" ref="C322:C385" si="10">--B322</f>
        <v>45945</v>
      </c>
      <c r="D322" t="s">
        <v>473</v>
      </c>
      <c r="E322" t="s">
        <v>109</v>
      </c>
      <c r="F322" t="s">
        <v>577</v>
      </c>
      <c r="G322">
        <v>3</v>
      </c>
      <c r="H322">
        <v>155</v>
      </c>
      <c r="I322" t="str">
        <f>IF(VLOOKUP(D322,Customers!A:E,5,FALSE)&gt;=1000,"YES","NO")</f>
        <v>NO</v>
      </c>
      <c r="J322">
        <f t="shared" ref="J322:J385" si="11">IF(I322="YES",H322*0.5,H322)</f>
        <v>155</v>
      </c>
      <c r="K322">
        <f>(J322 - VLOOKUP(F322,Desserts!A:D,4,FALSE)) * G322</f>
        <v>255</v>
      </c>
    </row>
    <row r="323" spans="1:11" x14ac:dyDescent="0.3">
      <c r="A323" t="s">
        <v>1173</v>
      </c>
      <c r="B323" s="8">
        <v>46055</v>
      </c>
      <c r="C323" s="8">
        <f t="shared" si="10"/>
        <v>46055</v>
      </c>
      <c r="D323" t="s">
        <v>343</v>
      </c>
      <c r="E323" t="s">
        <v>256</v>
      </c>
      <c r="F323" t="s">
        <v>583</v>
      </c>
      <c r="G323">
        <v>2</v>
      </c>
      <c r="H323">
        <v>250</v>
      </c>
      <c r="I323" t="str">
        <f>IF(VLOOKUP(D323,Customers!A:E,5,FALSE)&gt;=1000,"YES","NO")</f>
        <v>YES</v>
      </c>
      <c r="J323">
        <f t="shared" si="11"/>
        <v>125</v>
      </c>
      <c r="K323">
        <f>(J323 - VLOOKUP(F323,Desserts!A:D,4,FALSE)) * G323</f>
        <v>84</v>
      </c>
    </row>
    <row r="324" spans="1:11" x14ac:dyDescent="0.3">
      <c r="A324" t="s">
        <v>1175</v>
      </c>
      <c r="B324" s="8">
        <v>45718</v>
      </c>
      <c r="C324" s="8">
        <f t="shared" si="10"/>
        <v>45718</v>
      </c>
      <c r="D324" t="s">
        <v>445</v>
      </c>
      <c r="E324" t="s">
        <v>103</v>
      </c>
      <c r="F324" t="s">
        <v>547</v>
      </c>
      <c r="G324">
        <v>5</v>
      </c>
      <c r="H324">
        <v>224</v>
      </c>
      <c r="I324" t="str">
        <f>IF(VLOOKUP(D324,Customers!A:E,5,FALSE)&gt;=1000,"YES","NO")</f>
        <v>NO</v>
      </c>
      <c r="J324">
        <f t="shared" si="11"/>
        <v>224</v>
      </c>
      <c r="K324">
        <f>(J324 - VLOOKUP(F324,Desserts!A:D,4,FALSE)) * G324</f>
        <v>870</v>
      </c>
    </row>
    <row r="325" spans="1:11" x14ac:dyDescent="0.3">
      <c r="A325" t="s">
        <v>1176</v>
      </c>
      <c r="B325" s="8">
        <v>45771</v>
      </c>
      <c r="C325" s="8">
        <f t="shared" si="10"/>
        <v>45771</v>
      </c>
      <c r="D325" t="s">
        <v>487</v>
      </c>
      <c r="E325" t="s">
        <v>47</v>
      </c>
      <c r="F325" t="s">
        <v>559</v>
      </c>
      <c r="G325">
        <v>2</v>
      </c>
      <c r="H325">
        <v>203</v>
      </c>
      <c r="I325" t="str">
        <f>IF(VLOOKUP(D325,Customers!A:E,5,FALSE)&gt;=1000,"YES","NO")</f>
        <v>NO</v>
      </c>
      <c r="J325">
        <f t="shared" si="11"/>
        <v>203</v>
      </c>
      <c r="K325">
        <f>(J325 - VLOOKUP(F325,Desserts!A:D,4,FALSE)) * G325</f>
        <v>296</v>
      </c>
    </row>
    <row r="326" spans="1:11" x14ac:dyDescent="0.3">
      <c r="A326" t="s">
        <v>1178</v>
      </c>
      <c r="B326" s="8">
        <v>45818</v>
      </c>
      <c r="C326" s="8">
        <f t="shared" si="10"/>
        <v>45818</v>
      </c>
      <c r="D326" t="s">
        <v>501</v>
      </c>
      <c r="E326" t="s">
        <v>310</v>
      </c>
      <c r="F326" t="s">
        <v>589</v>
      </c>
      <c r="G326">
        <v>3</v>
      </c>
      <c r="H326">
        <v>159</v>
      </c>
      <c r="I326" t="str">
        <f>IF(VLOOKUP(D326,Customers!A:E,5,FALSE)&gt;=1000,"YES","NO")</f>
        <v>YES</v>
      </c>
      <c r="J326">
        <f t="shared" si="11"/>
        <v>79.5</v>
      </c>
      <c r="K326">
        <f>(J326 - VLOOKUP(F326,Desserts!A:D,4,FALSE)) * G326</f>
        <v>25.5</v>
      </c>
    </row>
    <row r="327" spans="1:11" x14ac:dyDescent="0.3">
      <c r="A327" t="s">
        <v>1179</v>
      </c>
      <c r="B327" s="8">
        <v>45802</v>
      </c>
      <c r="C327" s="8">
        <f t="shared" si="10"/>
        <v>45802</v>
      </c>
      <c r="D327" t="s">
        <v>515</v>
      </c>
      <c r="E327" t="s">
        <v>169</v>
      </c>
      <c r="F327" t="s">
        <v>607</v>
      </c>
      <c r="G327">
        <v>5</v>
      </c>
      <c r="H327">
        <v>139</v>
      </c>
      <c r="I327" t="str">
        <f>IF(VLOOKUP(D327,Customers!A:E,5,FALSE)&gt;=1000,"YES","NO")</f>
        <v>YES</v>
      </c>
      <c r="J327">
        <f t="shared" si="11"/>
        <v>69.5</v>
      </c>
      <c r="K327">
        <f>(J327 - VLOOKUP(F327,Desserts!A:D,4,FALSE)) * G327</f>
        <v>-2.5</v>
      </c>
    </row>
    <row r="328" spans="1:11" x14ac:dyDescent="0.3">
      <c r="A328" t="s">
        <v>1180</v>
      </c>
      <c r="B328" s="8">
        <v>45871</v>
      </c>
      <c r="C328" s="8">
        <f t="shared" si="10"/>
        <v>45871</v>
      </c>
      <c r="D328" t="s">
        <v>367</v>
      </c>
      <c r="E328" t="s">
        <v>72</v>
      </c>
      <c r="F328" t="s">
        <v>595</v>
      </c>
      <c r="G328">
        <v>4</v>
      </c>
      <c r="H328">
        <v>177</v>
      </c>
      <c r="I328" t="str">
        <f>IF(VLOOKUP(D328,Customers!A:E,5,FALSE)&gt;=1000,"YES","NO")</f>
        <v>NO</v>
      </c>
      <c r="J328">
        <f t="shared" si="11"/>
        <v>177</v>
      </c>
      <c r="K328">
        <f>(J328 - VLOOKUP(F328,Desserts!A:D,4,FALSE)) * G328</f>
        <v>428</v>
      </c>
    </row>
    <row r="329" spans="1:11" x14ac:dyDescent="0.3">
      <c r="A329" t="s">
        <v>1181</v>
      </c>
      <c r="B329" s="8">
        <v>45808</v>
      </c>
      <c r="C329" s="8">
        <f t="shared" si="10"/>
        <v>45808</v>
      </c>
      <c r="D329" t="s">
        <v>497</v>
      </c>
      <c r="E329" t="s">
        <v>118</v>
      </c>
      <c r="F329" t="s">
        <v>589</v>
      </c>
      <c r="G329">
        <v>4</v>
      </c>
      <c r="H329">
        <v>224</v>
      </c>
      <c r="I329" t="str">
        <f>IF(VLOOKUP(D329,Customers!A:E,5,FALSE)&gt;=1000,"YES","NO")</f>
        <v>NO</v>
      </c>
      <c r="J329">
        <f t="shared" si="11"/>
        <v>224</v>
      </c>
      <c r="K329">
        <f>(J329 - VLOOKUP(F329,Desserts!A:D,4,FALSE)) * G329</f>
        <v>612</v>
      </c>
    </row>
    <row r="330" spans="1:11" x14ac:dyDescent="0.3">
      <c r="A330" t="s">
        <v>1182</v>
      </c>
      <c r="B330" s="8">
        <v>45938</v>
      </c>
      <c r="C330" s="8">
        <f t="shared" si="10"/>
        <v>45938</v>
      </c>
      <c r="D330" t="s">
        <v>375</v>
      </c>
      <c r="E330" t="s">
        <v>256</v>
      </c>
      <c r="F330" t="s">
        <v>583</v>
      </c>
      <c r="G330">
        <v>5</v>
      </c>
      <c r="H330">
        <v>138</v>
      </c>
      <c r="I330" t="str">
        <f>IF(VLOOKUP(D330,Customers!A:E,5,FALSE)&gt;=1000,"YES","NO")</f>
        <v>NO</v>
      </c>
      <c r="J330">
        <f t="shared" si="11"/>
        <v>138</v>
      </c>
      <c r="K330">
        <f>(J330 - VLOOKUP(F330,Desserts!A:D,4,FALSE)) * G330</f>
        <v>275</v>
      </c>
    </row>
    <row r="331" spans="1:11" x14ac:dyDescent="0.3">
      <c r="A331" t="s">
        <v>1184</v>
      </c>
      <c r="B331" s="8">
        <v>45849</v>
      </c>
      <c r="C331" s="8">
        <f t="shared" si="10"/>
        <v>45849</v>
      </c>
      <c r="D331" t="s">
        <v>385</v>
      </c>
      <c r="E331" t="s">
        <v>277</v>
      </c>
      <c r="F331" t="s">
        <v>527</v>
      </c>
      <c r="G331">
        <v>2</v>
      </c>
      <c r="H331">
        <v>229</v>
      </c>
      <c r="I331" t="str">
        <f>IF(VLOOKUP(D331,Customers!A:E,5,FALSE)&gt;=1000,"YES","NO")</f>
        <v>YES</v>
      </c>
      <c r="J331">
        <f t="shared" si="11"/>
        <v>114.5</v>
      </c>
      <c r="K331">
        <f>(J331 - VLOOKUP(F331,Desserts!A:D,4,FALSE)) * G331</f>
        <v>143</v>
      </c>
    </row>
    <row r="332" spans="1:11" x14ac:dyDescent="0.3">
      <c r="A332" t="s">
        <v>1186</v>
      </c>
      <c r="B332" s="8">
        <v>45835</v>
      </c>
      <c r="C332" s="8">
        <f t="shared" si="10"/>
        <v>45835</v>
      </c>
      <c r="D332" t="s">
        <v>501</v>
      </c>
      <c r="E332" t="s">
        <v>54</v>
      </c>
      <c r="F332" t="s">
        <v>601</v>
      </c>
      <c r="G332">
        <v>4</v>
      </c>
      <c r="H332">
        <v>102</v>
      </c>
      <c r="I332" t="str">
        <f>IF(VLOOKUP(D332,Customers!A:E,5,FALSE)&gt;=1000,"YES","NO")</f>
        <v>YES</v>
      </c>
      <c r="J332">
        <f t="shared" si="11"/>
        <v>51</v>
      </c>
      <c r="K332">
        <f>(J332 - VLOOKUP(F332,Desserts!A:D,4,FALSE)) * G332</f>
        <v>-16</v>
      </c>
    </row>
    <row r="333" spans="1:11" x14ac:dyDescent="0.3">
      <c r="A333" t="s">
        <v>1187</v>
      </c>
      <c r="B333" s="8">
        <v>45668</v>
      </c>
      <c r="C333" s="8">
        <f t="shared" si="10"/>
        <v>45668</v>
      </c>
      <c r="D333" t="s">
        <v>369</v>
      </c>
      <c r="E333" t="s">
        <v>289</v>
      </c>
      <c r="F333" t="s">
        <v>535</v>
      </c>
      <c r="G333">
        <v>5</v>
      </c>
      <c r="H333">
        <v>222</v>
      </c>
      <c r="I333" t="str">
        <f>IF(VLOOKUP(D333,Customers!A:E,5,FALSE)&gt;=1000,"YES","NO")</f>
        <v>YES</v>
      </c>
      <c r="J333">
        <f t="shared" si="11"/>
        <v>111</v>
      </c>
      <c r="K333">
        <f>(J333 - VLOOKUP(F333,Desserts!A:D,4,FALSE)) * G333</f>
        <v>185</v>
      </c>
    </row>
    <row r="334" spans="1:11" x14ac:dyDescent="0.3">
      <c r="A334" t="s">
        <v>1189</v>
      </c>
      <c r="B334" s="8">
        <v>45809</v>
      </c>
      <c r="C334" s="8">
        <f t="shared" si="10"/>
        <v>45809</v>
      </c>
      <c r="D334" t="s">
        <v>387</v>
      </c>
      <c r="E334" t="s">
        <v>268</v>
      </c>
      <c r="F334" t="s">
        <v>573</v>
      </c>
      <c r="G334">
        <v>3</v>
      </c>
      <c r="H334">
        <v>229</v>
      </c>
      <c r="I334" t="str">
        <f>IF(VLOOKUP(D334,Customers!A:E,5,FALSE)&gt;=1000,"YES","NO")</f>
        <v>NO</v>
      </c>
      <c r="J334">
        <f t="shared" si="11"/>
        <v>229</v>
      </c>
      <c r="K334">
        <f>(J334 - VLOOKUP(F334,Desserts!A:D,4,FALSE)) * G334</f>
        <v>537</v>
      </c>
    </row>
    <row r="335" spans="1:11" x14ac:dyDescent="0.3">
      <c r="A335" t="s">
        <v>1191</v>
      </c>
      <c r="B335" s="8">
        <v>45770</v>
      </c>
      <c r="C335" s="8">
        <f t="shared" si="10"/>
        <v>45770</v>
      </c>
      <c r="D335" t="s">
        <v>395</v>
      </c>
      <c r="E335" t="s">
        <v>88</v>
      </c>
      <c r="F335" t="s">
        <v>593</v>
      </c>
      <c r="G335">
        <v>2</v>
      </c>
      <c r="H335">
        <v>246</v>
      </c>
      <c r="I335" t="str">
        <f>IF(VLOOKUP(D335,Customers!A:E,5,FALSE)&gt;=1000,"YES","NO")</f>
        <v>NO</v>
      </c>
      <c r="J335">
        <f t="shared" si="11"/>
        <v>246</v>
      </c>
      <c r="K335">
        <f>(J335 - VLOOKUP(F335,Desserts!A:D,4,FALSE)) * G335</f>
        <v>384</v>
      </c>
    </row>
    <row r="336" spans="1:11" x14ac:dyDescent="0.3">
      <c r="A336" t="s">
        <v>1192</v>
      </c>
      <c r="B336" s="8">
        <v>45822</v>
      </c>
      <c r="C336" s="8">
        <f t="shared" si="10"/>
        <v>45822</v>
      </c>
      <c r="D336" t="s">
        <v>351</v>
      </c>
      <c r="E336" t="s">
        <v>286</v>
      </c>
      <c r="F336" t="s">
        <v>529</v>
      </c>
      <c r="G336">
        <v>5</v>
      </c>
      <c r="H336">
        <v>145</v>
      </c>
      <c r="I336" t="str">
        <f>IF(VLOOKUP(D336,Customers!A:E,5,FALSE)&gt;=1000,"YES","NO")</f>
        <v>NO</v>
      </c>
      <c r="J336">
        <f t="shared" si="11"/>
        <v>145</v>
      </c>
      <c r="K336">
        <f>(J336 - VLOOKUP(F336,Desserts!A:D,4,FALSE)) * G336</f>
        <v>385</v>
      </c>
    </row>
    <row r="337" spans="1:11" x14ac:dyDescent="0.3">
      <c r="A337" t="s">
        <v>1193</v>
      </c>
      <c r="B337" s="8">
        <v>46029</v>
      </c>
      <c r="C337" s="8">
        <f t="shared" si="10"/>
        <v>46029</v>
      </c>
      <c r="D337" t="s">
        <v>419</v>
      </c>
      <c r="E337" t="s">
        <v>139</v>
      </c>
      <c r="F337" t="s">
        <v>547</v>
      </c>
      <c r="G337">
        <v>5</v>
      </c>
      <c r="H337">
        <v>222</v>
      </c>
      <c r="I337" t="str">
        <f>IF(VLOOKUP(D337,Customers!A:E,5,FALSE)&gt;=1000,"YES","NO")</f>
        <v>NO</v>
      </c>
      <c r="J337">
        <f t="shared" si="11"/>
        <v>222</v>
      </c>
      <c r="K337">
        <f>(J337 - VLOOKUP(F337,Desserts!A:D,4,FALSE)) * G337</f>
        <v>860</v>
      </c>
    </row>
    <row r="338" spans="1:11" x14ac:dyDescent="0.3">
      <c r="A338" t="s">
        <v>1195</v>
      </c>
      <c r="B338" s="8">
        <v>46039</v>
      </c>
      <c r="C338" s="8">
        <f t="shared" si="10"/>
        <v>46039</v>
      </c>
      <c r="D338" t="s">
        <v>479</v>
      </c>
      <c r="E338" t="s">
        <v>5</v>
      </c>
      <c r="F338" t="s">
        <v>557</v>
      </c>
      <c r="G338">
        <v>4</v>
      </c>
      <c r="H338">
        <v>149</v>
      </c>
      <c r="I338" t="str">
        <f>IF(VLOOKUP(D338,Customers!A:E,5,FALSE)&gt;=1000,"YES","NO")</f>
        <v>YES</v>
      </c>
      <c r="J338">
        <f t="shared" si="11"/>
        <v>74.5</v>
      </c>
      <c r="K338">
        <f>(J338 - VLOOKUP(F338,Desserts!A:D,4,FALSE)) * G338</f>
        <v>-38</v>
      </c>
    </row>
    <row r="339" spans="1:11" x14ac:dyDescent="0.3">
      <c r="A339" t="s">
        <v>1197</v>
      </c>
      <c r="B339" s="8">
        <v>45944</v>
      </c>
      <c r="C339" s="8">
        <f t="shared" si="10"/>
        <v>45944</v>
      </c>
      <c r="D339" t="s">
        <v>373</v>
      </c>
      <c r="E339" t="s">
        <v>298</v>
      </c>
      <c r="F339" t="s">
        <v>525</v>
      </c>
      <c r="G339">
        <v>5</v>
      </c>
      <c r="H339">
        <v>175</v>
      </c>
      <c r="I339" t="str">
        <f>IF(VLOOKUP(D339,Customers!A:E,5,FALSE)&gt;=1000,"YES","NO")</f>
        <v>NO</v>
      </c>
      <c r="J339">
        <f t="shared" si="11"/>
        <v>175</v>
      </c>
      <c r="K339">
        <f>(J339 - VLOOKUP(F339,Desserts!A:D,4,FALSE)) * G339</f>
        <v>455</v>
      </c>
    </row>
    <row r="340" spans="1:11" x14ac:dyDescent="0.3">
      <c r="A340" t="s">
        <v>1198</v>
      </c>
      <c r="B340" s="8">
        <v>45700</v>
      </c>
      <c r="C340" s="8">
        <f t="shared" si="10"/>
        <v>45700</v>
      </c>
      <c r="D340" t="s">
        <v>511</v>
      </c>
      <c r="E340" t="s">
        <v>54</v>
      </c>
      <c r="F340" t="s">
        <v>589</v>
      </c>
      <c r="G340">
        <v>2</v>
      </c>
      <c r="H340">
        <v>116</v>
      </c>
      <c r="I340" t="str">
        <f>IF(VLOOKUP(D340,Customers!A:E,5,FALSE)&gt;=1000,"YES","NO")</f>
        <v>YES</v>
      </c>
      <c r="J340">
        <f t="shared" si="11"/>
        <v>58</v>
      </c>
      <c r="K340">
        <f>(J340 - VLOOKUP(F340,Desserts!A:D,4,FALSE)) * G340</f>
        <v>-26</v>
      </c>
    </row>
    <row r="341" spans="1:11" x14ac:dyDescent="0.3">
      <c r="A341" t="s">
        <v>1200</v>
      </c>
      <c r="B341" s="8">
        <v>45793</v>
      </c>
      <c r="C341" s="8">
        <f t="shared" si="10"/>
        <v>45793</v>
      </c>
      <c r="D341" t="s">
        <v>329</v>
      </c>
      <c r="E341" t="s">
        <v>5</v>
      </c>
      <c r="F341" t="s">
        <v>561</v>
      </c>
      <c r="G341">
        <v>1</v>
      </c>
      <c r="H341">
        <v>138</v>
      </c>
      <c r="I341" t="str">
        <f>IF(VLOOKUP(D341,Customers!A:E,5,FALSE)&gt;=1000,"YES","NO")</f>
        <v>YES</v>
      </c>
      <c r="J341">
        <f t="shared" si="11"/>
        <v>69</v>
      </c>
      <c r="K341">
        <f>(J341 - VLOOKUP(F341,Desserts!A:D,4,FALSE)) * G341</f>
        <v>6</v>
      </c>
    </row>
    <row r="342" spans="1:11" x14ac:dyDescent="0.3">
      <c r="A342" t="s">
        <v>1201</v>
      </c>
      <c r="B342" s="8">
        <v>45865</v>
      </c>
      <c r="C342" s="8">
        <f t="shared" si="10"/>
        <v>45865</v>
      </c>
      <c r="D342" t="s">
        <v>361</v>
      </c>
      <c r="E342" t="s">
        <v>193</v>
      </c>
      <c r="F342" t="s">
        <v>599</v>
      </c>
      <c r="G342">
        <v>3</v>
      </c>
      <c r="H342">
        <v>186</v>
      </c>
      <c r="I342" t="str">
        <f>IF(VLOOKUP(D342,Customers!A:E,5,FALSE)&gt;=1000,"YES","NO")</f>
        <v>NO</v>
      </c>
      <c r="J342">
        <f t="shared" si="11"/>
        <v>186</v>
      </c>
      <c r="K342">
        <f>(J342 - VLOOKUP(F342,Desserts!A:D,4,FALSE)) * G342</f>
        <v>318</v>
      </c>
    </row>
    <row r="343" spans="1:11" x14ac:dyDescent="0.3">
      <c r="A343" t="s">
        <v>1202</v>
      </c>
      <c r="B343" s="8">
        <v>45885</v>
      </c>
      <c r="C343" s="8">
        <f t="shared" si="10"/>
        <v>45885</v>
      </c>
      <c r="D343" t="s">
        <v>375</v>
      </c>
      <c r="E343" t="s">
        <v>115</v>
      </c>
      <c r="F343" t="s">
        <v>529</v>
      </c>
      <c r="G343">
        <v>1</v>
      </c>
      <c r="H343">
        <v>143</v>
      </c>
      <c r="I343" t="str">
        <f>IF(VLOOKUP(D343,Customers!A:E,5,FALSE)&gt;=1000,"YES","NO")</f>
        <v>NO</v>
      </c>
      <c r="J343">
        <f t="shared" si="11"/>
        <v>143</v>
      </c>
      <c r="K343">
        <f>(J343 - VLOOKUP(F343,Desserts!A:D,4,FALSE)) * G343</f>
        <v>75</v>
      </c>
    </row>
    <row r="344" spans="1:11" x14ac:dyDescent="0.3">
      <c r="A344" t="s">
        <v>1204</v>
      </c>
      <c r="B344" s="8">
        <v>45840</v>
      </c>
      <c r="C344" s="8">
        <f t="shared" si="10"/>
        <v>45840</v>
      </c>
      <c r="D344" t="s">
        <v>487</v>
      </c>
      <c r="E344" t="s">
        <v>205</v>
      </c>
      <c r="F344" t="s">
        <v>607</v>
      </c>
      <c r="G344">
        <v>3</v>
      </c>
      <c r="H344">
        <v>130</v>
      </c>
      <c r="I344" t="str">
        <f>IF(VLOOKUP(D344,Customers!A:E,5,FALSE)&gt;=1000,"YES","NO")</f>
        <v>NO</v>
      </c>
      <c r="J344">
        <f t="shared" si="11"/>
        <v>130</v>
      </c>
      <c r="K344">
        <f>(J344 - VLOOKUP(F344,Desserts!A:D,4,FALSE)) * G344</f>
        <v>180</v>
      </c>
    </row>
    <row r="345" spans="1:11" x14ac:dyDescent="0.3">
      <c r="A345" t="s">
        <v>1206</v>
      </c>
      <c r="B345" s="8">
        <v>45919</v>
      </c>
      <c r="C345" s="8">
        <f t="shared" si="10"/>
        <v>45919</v>
      </c>
      <c r="D345" t="s">
        <v>457</v>
      </c>
      <c r="E345" t="s">
        <v>79</v>
      </c>
      <c r="F345" t="s">
        <v>583</v>
      </c>
      <c r="G345">
        <v>5</v>
      </c>
      <c r="H345">
        <v>207</v>
      </c>
      <c r="I345" t="str">
        <f>IF(VLOOKUP(D345,Customers!A:E,5,FALSE)&gt;=1000,"YES","NO")</f>
        <v>YES</v>
      </c>
      <c r="J345">
        <f t="shared" si="11"/>
        <v>103.5</v>
      </c>
      <c r="K345">
        <f>(J345 - VLOOKUP(F345,Desserts!A:D,4,FALSE)) * G345</f>
        <v>102.5</v>
      </c>
    </row>
    <row r="346" spans="1:11" x14ac:dyDescent="0.3">
      <c r="A346" t="s">
        <v>1207</v>
      </c>
      <c r="B346" s="8">
        <v>45881</v>
      </c>
      <c r="C346" s="8">
        <f t="shared" si="10"/>
        <v>45881</v>
      </c>
      <c r="D346" t="s">
        <v>423</v>
      </c>
      <c r="E346" t="s">
        <v>148</v>
      </c>
      <c r="F346" t="s">
        <v>549</v>
      </c>
      <c r="G346">
        <v>3</v>
      </c>
      <c r="H346">
        <v>120</v>
      </c>
      <c r="I346" t="str">
        <f>IF(VLOOKUP(D346,Customers!A:E,5,FALSE)&gt;=1000,"YES","NO")</f>
        <v>NO</v>
      </c>
      <c r="J346">
        <f t="shared" si="11"/>
        <v>120</v>
      </c>
      <c r="K346">
        <f>(J346 - VLOOKUP(F346,Desserts!A:D,4,FALSE)) * G346</f>
        <v>123</v>
      </c>
    </row>
    <row r="347" spans="1:11" x14ac:dyDescent="0.3">
      <c r="A347" t="s">
        <v>1209</v>
      </c>
      <c r="B347" s="8">
        <v>45695</v>
      </c>
      <c r="C347" s="8">
        <f t="shared" si="10"/>
        <v>45695</v>
      </c>
      <c r="D347" t="s">
        <v>469</v>
      </c>
      <c r="E347" t="s">
        <v>175</v>
      </c>
      <c r="F347" t="s">
        <v>543</v>
      </c>
      <c r="G347">
        <v>4</v>
      </c>
      <c r="H347">
        <v>237</v>
      </c>
      <c r="I347" t="str">
        <f>IF(VLOOKUP(D347,Customers!A:E,5,FALSE)&gt;=1000,"YES","NO")</f>
        <v>NO</v>
      </c>
      <c r="J347">
        <f t="shared" si="11"/>
        <v>237</v>
      </c>
      <c r="K347">
        <f>(J347 - VLOOKUP(F347,Desserts!A:D,4,FALSE)) * G347</f>
        <v>656</v>
      </c>
    </row>
    <row r="348" spans="1:11" x14ac:dyDescent="0.3">
      <c r="A348" t="s">
        <v>1210</v>
      </c>
      <c r="B348" s="8">
        <v>45962</v>
      </c>
      <c r="C348" s="8">
        <f t="shared" si="10"/>
        <v>45962</v>
      </c>
      <c r="D348" t="s">
        <v>335</v>
      </c>
      <c r="E348" t="s">
        <v>244</v>
      </c>
      <c r="F348" t="s">
        <v>557</v>
      </c>
      <c r="G348">
        <v>2</v>
      </c>
      <c r="H348">
        <v>189</v>
      </c>
      <c r="I348" t="str">
        <f>IF(VLOOKUP(D348,Customers!A:E,5,FALSE)&gt;=1000,"YES","NO")</f>
        <v>NO</v>
      </c>
      <c r="J348">
        <f t="shared" si="11"/>
        <v>189</v>
      </c>
      <c r="K348">
        <f>(J348 - VLOOKUP(F348,Desserts!A:D,4,FALSE)) * G348</f>
        <v>210</v>
      </c>
    </row>
    <row r="349" spans="1:11" x14ac:dyDescent="0.3">
      <c r="A349" t="s">
        <v>1211</v>
      </c>
      <c r="B349" s="8">
        <v>45967</v>
      </c>
      <c r="C349" s="8">
        <f t="shared" si="10"/>
        <v>45967</v>
      </c>
      <c r="D349" t="s">
        <v>509</v>
      </c>
      <c r="E349" t="s">
        <v>27</v>
      </c>
      <c r="F349" t="s">
        <v>533</v>
      </c>
      <c r="G349">
        <v>3</v>
      </c>
      <c r="H349">
        <v>204</v>
      </c>
      <c r="I349" t="str">
        <f>IF(VLOOKUP(D349,Customers!A:E,5,FALSE)&gt;=1000,"YES","NO")</f>
        <v>NO</v>
      </c>
      <c r="J349">
        <f t="shared" si="11"/>
        <v>204</v>
      </c>
      <c r="K349">
        <f>(J349 - VLOOKUP(F349,Desserts!A:D,4,FALSE)) * G349</f>
        <v>411</v>
      </c>
    </row>
    <row r="350" spans="1:11" x14ac:dyDescent="0.3">
      <c r="A350" t="s">
        <v>1213</v>
      </c>
      <c r="B350" s="8">
        <v>45706</v>
      </c>
      <c r="C350" s="8">
        <f t="shared" si="10"/>
        <v>45706</v>
      </c>
      <c r="D350" t="s">
        <v>491</v>
      </c>
      <c r="E350" t="s">
        <v>157</v>
      </c>
      <c r="F350" t="s">
        <v>579</v>
      </c>
      <c r="G350">
        <v>1</v>
      </c>
      <c r="H350">
        <v>157</v>
      </c>
      <c r="I350" t="str">
        <f>IF(VLOOKUP(D350,Customers!A:E,5,FALSE)&gt;=1000,"YES","NO")</f>
        <v>NO</v>
      </c>
      <c r="J350">
        <f t="shared" si="11"/>
        <v>157</v>
      </c>
      <c r="K350">
        <f>(J350 - VLOOKUP(F350,Desserts!A:D,4,FALSE)) * G350</f>
        <v>95</v>
      </c>
    </row>
    <row r="351" spans="1:11" x14ac:dyDescent="0.3">
      <c r="A351" t="s">
        <v>1214</v>
      </c>
      <c r="B351" s="8">
        <v>45958</v>
      </c>
      <c r="C351" s="8">
        <f t="shared" si="10"/>
        <v>45958</v>
      </c>
      <c r="D351" t="s">
        <v>389</v>
      </c>
      <c r="E351" t="s">
        <v>181</v>
      </c>
      <c r="F351" t="s">
        <v>541</v>
      </c>
      <c r="G351">
        <v>5</v>
      </c>
      <c r="H351">
        <v>107</v>
      </c>
      <c r="I351" t="str">
        <f>IF(VLOOKUP(D351,Customers!A:E,5,FALSE)&gt;=1000,"YES","NO")</f>
        <v>YES</v>
      </c>
      <c r="J351">
        <f t="shared" si="11"/>
        <v>53.5</v>
      </c>
      <c r="K351">
        <f>(J351 - VLOOKUP(F351,Desserts!A:D,4,FALSE)) * G351</f>
        <v>-17.5</v>
      </c>
    </row>
    <row r="352" spans="1:11" x14ac:dyDescent="0.3">
      <c r="A352" t="s">
        <v>1216</v>
      </c>
      <c r="B352" s="8">
        <v>45936</v>
      </c>
      <c r="C352" s="8">
        <f t="shared" si="10"/>
        <v>45936</v>
      </c>
      <c r="D352" t="s">
        <v>495</v>
      </c>
      <c r="E352" t="s">
        <v>60</v>
      </c>
      <c r="F352" t="s">
        <v>563</v>
      </c>
      <c r="G352">
        <v>3</v>
      </c>
      <c r="H352">
        <v>108</v>
      </c>
      <c r="I352" t="str">
        <f>IF(VLOOKUP(D352,Customers!A:E,5,FALSE)&gt;=1000,"YES","NO")</f>
        <v>NO</v>
      </c>
      <c r="J352">
        <f t="shared" si="11"/>
        <v>108</v>
      </c>
      <c r="K352">
        <f>(J352 - VLOOKUP(F352,Desserts!A:D,4,FALSE)) * G352</f>
        <v>129</v>
      </c>
    </row>
    <row r="353" spans="1:11" x14ac:dyDescent="0.3">
      <c r="A353" t="s">
        <v>1217</v>
      </c>
      <c r="B353" s="8">
        <v>46043</v>
      </c>
      <c r="C353" s="8">
        <f t="shared" si="10"/>
        <v>46043</v>
      </c>
      <c r="D353" t="s">
        <v>359</v>
      </c>
      <c r="E353" t="s">
        <v>232</v>
      </c>
      <c r="F353" t="s">
        <v>537</v>
      </c>
      <c r="G353">
        <v>1</v>
      </c>
      <c r="H353">
        <v>185</v>
      </c>
      <c r="I353" t="str">
        <f>IF(VLOOKUP(D353,Customers!A:E,5,FALSE)&gt;=1000,"YES","NO")</f>
        <v>YES</v>
      </c>
      <c r="J353">
        <f t="shared" si="11"/>
        <v>92.5</v>
      </c>
      <c r="K353">
        <f>(J353 - VLOOKUP(F353,Desserts!A:D,4,FALSE)) * G353</f>
        <v>8.5</v>
      </c>
    </row>
    <row r="354" spans="1:11" x14ac:dyDescent="0.3">
      <c r="A354" t="s">
        <v>1218</v>
      </c>
      <c r="B354" s="8">
        <v>45969</v>
      </c>
      <c r="C354" s="8">
        <f t="shared" si="10"/>
        <v>45969</v>
      </c>
      <c r="D354" t="s">
        <v>497</v>
      </c>
      <c r="E354" t="s">
        <v>33</v>
      </c>
      <c r="F354" t="s">
        <v>581</v>
      </c>
      <c r="G354">
        <v>1</v>
      </c>
      <c r="H354">
        <v>106</v>
      </c>
      <c r="I354" t="str">
        <f>IF(VLOOKUP(D354,Customers!A:E,5,FALSE)&gt;=1000,"YES","NO")</f>
        <v>NO</v>
      </c>
      <c r="J354">
        <f t="shared" si="11"/>
        <v>106</v>
      </c>
      <c r="K354">
        <f>(J354 - VLOOKUP(F354,Desserts!A:D,4,FALSE)) * G354</f>
        <v>17</v>
      </c>
    </row>
    <row r="355" spans="1:11" x14ac:dyDescent="0.3">
      <c r="A355" t="s">
        <v>1220</v>
      </c>
      <c r="B355" s="8">
        <v>45948</v>
      </c>
      <c r="C355" s="8">
        <f t="shared" si="10"/>
        <v>45948</v>
      </c>
      <c r="D355" t="s">
        <v>411</v>
      </c>
      <c r="E355" t="s">
        <v>229</v>
      </c>
      <c r="F355" t="s">
        <v>547</v>
      </c>
      <c r="G355">
        <v>1</v>
      </c>
      <c r="H355">
        <v>178</v>
      </c>
      <c r="I355" t="str">
        <f>IF(VLOOKUP(D355,Customers!A:E,5,FALSE)&gt;=1000,"YES","NO")</f>
        <v>NO</v>
      </c>
      <c r="J355">
        <f t="shared" si="11"/>
        <v>178</v>
      </c>
      <c r="K355">
        <f>(J355 - VLOOKUP(F355,Desserts!A:D,4,FALSE)) * G355</f>
        <v>128</v>
      </c>
    </row>
    <row r="356" spans="1:11" x14ac:dyDescent="0.3">
      <c r="A356" t="s">
        <v>1221</v>
      </c>
      <c r="B356" s="8">
        <v>45755</v>
      </c>
      <c r="C356" s="8">
        <f t="shared" si="10"/>
        <v>45755</v>
      </c>
      <c r="D356" t="s">
        <v>421</v>
      </c>
      <c r="E356" t="s">
        <v>262</v>
      </c>
      <c r="F356" t="s">
        <v>559</v>
      </c>
      <c r="G356">
        <v>3</v>
      </c>
      <c r="H356">
        <v>145</v>
      </c>
      <c r="I356" t="str">
        <f>IF(VLOOKUP(D356,Customers!A:E,5,FALSE)&gt;=1000,"YES","NO")</f>
        <v>YES</v>
      </c>
      <c r="J356">
        <f t="shared" si="11"/>
        <v>72.5</v>
      </c>
      <c r="K356">
        <f>(J356 - VLOOKUP(F356,Desserts!A:D,4,FALSE)) * G356</f>
        <v>52.5</v>
      </c>
    </row>
    <row r="357" spans="1:11" x14ac:dyDescent="0.3">
      <c r="A357" t="s">
        <v>1223</v>
      </c>
      <c r="B357" s="8">
        <v>46031</v>
      </c>
      <c r="C357" s="8">
        <f t="shared" si="10"/>
        <v>46031</v>
      </c>
      <c r="D357" t="s">
        <v>401</v>
      </c>
      <c r="E357" t="s">
        <v>115</v>
      </c>
      <c r="F357" t="s">
        <v>591</v>
      </c>
      <c r="G357">
        <v>3</v>
      </c>
      <c r="H357">
        <v>238</v>
      </c>
      <c r="I357" t="str">
        <f>IF(VLOOKUP(D357,Customers!A:E,5,FALSE)&gt;=1000,"YES","NO")</f>
        <v>YES</v>
      </c>
      <c r="J357">
        <f t="shared" si="11"/>
        <v>119</v>
      </c>
      <c r="K357">
        <f>(J357 - VLOOKUP(F357,Desserts!A:D,4,FALSE)) * G357</f>
        <v>171</v>
      </c>
    </row>
    <row r="358" spans="1:11" x14ac:dyDescent="0.3">
      <c r="A358" t="s">
        <v>1225</v>
      </c>
      <c r="B358" s="8">
        <v>45732</v>
      </c>
      <c r="C358" s="8">
        <f t="shared" si="10"/>
        <v>45732</v>
      </c>
      <c r="D358" t="s">
        <v>501</v>
      </c>
      <c r="E358" t="s">
        <v>196</v>
      </c>
      <c r="F358" t="s">
        <v>531</v>
      </c>
      <c r="G358">
        <v>1</v>
      </c>
      <c r="H358">
        <v>169</v>
      </c>
      <c r="I358" t="str">
        <f>IF(VLOOKUP(D358,Customers!A:E,5,FALSE)&gt;=1000,"YES","NO")</f>
        <v>YES</v>
      </c>
      <c r="J358">
        <f t="shared" si="11"/>
        <v>84.5</v>
      </c>
      <c r="K358">
        <f>(J358 - VLOOKUP(F358,Desserts!A:D,4,FALSE)) * G358</f>
        <v>-0.5</v>
      </c>
    </row>
    <row r="359" spans="1:11" x14ac:dyDescent="0.3">
      <c r="A359" t="s">
        <v>1227</v>
      </c>
      <c r="B359" s="8">
        <v>45902</v>
      </c>
      <c r="C359" s="8">
        <f t="shared" si="10"/>
        <v>45902</v>
      </c>
      <c r="D359" t="s">
        <v>407</v>
      </c>
      <c r="E359" t="s">
        <v>268</v>
      </c>
      <c r="F359" t="s">
        <v>617</v>
      </c>
      <c r="G359">
        <v>1</v>
      </c>
      <c r="H359">
        <v>180</v>
      </c>
      <c r="I359" t="str">
        <f>IF(VLOOKUP(D359,Customers!A:E,5,FALSE)&gt;=1000,"YES","NO")</f>
        <v>YES</v>
      </c>
      <c r="J359">
        <f t="shared" si="11"/>
        <v>90</v>
      </c>
      <c r="K359">
        <f>(J359 - VLOOKUP(F359,Desserts!A:D,4,FALSE)) * G359</f>
        <v>49</v>
      </c>
    </row>
    <row r="360" spans="1:11" x14ac:dyDescent="0.3">
      <c r="A360" t="s">
        <v>1228</v>
      </c>
      <c r="B360" s="8">
        <v>45776</v>
      </c>
      <c r="C360" s="8">
        <f t="shared" si="10"/>
        <v>45776</v>
      </c>
      <c r="D360" t="s">
        <v>403</v>
      </c>
      <c r="E360" t="s">
        <v>196</v>
      </c>
      <c r="F360" t="s">
        <v>541</v>
      </c>
      <c r="G360">
        <v>4</v>
      </c>
      <c r="H360">
        <v>164</v>
      </c>
      <c r="I360" t="str">
        <f>IF(VLOOKUP(D360,Customers!A:E,5,FALSE)&gt;=1000,"YES","NO")</f>
        <v>NO</v>
      </c>
      <c r="J360">
        <f t="shared" si="11"/>
        <v>164</v>
      </c>
      <c r="K360">
        <f>(J360 - VLOOKUP(F360,Desserts!A:D,4,FALSE)) * G360</f>
        <v>428</v>
      </c>
    </row>
    <row r="361" spans="1:11" x14ac:dyDescent="0.3">
      <c r="A361" t="s">
        <v>1229</v>
      </c>
      <c r="B361" s="8">
        <v>45987</v>
      </c>
      <c r="C361" s="8">
        <f t="shared" si="10"/>
        <v>45987</v>
      </c>
      <c r="D361" t="s">
        <v>515</v>
      </c>
      <c r="E361" t="s">
        <v>310</v>
      </c>
      <c r="F361" t="s">
        <v>597</v>
      </c>
      <c r="G361">
        <v>1</v>
      </c>
      <c r="H361">
        <v>177</v>
      </c>
      <c r="I361" t="str">
        <f>IF(VLOOKUP(D361,Customers!A:E,5,FALSE)&gt;=1000,"YES","NO")</f>
        <v>YES</v>
      </c>
      <c r="J361">
        <f t="shared" si="11"/>
        <v>88.5</v>
      </c>
      <c r="K361">
        <f>(J361 - VLOOKUP(F361,Desserts!A:D,4,FALSE)) * G361</f>
        <v>43.5</v>
      </c>
    </row>
    <row r="362" spans="1:11" x14ac:dyDescent="0.3">
      <c r="A362" t="s">
        <v>1230</v>
      </c>
      <c r="B362" s="8">
        <v>45951</v>
      </c>
      <c r="C362" s="8">
        <f t="shared" si="10"/>
        <v>45951</v>
      </c>
      <c r="D362" t="s">
        <v>437</v>
      </c>
      <c r="E362" t="s">
        <v>283</v>
      </c>
      <c r="F362" t="s">
        <v>611</v>
      </c>
      <c r="G362">
        <v>4</v>
      </c>
      <c r="H362">
        <v>153</v>
      </c>
      <c r="I362" t="str">
        <f>IF(VLOOKUP(D362,Customers!A:E,5,FALSE)&gt;=1000,"YES","NO")</f>
        <v>NO</v>
      </c>
      <c r="J362">
        <f t="shared" si="11"/>
        <v>153</v>
      </c>
      <c r="K362">
        <f>(J362 - VLOOKUP(F362,Desserts!A:D,4,FALSE)) * G362</f>
        <v>440</v>
      </c>
    </row>
    <row r="363" spans="1:11" x14ac:dyDescent="0.3">
      <c r="A363" t="s">
        <v>1231</v>
      </c>
      <c r="B363" s="8">
        <v>45910</v>
      </c>
      <c r="C363" s="8">
        <f t="shared" si="10"/>
        <v>45910</v>
      </c>
      <c r="D363" t="s">
        <v>499</v>
      </c>
      <c r="E363" t="s">
        <v>310</v>
      </c>
      <c r="F363" t="s">
        <v>615</v>
      </c>
      <c r="G363">
        <v>1</v>
      </c>
      <c r="H363">
        <v>183</v>
      </c>
      <c r="I363" t="str">
        <f>IF(VLOOKUP(D363,Customers!A:E,5,FALSE)&gt;=1000,"YES","NO")</f>
        <v>NO</v>
      </c>
      <c r="J363">
        <f t="shared" si="11"/>
        <v>183</v>
      </c>
      <c r="K363">
        <f>(J363 - VLOOKUP(F363,Desserts!A:D,4,FALSE)) * G363</f>
        <v>141</v>
      </c>
    </row>
    <row r="364" spans="1:11" x14ac:dyDescent="0.3">
      <c r="A364" t="s">
        <v>1232</v>
      </c>
      <c r="B364" s="8">
        <v>45680</v>
      </c>
      <c r="C364" s="8">
        <f t="shared" si="10"/>
        <v>45680</v>
      </c>
      <c r="D364" t="s">
        <v>331</v>
      </c>
      <c r="E364" t="s">
        <v>13</v>
      </c>
      <c r="F364" t="s">
        <v>583</v>
      </c>
      <c r="G364">
        <v>1</v>
      </c>
      <c r="H364">
        <v>153</v>
      </c>
      <c r="I364" t="str">
        <f>IF(VLOOKUP(D364,Customers!A:E,5,FALSE)&gt;=1000,"YES","NO")</f>
        <v>YES</v>
      </c>
      <c r="J364">
        <f t="shared" si="11"/>
        <v>76.5</v>
      </c>
      <c r="K364">
        <f>(J364 - VLOOKUP(F364,Desserts!A:D,4,FALSE)) * G364</f>
        <v>-6.5</v>
      </c>
    </row>
    <row r="365" spans="1:11" x14ac:dyDescent="0.3">
      <c r="A365" t="s">
        <v>1234</v>
      </c>
      <c r="B365" s="8">
        <v>45816</v>
      </c>
      <c r="C365" s="8">
        <f t="shared" si="10"/>
        <v>45816</v>
      </c>
      <c r="D365" t="s">
        <v>499</v>
      </c>
      <c r="E365" t="s">
        <v>66</v>
      </c>
      <c r="F365" t="s">
        <v>555</v>
      </c>
      <c r="G365">
        <v>2</v>
      </c>
      <c r="H365">
        <v>159</v>
      </c>
      <c r="I365" t="str">
        <f>IF(VLOOKUP(D365,Customers!A:E,5,FALSE)&gt;=1000,"YES","NO")</f>
        <v>NO</v>
      </c>
      <c r="J365">
        <f t="shared" si="11"/>
        <v>159</v>
      </c>
      <c r="K365">
        <f>(J365 - VLOOKUP(F365,Desserts!A:D,4,FALSE)) * G365</f>
        <v>168</v>
      </c>
    </row>
    <row r="366" spans="1:11" x14ac:dyDescent="0.3">
      <c r="A366" t="s">
        <v>1235</v>
      </c>
      <c r="B366" s="8">
        <v>45976</v>
      </c>
      <c r="C366" s="8">
        <f t="shared" si="10"/>
        <v>45976</v>
      </c>
      <c r="D366" t="s">
        <v>395</v>
      </c>
      <c r="E366" t="s">
        <v>30</v>
      </c>
      <c r="F366" t="s">
        <v>553</v>
      </c>
      <c r="G366">
        <v>1</v>
      </c>
      <c r="H366">
        <v>222</v>
      </c>
      <c r="I366" t="str">
        <f>IF(VLOOKUP(D366,Customers!A:E,5,FALSE)&gt;=1000,"YES","NO")</f>
        <v>NO</v>
      </c>
      <c r="J366">
        <f t="shared" si="11"/>
        <v>222</v>
      </c>
      <c r="K366">
        <f>(J366 - VLOOKUP(F366,Desserts!A:D,4,FALSE)) * G366</f>
        <v>162</v>
      </c>
    </row>
    <row r="367" spans="1:11" x14ac:dyDescent="0.3">
      <c r="A367" t="s">
        <v>1236</v>
      </c>
      <c r="B367" s="8">
        <v>45696</v>
      </c>
      <c r="C367" s="8">
        <f t="shared" si="10"/>
        <v>45696</v>
      </c>
      <c r="D367" t="s">
        <v>445</v>
      </c>
      <c r="E367" t="s">
        <v>310</v>
      </c>
      <c r="F367" t="s">
        <v>559</v>
      </c>
      <c r="G367">
        <v>4</v>
      </c>
      <c r="H367">
        <v>119</v>
      </c>
      <c r="I367" t="str">
        <f>IF(VLOOKUP(D367,Customers!A:E,5,FALSE)&gt;=1000,"YES","NO")</f>
        <v>NO</v>
      </c>
      <c r="J367">
        <f t="shared" si="11"/>
        <v>119</v>
      </c>
      <c r="K367">
        <f>(J367 - VLOOKUP(F367,Desserts!A:D,4,FALSE)) * G367</f>
        <v>256</v>
      </c>
    </row>
    <row r="368" spans="1:11" x14ac:dyDescent="0.3">
      <c r="A368" t="s">
        <v>1238</v>
      </c>
      <c r="B368" s="8">
        <v>46053</v>
      </c>
      <c r="C368" s="8">
        <f t="shared" si="10"/>
        <v>46053</v>
      </c>
      <c r="D368" t="s">
        <v>379</v>
      </c>
      <c r="E368" t="s">
        <v>9</v>
      </c>
      <c r="F368" t="s">
        <v>593</v>
      </c>
      <c r="G368">
        <v>5</v>
      </c>
      <c r="H368">
        <v>216</v>
      </c>
      <c r="I368" t="str">
        <f>IF(VLOOKUP(D368,Customers!A:E,5,FALSE)&gt;=1000,"YES","NO")</f>
        <v>NO</v>
      </c>
      <c r="J368">
        <f t="shared" si="11"/>
        <v>216</v>
      </c>
      <c r="K368">
        <f>(J368 - VLOOKUP(F368,Desserts!A:D,4,FALSE)) * G368</f>
        <v>810</v>
      </c>
    </row>
    <row r="369" spans="1:11" x14ac:dyDescent="0.3">
      <c r="A369" t="s">
        <v>1239</v>
      </c>
      <c r="B369" s="8">
        <v>45947</v>
      </c>
      <c r="C369" s="8">
        <f t="shared" si="10"/>
        <v>45947</v>
      </c>
      <c r="D369" t="s">
        <v>513</v>
      </c>
      <c r="E369" t="s">
        <v>145</v>
      </c>
      <c r="F369" t="s">
        <v>523</v>
      </c>
      <c r="G369">
        <v>2</v>
      </c>
      <c r="H369">
        <v>103</v>
      </c>
      <c r="I369" t="str">
        <f>IF(VLOOKUP(D369,Customers!A:E,5,FALSE)&gt;=1000,"YES","NO")</f>
        <v>YES</v>
      </c>
      <c r="J369">
        <f t="shared" si="11"/>
        <v>51.5</v>
      </c>
      <c r="K369">
        <f>(J369 - VLOOKUP(F369,Desserts!A:D,4,FALSE)) * G369</f>
        <v>-33</v>
      </c>
    </row>
    <row r="370" spans="1:11" x14ac:dyDescent="0.3">
      <c r="A370" t="s">
        <v>1241</v>
      </c>
      <c r="B370" s="8">
        <v>45787</v>
      </c>
      <c r="C370" s="8">
        <f t="shared" si="10"/>
        <v>45787</v>
      </c>
      <c r="D370" t="s">
        <v>363</v>
      </c>
      <c r="E370" t="s">
        <v>265</v>
      </c>
      <c r="F370" t="s">
        <v>583</v>
      </c>
      <c r="G370">
        <v>4</v>
      </c>
      <c r="H370">
        <v>248</v>
      </c>
      <c r="I370" t="str">
        <f>IF(VLOOKUP(D370,Customers!A:E,5,FALSE)&gt;=1000,"YES","NO")</f>
        <v>YES</v>
      </c>
      <c r="J370">
        <f t="shared" si="11"/>
        <v>124</v>
      </c>
      <c r="K370">
        <f>(J370 - VLOOKUP(F370,Desserts!A:D,4,FALSE)) * G370</f>
        <v>164</v>
      </c>
    </row>
    <row r="371" spans="1:11" x14ac:dyDescent="0.3">
      <c r="A371" t="s">
        <v>1243</v>
      </c>
      <c r="B371" s="8">
        <v>45821</v>
      </c>
      <c r="C371" s="8">
        <f t="shared" si="10"/>
        <v>45821</v>
      </c>
      <c r="D371" t="s">
        <v>327</v>
      </c>
      <c r="E371" t="s">
        <v>232</v>
      </c>
      <c r="F371" t="s">
        <v>587</v>
      </c>
      <c r="G371">
        <v>2</v>
      </c>
      <c r="H371">
        <v>248</v>
      </c>
      <c r="I371" t="str">
        <f>IF(VLOOKUP(D371,Customers!A:E,5,FALSE)&gt;=1000,"YES","NO")</f>
        <v>YES</v>
      </c>
      <c r="J371">
        <f t="shared" si="11"/>
        <v>124</v>
      </c>
      <c r="K371">
        <f>(J371 - VLOOKUP(F371,Desserts!A:D,4,FALSE)) * G371</f>
        <v>104</v>
      </c>
    </row>
    <row r="372" spans="1:11" x14ac:dyDescent="0.3">
      <c r="A372" t="s">
        <v>1244</v>
      </c>
      <c r="B372" s="8">
        <v>45977</v>
      </c>
      <c r="C372" s="8">
        <f t="shared" si="10"/>
        <v>45977</v>
      </c>
      <c r="D372" t="s">
        <v>513</v>
      </c>
      <c r="E372" t="s">
        <v>241</v>
      </c>
      <c r="F372" t="s">
        <v>599</v>
      </c>
      <c r="G372">
        <v>3</v>
      </c>
      <c r="H372">
        <v>215</v>
      </c>
      <c r="I372" t="str">
        <f>IF(VLOOKUP(D372,Customers!A:E,5,FALSE)&gt;=1000,"YES","NO")</f>
        <v>YES</v>
      </c>
      <c r="J372">
        <f t="shared" si="11"/>
        <v>107.5</v>
      </c>
      <c r="K372">
        <f>(J372 - VLOOKUP(F372,Desserts!A:D,4,FALSE)) * G372</f>
        <v>82.5</v>
      </c>
    </row>
    <row r="373" spans="1:11" x14ac:dyDescent="0.3">
      <c r="A373" t="s">
        <v>1246</v>
      </c>
      <c r="B373" s="8">
        <v>45674</v>
      </c>
      <c r="C373" s="8">
        <f t="shared" si="10"/>
        <v>45674</v>
      </c>
      <c r="D373" t="s">
        <v>493</v>
      </c>
      <c r="E373" t="s">
        <v>199</v>
      </c>
      <c r="F373" t="s">
        <v>611</v>
      </c>
      <c r="G373">
        <v>4</v>
      </c>
      <c r="H373">
        <v>185</v>
      </c>
      <c r="I373" t="str">
        <f>IF(VLOOKUP(D373,Customers!A:E,5,FALSE)&gt;=1000,"YES","NO")</f>
        <v>NO</v>
      </c>
      <c r="J373">
        <f t="shared" si="11"/>
        <v>185</v>
      </c>
      <c r="K373">
        <f>(J373 - VLOOKUP(F373,Desserts!A:D,4,FALSE)) * G373</f>
        <v>568</v>
      </c>
    </row>
    <row r="374" spans="1:11" x14ac:dyDescent="0.3">
      <c r="A374" t="s">
        <v>1248</v>
      </c>
      <c r="B374" s="8">
        <v>45793</v>
      </c>
      <c r="C374" s="8">
        <f t="shared" si="10"/>
        <v>45793</v>
      </c>
      <c r="D374" t="s">
        <v>331</v>
      </c>
      <c r="E374" t="s">
        <v>214</v>
      </c>
      <c r="F374" t="s">
        <v>539</v>
      </c>
      <c r="G374">
        <v>3</v>
      </c>
      <c r="H374">
        <v>122</v>
      </c>
      <c r="I374" t="str">
        <f>IF(VLOOKUP(D374,Customers!A:E,5,FALSE)&gt;=1000,"YES","NO")</f>
        <v>YES</v>
      </c>
      <c r="J374">
        <f t="shared" si="11"/>
        <v>61</v>
      </c>
      <c r="K374">
        <f>(J374 - VLOOKUP(F374,Desserts!A:D,4,FALSE)) * G374</f>
        <v>-3</v>
      </c>
    </row>
    <row r="375" spans="1:11" x14ac:dyDescent="0.3">
      <c r="A375" t="s">
        <v>1249</v>
      </c>
      <c r="B375" s="8">
        <v>45755</v>
      </c>
      <c r="C375" s="8">
        <f t="shared" si="10"/>
        <v>45755</v>
      </c>
      <c r="D375" t="s">
        <v>349</v>
      </c>
      <c r="E375" t="s">
        <v>76</v>
      </c>
      <c r="F375" t="s">
        <v>579</v>
      </c>
      <c r="G375">
        <v>5</v>
      </c>
      <c r="H375">
        <v>239</v>
      </c>
      <c r="I375" t="str">
        <f>IF(VLOOKUP(D375,Customers!A:E,5,FALSE)&gt;=1000,"YES","NO")</f>
        <v>NO</v>
      </c>
      <c r="J375">
        <f t="shared" si="11"/>
        <v>239</v>
      </c>
      <c r="K375">
        <f>(J375 - VLOOKUP(F375,Desserts!A:D,4,FALSE)) * G375</f>
        <v>885</v>
      </c>
    </row>
    <row r="376" spans="1:11" x14ac:dyDescent="0.3">
      <c r="A376" t="s">
        <v>1250</v>
      </c>
      <c r="B376" s="8">
        <v>46001</v>
      </c>
      <c r="C376" s="8">
        <f t="shared" si="10"/>
        <v>46001</v>
      </c>
      <c r="D376" t="s">
        <v>399</v>
      </c>
      <c r="E376" t="s">
        <v>172</v>
      </c>
      <c r="F376" t="s">
        <v>571</v>
      </c>
      <c r="G376">
        <v>4</v>
      </c>
      <c r="H376">
        <v>149</v>
      </c>
      <c r="I376" t="str">
        <f>IF(VLOOKUP(D376,Customers!A:E,5,FALSE)&gt;=1000,"YES","NO")</f>
        <v>YES</v>
      </c>
      <c r="J376">
        <f t="shared" si="11"/>
        <v>74.5</v>
      </c>
      <c r="K376">
        <f>(J376 - VLOOKUP(F376,Desserts!A:D,4,FALSE)) * G376</f>
        <v>134</v>
      </c>
    </row>
    <row r="377" spans="1:11" x14ac:dyDescent="0.3">
      <c r="A377" t="s">
        <v>1251</v>
      </c>
      <c r="B377" s="8">
        <v>45729</v>
      </c>
      <c r="C377" s="8">
        <f t="shared" si="10"/>
        <v>45729</v>
      </c>
      <c r="D377" t="s">
        <v>475</v>
      </c>
      <c r="E377" t="s">
        <v>214</v>
      </c>
      <c r="F377" t="s">
        <v>539</v>
      </c>
      <c r="G377">
        <v>2</v>
      </c>
      <c r="H377">
        <v>194</v>
      </c>
      <c r="I377" t="str">
        <f>IF(VLOOKUP(D377,Customers!A:E,5,FALSE)&gt;=1000,"YES","NO")</f>
        <v>NO</v>
      </c>
      <c r="J377">
        <f t="shared" si="11"/>
        <v>194</v>
      </c>
      <c r="K377">
        <f>(J377 - VLOOKUP(F377,Desserts!A:D,4,FALSE)) * G377</f>
        <v>264</v>
      </c>
    </row>
    <row r="378" spans="1:11" x14ac:dyDescent="0.3">
      <c r="A378" t="s">
        <v>1252</v>
      </c>
      <c r="B378" s="8">
        <v>45923</v>
      </c>
      <c r="C378" s="8">
        <f t="shared" si="10"/>
        <v>45923</v>
      </c>
      <c r="D378" t="s">
        <v>475</v>
      </c>
      <c r="E378" t="s">
        <v>30</v>
      </c>
      <c r="F378" t="s">
        <v>529</v>
      </c>
      <c r="G378">
        <v>5</v>
      </c>
      <c r="H378">
        <v>133</v>
      </c>
      <c r="I378" t="str">
        <f>IF(VLOOKUP(D378,Customers!A:E,5,FALSE)&gt;=1000,"YES","NO")</f>
        <v>NO</v>
      </c>
      <c r="J378">
        <f t="shared" si="11"/>
        <v>133</v>
      </c>
      <c r="K378">
        <f>(J378 - VLOOKUP(F378,Desserts!A:D,4,FALSE)) * G378</f>
        <v>325</v>
      </c>
    </row>
    <row r="379" spans="1:11" x14ac:dyDescent="0.3">
      <c r="A379" t="s">
        <v>1254</v>
      </c>
      <c r="B379" s="8">
        <v>45737</v>
      </c>
      <c r="C379" s="8">
        <f t="shared" si="10"/>
        <v>45737</v>
      </c>
      <c r="D379" t="s">
        <v>349</v>
      </c>
      <c r="E379" t="s">
        <v>40</v>
      </c>
      <c r="F379" t="s">
        <v>539</v>
      </c>
      <c r="G379">
        <v>3</v>
      </c>
      <c r="H379">
        <v>164</v>
      </c>
      <c r="I379" t="str">
        <f>IF(VLOOKUP(D379,Customers!A:E,5,FALSE)&gt;=1000,"YES","NO")</f>
        <v>NO</v>
      </c>
      <c r="J379">
        <f t="shared" si="11"/>
        <v>164</v>
      </c>
      <c r="K379">
        <f>(J379 - VLOOKUP(F379,Desserts!A:D,4,FALSE)) * G379</f>
        <v>306</v>
      </c>
    </row>
    <row r="380" spans="1:11" x14ac:dyDescent="0.3">
      <c r="A380" t="s">
        <v>1255</v>
      </c>
      <c r="B380" s="8">
        <v>45700</v>
      </c>
      <c r="C380" s="8">
        <f t="shared" si="10"/>
        <v>45700</v>
      </c>
      <c r="D380" t="s">
        <v>387</v>
      </c>
      <c r="E380" t="s">
        <v>196</v>
      </c>
      <c r="F380" t="s">
        <v>527</v>
      </c>
      <c r="G380">
        <v>4</v>
      </c>
      <c r="H380">
        <v>139</v>
      </c>
      <c r="I380" t="str">
        <f>IF(VLOOKUP(D380,Customers!A:E,5,FALSE)&gt;=1000,"YES","NO")</f>
        <v>NO</v>
      </c>
      <c r="J380">
        <f t="shared" si="11"/>
        <v>139</v>
      </c>
      <c r="K380">
        <f>(J380 - VLOOKUP(F380,Desserts!A:D,4,FALSE)) * G380</f>
        <v>384</v>
      </c>
    </row>
    <row r="381" spans="1:11" x14ac:dyDescent="0.3">
      <c r="A381" t="s">
        <v>1256</v>
      </c>
      <c r="B381" s="8">
        <v>45952</v>
      </c>
      <c r="C381" s="8">
        <f t="shared" si="10"/>
        <v>45952</v>
      </c>
      <c r="D381" t="s">
        <v>469</v>
      </c>
      <c r="E381" t="s">
        <v>27</v>
      </c>
      <c r="F381" t="s">
        <v>601</v>
      </c>
      <c r="G381">
        <v>4</v>
      </c>
      <c r="H381">
        <v>226</v>
      </c>
      <c r="I381" t="str">
        <f>IF(VLOOKUP(D381,Customers!A:E,5,FALSE)&gt;=1000,"YES","NO")</f>
        <v>NO</v>
      </c>
      <c r="J381">
        <f t="shared" si="11"/>
        <v>226</v>
      </c>
      <c r="K381">
        <f>(J381 - VLOOKUP(F381,Desserts!A:D,4,FALSE)) * G381</f>
        <v>684</v>
      </c>
    </row>
    <row r="382" spans="1:11" x14ac:dyDescent="0.3">
      <c r="A382" t="s">
        <v>1257</v>
      </c>
      <c r="B382" s="8">
        <v>45685</v>
      </c>
      <c r="C382" s="8">
        <f t="shared" si="10"/>
        <v>45685</v>
      </c>
      <c r="D382" t="s">
        <v>381</v>
      </c>
      <c r="E382" t="s">
        <v>43</v>
      </c>
      <c r="F382" t="s">
        <v>521</v>
      </c>
      <c r="G382">
        <v>1</v>
      </c>
      <c r="H382">
        <v>120</v>
      </c>
      <c r="I382" t="str">
        <f>IF(VLOOKUP(D382,Customers!A:E,5,FALSE)&gt;=1000,"YES","NO")</f>
        <v>NO</v>
      </c>
      <c r="J382">
        <f t="shared" si="11"/>
        <v>120</v>
      </c>
      <c r="K382">
        <f>(J382 - VLOOKUP(F382,Desserts!A:D,4,FALSE)) * G382</f>
        <v>56</v>
      </c>
    </row>
    <row r="383" spans="1:11" x14ac:dyDescent="0.3">
      <c r="A383" t="s">
        <v>1259</v>
      </c>
      <c r="B383" s="8">
        <v>45966</v>
      </c>
      <c r="C383" s="8">
        <f t="shared" si="10"/>
        <v>45966</v>
      </c>
      <c r="D383" t="s">
        <v>333</v>
      </c>
      <c r="E383" t="s">
        <v>66</v>
      </c>
      <c r="F383" t="s">
        <v>529</v>
      </c>
      <c r="G383">
        <v>2</v>
      </c>
      <c r="H383">
        <v>116</v>
      </c>
      <c r="I383" t="str">
        <f>IF(VLOOKUP(D383,Customers!A:E,5,FALSE)&gt;=1000,"YES","NO")</f>
        <v>YES</v>
      </c>
      <c r="J383">
        <f t="shared" si="11"/>
        <v>58</v>
      </c>
      <c r="K383">
        <f>(J383 - VLOOKUP(F383,Desserts!A:D,4,FALSE)) * G383</f>
        <v>-20</v>
      </c>
    </row>
    <row r="384" spans="1:11" x14ac:dyDescent="0.3">
      <c r="A384" t="s">
        <v>1260</v>
      </c>
      <c r="B384" s="8">
        <v>45906</v>
      </c>
      <c r="C384" s="8">
        <f t="shared" si="10"/>
        <v>45906</v>
      </c>
      <c r="D384" t="s">
        <v>457</v>
      </c>
      <c r="E384" t="s">
        <v>187</v>
      </c>
      <c r="F384" t="s">
        <v>539</v>
      </c>
      <c r="G384">
        <v>3</v>
      </c>
      <c r="H384">
        <v>121</v>
      </c>
      <c r="I384" t="str">
        <f>IF(VLOOKUP(D384,Customers!A:E,5,FALSE)&gt;=1000,"YES","NO")</f>
        <v>YES</v>
      </c>
      <c r="J384">
        <f t="shared" si="11"/>
        <v>60.5</v>
      </c>
      <c r="K384">
        <f>(J384 - VLOOKUP(F384,Desserts!A:D,4,FALSE)) * G384</f>
        <v>-4.5</v>
      </c>
    </row>
    <row r="385" spans="1:11" x14ac:dyDescent="0.3">
      <c r="A385" t="s">
        <v>1262</v>
      </c>
      <c r="B385" s="8">
        <v>45923</v>
      </c>
      <c r="C385" s="8">
        <f t="shared" si="10"/>
        <v>45923</v>
      </c>
      <c r="D385" t="s">
        <v>467</v>
      </c>
      <c r="E385" t="s">
        <v>13</v>
      </c>
      <c r="F385" t="s">
        <v>575</v>
      </c>
      <c r="G385">
        <v>3</v>
      </c>
      <c r="H385">
        <v>221</v>
      </c>
      <c r="I385" t="str">
        <f>IF(VLOOKUP(D385,Customers!A:E,5,FALSE)&gt;=1000,"YES","NO")</f>
        <v>YES</v>
      </c>
      <c r="J385">
        <f t="shared" si="11"/>
        <v>110.5</v>
      </c>
      <c r="K385">
        <f>(J385 - VLOOKUP(F385,Desserts!A:D,4,FALSE)) * G385</f>
        <v>106.5</v>
      </c>
    </row>
    <row r="386" spans="1:11" x14ac:dyDescent="0.3">
      <c r="A386" t="s">
        <v>1263</v>
      </c>
      <c r="B386" s="8">
        <v>46029</v>
      </c>
      <c r="C386" s="8">
        <f t="shared" ref="C386:C449" si="12">--B386</f>
        <v>46029</v>
      </c>
      <c r="D386" t="s">
        <v>505</v>
      </c>
      <c r="E386" t="s">
        <v>229</v>
      </c>
      <c r="F386" t="s">
        <v>559</v>
      </c>
      <c r="G386">
        <v>3</v>
      </c>
      <c r="H386">
        <v>230</v>
      </c>
      <c r="I386" t="str">
        <f>IF(VLOOKUP(D386,Customers!A:E,5,FALSE)&gt;=1000,"YES","NO")</f>
        <v>YES</v>
      </c>
      <c r="J386">
        <f t="shared" ref="J386:J449" si="13">IF(I386="YES",H386*0.5,H386)</f>
        <v>115</v>
      </c>
      <c r="K386">
        <f>(J386 - VLOOKUP(F386,Desserts!A:D,4,FALSE)) * G386</f>
        <v>180</v>
      </c>
    </row>
    <row r="387" spans="1:11" x14ac:dyDescent="0.3">
      <c r="A387" t="s">
        <v>1264</v>
      </c>
      <c r="B387" s="8">
        <v>45717</v>
      </c>
      <c r="C387" s="8">
        <f t="shared" si="12"/>
        <v>45717</v>
      </c>
      <c r="D387" t="s">
        <v>433</v>
      </c>
      <c r="E387" t="s">
        <v>130</v>
      </c>
      <c r="F387" t="s">
        <v>533</v>
      </c>
      <c r="G387">
        <v>1</v>
      </c>
      <c r="H387">
        <v>249</v>
      </c>
      <c r="I387" t="str">
        <f>IF(VLOOKUP(D387,Customers!A:E,5,FALSE)&gt;=1000,"YES","NO")</f>
        <v>YES</v>
      </c>
      <c r="J387">
        <f t="shared" si="13"/>
        <v>124.5</v>
      </c>
      <c r="K387">
        <f>(J387 - VLOOKUP(F387,Desserts!A:D,4,FALSE)) * G387</f>
        <v>57.5</v>
      </c>
    </row>
    <row r="388" spans="1:11" x14ac:dyDescent="0.3">
      <c r="A388" t="s">
        <v>1266</v>
      </c>
      <c r="B388" s="8">
        <v>45913</v>
      </c>
      <c r="C388" s="8">
        <f t="shared" si="12"/>
        <v>45913</v>
      </c>
      <c r="D388" t="s">
        <v>359</v>
      </c>
      <c r="E388" t="s">
        <v>268</v>
      </c>
      <c r="F388" t="s">
        <v>545</v>
      </c>
      <c r="G388">
        <v>1</v>
      </c>
      <c r="H388">
        <v>195</v>
      </c>
      <c r="I388" t="str">
        <f>IF(VLOOKUP(D388,Customers!A:E,5,FALSE)&gt;=1000,"YES","NO")</f>
        <v>YES</v>
      </c>
      <c r="J388">
        <f t="shared" si="13"/>
        <v>97.5</v>
      </c>
      <c r="K388">
        <f>(J388 - VLOOKUP(F388,Desserts!A:D,4,FALSE)) * G388</f>
        <v>52.5</v>
      </c>
    </row>
    <row r="389" spans="1:11" x14ac:dyDescent="0.3">
      <c r="A389" t="s">
        <v>1267</v>
      </c>
      <c r="B389" s="8">
        <v>45929</v>
      </c>
      <c r="C389" s="8">
        <f t="shared" si="12"/>
        <v>45929</v>
      </c>
      <c r="D389" t="s">
        <v>461</v>
      </c>
      <c r="E389" t="s">
        <v>262</v>
      </c>
      <c r="F389" t="s">
        <v>551</v>
      </c>
      <c r="G389">
        <v>4</v>
      </c>
      <c r="H389">
        <v>156</v>
      </c>
      <c r="I389" t="str">
        <f>IF(VLOOKUP(D389,Customers!A:E,5,FALSE)&gt;=1000,"YES","NO")</f>
        <v>YES</v>
      </c>
      <c r="J389">
        <f t="shared" si="13"/>
        <v>78</v>
      </c>
      <c r="K389">
        <f>(J389 - VLOOKUP(F389,Desserts!A:D,4,FALSE)) * G389</f>
        <v>36</v>
      </c>
    </row>
    <row r="390" spans="1:11" x14ac:dyDescent="0.3">
      <c r="A390" t="s">
        <v>1268</v>
      </c>
      <c r="B390" s="8">
        <v>45881</v>
      </c>
      <c r="C390" s="8">
        <f t="shared" si="12"/>
        <v>45881</v>
      </c>
      <c r="D390" t="s">
        <v>425</v>
      </c>
      <c r="E390" t="s">
        <v>124</v>
      </c>
      <c r="F390" t="s">
        <v>593</v>
      </c>
      <c r="G390">
        <v>3</v>
      </c>
      <c r="H390">
        <v>208</v>
      </c>
      <c r="I390" t="str">
        <f>IF(VLOOKUP(D390,Customers!A:E,5,FALSE)&gt;=1000,"YES","NO")</f>
        <v>NO</v>
      </c>
      <c r="J390">
        <f t="shared" si="13"/>
        <v>208</v>
      </c>
      <c r="K390">
        <f>(J390 - VLOOKUP(F390,Desserts!A:D,4,FALSE)) * G390</f>
        <v>462</v>
      </c>
    </row>
    <row r="391" spans="1:11" x14ac:dyDescent="0.3">
      <c r="A391" t="s">
        <v>1269</v>
      </c>
      <c r="B391" s="8">
        <v>45728</v>
      </c>
      <c r="C391" s="8">
        <f t="shared" si="12"/>
        <v>45728</v>
      </c>
      <c r="D391" t="s">
        <v>323</v>
      </c>
      <c r="E391" t="s">
        <v>20</v>
      </c>
      <c r="F391" t="s">
        <v>539</v>
      </c>
      <c r="G391">
        <v>4</v>
      </c>
      <c r="H391">
        <v>139</v>
      </c>
      <c r="I391" t="str">
        <f>IF(VLOOKUP(D391,Customers!A:E,5,FALSE)&gt;=1000,"YES","NO")</f>
        <v>NO</v>
      </c>
      <c r="J391">
        <f t="shared" si="13"/>
        <v>139</v>
      </c>
      <c r="K391">
        <f>(J391 - VLOOKUP(F391,Desserts!A:D,4,FALSE)) * G391</f>
        <v>308</v>
      </c>
    </row>
    <row r="392" spans="1:11" x14ac:dyDescent="0.3">
      <c r="A392" t="s">
        <v>1270</v>
      </c>
      <c r="B392" s="8">
        <v>45999</v>
      </c>
      <c r="C392" s="8">
        <f t="shared" si="12"/>
        <v>45999</v>
      </c>
      <c r="D392" t="s">
        <v>339</v>
      </c>
      <c r="E392" t="s">
        <v>241</v>
      </c>
      <c r="F392" t="s">
        <v>557</v>
      </c>
      <c r="G392">
        <v>2</v>
      </c>
      <c r="H392">
        <v>169</v>
      </c>
      <c r="I392" t="str">
        <f>IF(VLOOKUP(D392,Customers!A:E,5,FALSE)&gt;=1000,"YES","NO")</f>
        <v>NO</v>
      </c>
      <c r="J392">
        <f t="shared" si="13"/>
        <v>169</v>
      </c>
      <c r="K392">
        <f>(J392 - VLOOKUP(F392,Desserts!A:D,4,FALSE)) * G392</f>
        <v>170</v>
      </c>
    </row>
    <row r="393" spans="1:11" x14ac:dyDescent="0.3">
      <c r="A393" t="s">
        <v>1271</v>
      </c>
      <c r="B393" s="8">
        <v>45947</v>
      </c>
      <c r="C393" s="8">
        <f t="shared" si="12"/>
        <v>45947</v>
      </c>
      <c r="D393" t="s">
        <v>363</v>
      </c>
      <c r="E393" t="s">
        <v>118</v>
      </c>
      <c r="F393" t="s">
        <v>583</v>
      </c>
      <c r="G393">
        <v>4</v>
      </c>
      <c r="H393">
        <v>190</v>
      </c>
      <c r="I393" t="str">
        <f>IF(VLOOKUP(D393,Customers!A:E,5,FALSE)&gt;=1000,"YES","NO")</f>
        <v>YES</v>
      </c>
      <c r="J393">
        <f t="shared" si="13"/>
        <v>95</v>
      </c>
      <c r="K393">
        <f>(J393 - VLOOKUP(F393,Desserts!A:D,4,FALSE)) * G393</f>
        <v>48</v>
      </c>
    </row>
    <row r="394" spans="1:11" x14ac:dyDescent="0.3">
      <c r="A394" t="s">
        <v>1272</v>
      </c>
      <c r="B394" s="8">
        <v>45974</v>
      </c>
      <c r="C394" s="8">
        <f t="shared" si="12"/>
        <v>45974</v>
      </c>
      <c r="D394" t="s">
        <v>323</v>
      </c>
      <c r="E394" t="s">
        <v>289</v>
      </c>
      <c r="F394" t="s">
        <v>593</v>
      </c>
      <c r="G394">
        <v>3</v>
      </c>
      <c r="H394">
        <v>201</v>
      </c>
      <c r="I394" t="str">
        <f>IF(VLOOKUP(D394,Customers!A:E,5,FALSE)&gt;=1000,"YES","NO")</f>
        <v>NO</v>
      </c>
      <c r="J394">
        <f t="shared" si="13"/>
        <v>201</v>
      </c>
      <c r="K394">
        <f>(J394 - VLOOKUP(F394,Desserts!A:D,4,FALSE)) * G394</f>
        <v>441</v>
      </c>
    </row>
    <row r="395" spans="1:11" x14ac:dyDescent="0.3">
      <c r="A395" t="s">
        <v>1273</v>
      </c>
      <c r="B395" s="8">
        <v>45743</v>
      </c>
      <c r="C395" s="8">
        <f t="shared" si="12"/>
        <v>45743</v>
      </c>
      <c r="D395" t="s">
        <v>501</v>
      </c>
      <c r="E395" t="s">
        <v>289</v>
      </c>
      <c r="F395" t="s">
        <v>545</v>
      </c>
      <c r="G395">
        <v>5</v>
      </c>
      <c r="H395">
        <v>114</v>
      </c>
      <c r="I395" t="str">
        <f>IF(VLOOKUP(D395,Customers!A:E,5,FALSE)&gt;=1000,"YES","NO")</f>
        <v>YES</v>
      </c>
      <c r="J395">
        <f t="shared" si="13"/>
        <v>57</v>
      </c>
      <c r="K395">
        <f>(J395 - VLOOKUP(F395,Desserts!A:D,4,FALSE)) * G395</f>
        <v>60</v>
      </c>
    </row>
    <row r="396" spans="1:11" x14ac:dyDescent="0.3">
      <c r="A396" t="s">
        <v>1275</v>
      </c>
      <c r="B396" s="8">
        <v>45805</v>
      </c>
      <c r="C396" s="8">
        <f t="shared" si="12"/>
        <v>45805</v>
      </c>
      <c r="D396" t="s">
        <v>467</v>
      </c>
      <c r="E396" t="s">
        <v>253</v>
      </c>
      <c r="F396" t="s">
        <v>557</v>
      </c>
      <c r="G396">
        <v>1</v>
      </c>
      <c r="H396">
        <v>111</v>
      </c>
      <c r="I396" t="str">
        <f>IF(VLOOKUP(D396,Customers!A:E,5,FALSE)&gt;=1000,"YES","NO")</f>
        <v>YES</v>
      </c>
      <c r="J396">
        <f t="shared" si="13"/>
        <v>55.5</v>
      </c>
      <c r="K396">
        <f>(J396 - VLOOKUP(F396,Desserts!A:D,4,FALSE)) * G396</f>
        <v>-28.5</v>
      </c>
    </row>
    <row r="397" spans="1:11" x14ac:dyDescent="0.3">
      <c r="A397" t="s">
        <v>1276</v>
      </c>
      <c r="B397" s="8">
        <v>45829</v>
      </c>
      <c r="C397" s="8">
        <f t="shared" si="12"/>
        <v>45829</v>
      </c>
      <c r="D397" t="s">
        <v>447</v>
      </c>
      <c r="E397" t="s">
        <v>205</v>
      </c>
      <c r="F397" t="s">
        <v>559</v>
      </c>
      <c r="G397">
        <v>3</v>
      </c>
      <c r="H397">
        <v>123</v>
      </c>
      <c r="I397" t="str">
        <f>IF(VLOOKUP(D397,Customers!A:E,5,FALSE)&gt;=1000,"YES","NO")</f>
        <v>YES</v>
      </c>
      <c r="J397">
        <f t="shared" si="13"/>
        <v>61.5</v>
      </c>
      <c r="K397">
        <f>(J397 - VLOOKUP(F397,Desserts!A:D,4,FALSE)) * G397</f>
        <v>19.5</v>
      </c>
    </row>
    <row r="398" spans="1:11" x14ac:dyDescent="0.3">
      <c r="A398" t="s">
        <v>1278</v>
      </c>
      <c r="B398" s="8">
        <v>45809</v>
      </c>
      <c r="C398" s="8">
        <f t="shared" si="12"/>
        <v>45809</v>
      </c>
      <c r="D398" t="s">
        <v>437</v>
      </c>
      <c r="E398" t="s">
        <v>292</v>
      </c>
      <c r="F398" t="s">
        <v>551</v>
      </c>
      <c r="G398">
        <v>3</v>
      </c>
      <c r="H398">
        <v>113</v>
      </c>
      <c r="I398" t="str">
        <f>IF(VLOOKUP(D398,Customers!A:E,5,FALSE)&gt;=1000,"YES","NO")</f>
        <v>NO</v>
      </c>
      <c r="J398">
        <f t="shared" si="13"/>
        <v>113</v>
      </c>
      <c r="K398">
        <f>(J398 - VLOOKUP(F398,Desserts!A:D,4,FALSE)) * G398</f>
        <v>132</v>
      </c>
    </row>
    <row r="399" spans="1:11" x14ac:dyDescent="0.3">
      <c r="A399" t="s">
        <v>1279</v>
      </c>
      <c r="B399" s="8">
        <v>46049</v>
      </c>
      <c r="C399" s="8">
        <f t="shared" si="12"/>
        <v>46049</v>
      </c>
      <c r="D399" t="s">
        <v>489</v>
      </c>
      <c r="E399" t="s">
        <v>178</v>
      </c>
      <c r="F399" t="s">
        <v>585</v>
      </c>
      <c r="G399">
        <v>4</v>
      </c>
      <c r="H399">
        <v>218</v>
      </c>
      <c r="I399" t="str">
        <f>IF(VLOOKUP(D399,Customers!A:E,5,FALSE)&gt;=1000,"YES","NO")</f>
        <v>NO</v>
      </c>
      <c r="J399">
        <f t="shared" si="13"/>
        <v>218</v>
      </c>
      <c r="K399">
        <f>(J399 - VLOOKUP(F399,Desserts!A:D,4,FALSE)) * G399</f>
        <v>684</v>
      </c>
    </row>
    <row r="400" spans="1:11" x14ac:dyDescent="0.3">
      <c r="A400" t="s">
        <v>1281</v>
      </c>
      <c r="B400" s="8">
        <v>45875</v>
      </c>
      <c r="C400" s="8">
        <f t="shared" si="12"/>
        <v>45875</v>
      </c>
      <c r="D400" t="s">
        <v>361</v>
      </c>
      <c r="E400" t="s">
        <v>301</v>
      </c>
      <c r="F400" t="s">
        <v>541</v>
      </c>
      <c r="G400">
        <v>1</v>
      </c>
      <c r="H400">
        <v>197</v>
      </c>
      <c r="I400" t="str">
        <f>IF(VLOOKUP(D400,Customers!A:E,5,FALSE)&gt;=1000,"YES","NO")</f>
        <v>NO</v>
      </c>
      <c r="J400">
        <f t="shared" si="13"/>
        <v>197</v>
      </c>
      <c r="K400">
        <f>(J400 - VLOOKUP(F400,Desserts!A:D,4,FALSE)) * G400</f>
        <v>140</v>
      </c>
    </row>
    <row r="401" spans="1:11" x14ac:dyDescent="0.3">
      <c r="A401" t="s">
        <v>1282</v>
      </c>
      <c r="B401" s="8">
        <v>45832</v>
      </c>
      <c r="C401" s="8">
        <f t="shared" si="12"/>
        <v>45832</v>
      </c>
      <c r="D401" t="s">
        <v>465</v>
      </c>
      <c r="E401" t="s">
        <v>202</v>
      </c>
      <c r="F401" t="s">
        <v>599</v>
      </c>
      <c r="G401">
        <v>2</v>
      </c>
      <c r="H401">
        <v>163</v>
      </c>
      <c r="I401" t="str">
        <f>IF(VLOOKUP(D401,Customers!A:E,5,FALSE)&gt;=1000,"YES","NO")</f>
        <v>YES</v>
      </c>
      <c r="J401">
        <f t="shared" si="13"/>
        <v>81.5</v>
      </c>
      <c r="K401">
        <f>(J401 - VLOOKUP(F401,Desserts!A:D,4,FALSE)) * G401</f>
        <v>3</v>
      </c>
    </row>
    <row r="402" spans="1:11" x14ac:dyDescent="0.3">
      <c r="A402" t="s">
        <v>1283</v>
      </c>
      <c r="B402" s="8">
        <v>45851</v>
      </c>
      <c r="C402" s="8">
        <f t="shared" si="12"/>
        <v>45851</v>
      </c>
      <c r="D402" t="s">
        <v>349</v>
      </c>
      <c r="E402" t="s">
        <v>163</v>
      </c>
      <c r="F402" t="s">
        <v>615</v>
      </c>
      <c r="G402">
        <v>5</v>
      </c>
      <c r="H402">
        <v>203</v>
      </c>
      <c r="I402" t="str">
        <f>IF(VLOOKUP(D402,Customers!A:E,5,FALSE)&gt;=1000,"YES","NO")</f>
        <v>NO</v>
      </c>
      <c r="J402">
        <f t="shared" si="13"/>
        <v>203</v>
      </c>
      <c r="K402">
        <f>(J402 - VLOOKUP(F402,Desserts!A:D,4,FALSE)) * G402</f>
        <v>805</v>
      </c>
    </row>
    <row r="403" spans="1:11" x14ac:dyDescent="0.3">
      <c r="A403" t="s">
        <v>1285</v>
      </c>
      <c r="B403" s="8">
        <v>45916</v>
      </c>
      <c r="C403" s="8">
        <f t="shared" si="12"/>
        <v>45916</v>
      </c>
      <c r="D403" t="s">
        <v>481</v>
      </c>
      <c r="E403" t="s">
        <v>142</v>
      </c>
      <c r="F403" t="s">
        <v>523</v>
      </c>
      <c r="G403">
        <v>3</v>
      </c>
      <c r="H403">
        <v>131</v>
      </c>
      <c r="I403" t="str">
        <f>IF(VLOOKUP(D403,Customers!A:E,5,FALSE)&gt;=1000,"YES","NO")</f>
        <v>YES</v>
      </c>
      <c r="J403">
        <f t="shared" si="13"/>
        <v>65.5</v>
      </c>
      <c r="K403">
        <f>(J403 - VLOOKUP(F403,Desserts!A:D,4,FALSE)) * G403</f>
        <v>-7.5</v>
      </c>
    </row>
    <row r="404" spans="1:11" x14ac:dyDescent="0.3">
      <c r="A404" t="s">
        <v>1286</v>
      </c>
      <c r="B404" s="8">
        <v>45665</v>
      </c>
      <c r="C404" s="8">
        <f t="shared" si="12"/>
        <v>45665</v>
      </c>
      <c r="D404" t="s">
        <v>367</v>
      </c>
      <c r="E404" t="s">
        <v>250</v>
      </c>
      <c r="F404" t="s">
        <v>603</v>
      </c>
      <c r="G404">
        <v>2</v>
      </c>
      <c r="H404">
        <v>150</v>
      </c>
      <c r="I404" t="str">
        <f>IF(VLOOKUP(D404,Customers!A:E,5,FALSE)&gt;=1000,"YES","NO")</f>
        <v>NO</v>
      </c>
      <c r="J404">
        <f t="shared" si="13"/>
        <v>150</v>
      </c>
      <c r="K404">
        <f>(J404 - VLOOKUP(F404,Desserts!A:D,4,FALSE)) * G404</f>
        <v>122</v>
      </c>
    </row>
    <row r="405" spans="1:11" x14ac:dyDescent="0.3">
      <c r="A405" t="s">
        <v>1288</v>
      </c>
      <c r="B405" s="8">
        <v>45704</v>
      </c>
      <c r="C405" s="8">
        <f t="shared" si="12"/>
        <v>45704</v>
      </c>
      <c r="D405" t="s">
        <v>451</v>
      </c>
      <c r="E405" t="s">
        <v>226</v>
      </c>
      <c r="F405" t="s">
        <v>577</v>
      </c>
      <c r="G405">
        <v>5</v>
      </c>
      <c r="H405">
        <v>121</v>
      </c>
      <c r="I405" t="str">
        <f>IF(VLOOKUP(D405,Customers!A:E,5,FALSE)&gt;=1000,"YES","NO")</f>
        <v>NO</v>
      </c>
      <c r="J405">
        <f t="shared" si="13"/>
        <v>121</v>
      </c>
      <c r="K405">
        <f>(J405 - VLOOKUP(F405,Desserts!A:D,4,FALSE)) * G405</f>
        <v>255</v>
      </c>
    </row>
    <row r="406" spans="1:11" x14ac:dyDescent="0.3">
      <c r="A406" t="s">
        <v>1290</v>
      </c>
      <c r="B406" s="8">
        <v>46048</v>
      </c>
      <c r="C406" s="8">
        <f t="shared" si="12"/>
        <v>46048</v>
      </c>
      <c r="D406" t="s">
        <v>463</v>
      </c>
      <c r="E406" t="s">
        <v>298</v>
      </c>
      <c r="F406" t="s">
        <v>551</v>
      </c>
      <c r="G406">
        <v>4</v>
      </c>
      <c r="H406">
        <v>160</v>
      </c>
      <c r="I406" t="str">
        <f>IF(VLOOKUP(D406,Customers!A:E,5,FALSE)&gt;=1000,"YES","NO")</f>
        <v>NO</v>
      </c>
      <c r="J406">
        <f t="shared" si="13"/>
        <v>160</v>
      </c>
      <c r="K406">
        <f>(J406 - VLOOKUP(F406,Desserts!A:D,4,FALSE)) * G406</f>
        <v>364</v>
      </c>
    </row>
    <row r="407" spans="1:11" x14ac:dyDescent="0.3">
      <c r="A407" t="s">
        <v>1291</v>
      </c>
      <c r="B407" s="8">
        <v>45845</v>
      </c>
      <c r="C407" s="8">
        <f t="shared" si="12"/>
        <v>45845</v>
      </c>
      <c r="D407" t="s">
        <v>505</v>
      </c>
      <c r="E407" t="s">
        <v>148</v>
      </c>
      <c r="F407" t="s">
        <v>575</v>
      </c>
      <c r="G407">
        <v>2</v>
      </c>
      <c r="H407">
        <v>142</v>
      </c>
      <c r="I407" t="str">
        <f>IF(VLOOKUP(D407,Customers!A:E,5,FALSE)&gt;=1000,"YES","NO")</f>
        <v>YES</v>
      </c>
      <c r="J407">
        <f t="shared" si="13"/>
        <v>71</v>
      </c>
      <c r="K407">
        <f>(J407 - VLOOKUP(F407,Desserts!A:D,4,FALSE)) * G407</f>
        <v>-8</v>
      </c>
    </row>
    <row r="408" spans="1:11" x14ac:dyDescent="0.3">
      <c r="A408" t="s">
        <v>1292</v>
      </c>
      <c r="B408" s="8">
        <v>46024</v>
      </c>
      <c r="C408" s="8">
        <f t="shared" si="12"/>
        <v>46024</v>
      </c>
      <c r="D408" t="s">
        <v>419</v>
      </c>
      <c r="E408" t="s">
        <v>223</v>
      </c>
      <c r="F408" t="s">
        <v>619</v>
      </c>
      <c r="G408">
        <v>4</v>
      </c>
      <c r="H408">
        <v>181</v>
      </c>
      <c r="I408" t="str">
        <f>IF(VLOOKUP(D408,Customers!A:E,5,FALSE)&gt;=1000,"YES","NO")</f>
        <v>NO</v>
      </c>
      <c r="J408">
        <f t="shared" si="13"/>
        <v>181</v>
      </c>
      <c r="K408">
        <f>(J408 - VLOOKUP(F408,Desserts!A:D,4,FALSE)) * G408</f>
        <v>400</v>
      </c>
    </row>
    <row r="409" spans="1:11" x14ac:dyDescent="0.3">
      <c r="A409" t="s">
        <v>1293</v>
      </c>
      <c r="B409" s="8">
        <v>45673</v>
      </c>
      <c r="C409" s="8">
        <f t="shared" si="12"/>
        <v>45673</v>
      </c>
      <c r="D409" t="s">
        <v>509</v>
      </c>
      <c r="E409" t="s">
        <v>76</v>
      </c>
      <c r="F409" t="s">
        <v>549</v>
      </c>
      <c r="G409">
        <v>1</v>
      </c>
      <c r="H409">
        <v>141</v>
      </c>
      <c r="I409" t="str">
        <f>IF(VLOOKUP(D409,Customers!A:E,5,FALSE)&gt;=1000,"YES","NO")</f>
        <v>NO</v>
      </c>
      <c r="J409">
        <f t="shared" si="13"/>
        <v>141</v>
      </c>
      <c r="K409">
        <f>(J409 - VLOOKUP(F409,Desserts!A:D,4,FALSE)) * G409</f>
        <v>62</v>
      </c>
    </row>
    <row r="410" spans="1:11" x14ac:dyDescent="0.3">
      <c r="A410" t="s">
        <v>1294</v>
      </c>
      <c r="B410" s="8">
        <v>45792</v>
      </c>
      <c r="C410" s="8">
        <f t="shared" si="12"/>
        <v>45792</v>
      </c>
      <c r="D410" t="s">
        <v>381</v>
      </c>
      <c r="E410" t="s">
        <v>304</v>
      </c>
      <c r="F410" t="s">
        <v>589</v>
      </c>
      <c r="G410">
        <v>4</v>
      </c>
      <c r="H410">
        <v>246</v>
      </c>
      <c r="I410" t="str">
        <f>IF(VLOOKUP(D410,Customers!A:E,5,FALSE)&gt;=1000,"YES","NO")</f>
        <v>NO</v>
      </c>
      <c r="J410">
        <f t="shared" si="13"/>
        <v>246</v>
      </c>
      <c r="K410">
        <f>(J410 - VLOOKUP(F410,Desserts!A:D,4,FALSE)) * G410</f>
        <v>700</v>
      </c>
    </row>
    <row r="411" spans="1:11" x14ac:dyDescent="0.3">
      <c r="A411" t="s">
        <v>1295</v>
      </c>
      <c r="B411" s="8">
        <v>45799</v>
      </c>
      <c r="C411" s="8">
        <f t="shared" si="12"/>
        <v>45799</v>
      </c>
      <c r="D411" t="s">
        <v>511</v>
      </c>
      <c r="E411" t="s">
        <v>301</v>
      </c>
      <c r="F411" t="s">
        <v>559</v>
      </c>
      <c r="G411">
        <v>3</v>
      </c>
      <c r="H411">
        <v>202</v>
      </c>
      <c r="I411" t="str">
        <f>IF(VLOOKUP(D411,Customers!A:E,5,FALSE)&gt;=1000,"YES","NO")</f>
        <v>YES</v>
      </c>
      <c r="J411">
        <f t="shared" si="13"/>
        <v>101</v>
      </c>
      <c r="K411">
        <f>(J411 - VLOOKUP(F411,Desserts!A:D,4,FALSE)) * G411</f>
        <v>138</v>
      </c>
    </row>
    <row r="412" spans="1:11" x14ac:dyDescent="0.3">
      <c r="A412" t="s">
        <v>1296</v>
      </c>
      <c r="B412" s="8">
        <v>45813</v>
      </c>
      <c r="C412" s="8">
        <f t="shared" si="12"/>
        <v>45813</v>
      </c>
      <c r="D412" t="s">
        <v>495</v>
      </c>
      <c r="E412" t="s">
        <v>208</v>
      </c>
      <c r="F412" t="s">
        <v>615</v>
      </c>
      <c r="G412">
        <v>3</v>
      </c>
      <c r="H412">
        <v>100</v>
      </c>
      <c r="I412" t="str">
        <f>IF(VLOOKUP(D412,Customers!A:E,5,FALSE)&gt;=1000,"YES","NO")</f>
        <v>NO</v>
      </c>
      <c r="J412">
        <f t="shared" si="13"/>
        <v>100</v>
      </c>
      <c r="K412">
        <f>(J412 - VLOOKUP(F412,Desserts!A:D,4,FALSE)) * G412</f>
        <v>174</v>
      </c>
    </row>
    <row r="413" spans="1:11" x14ac:dyDescent="0.3">
      <c r="A413" t="s">
        <v>1298</v>
      </c>
      <c r="B413" s="8">
        <v>46017</v>
      </c>
      <c r="C413" s="8">
        <f t="shared" si="12"/>
        <v>46017</v>
      </c>
      <c r="D413" t="s">
        <v>363</v>
      </c>
      <c r="E413" t="s">
        <v>289</v>
      </c>
      <c r="F413" t="s">
        <v>549</v>
      </c>
      <c r="G413">
        <v>3</v>
      </c>
      <c r="H413">
        <v>141</v>
      </c>
      <c r="I413" t="str">
        <f>IF(VLOOKUP(D413,Customers!A:E,5,FALSE)&gt;=1000,"YES","NO")</f>
        <v>YES</v>
      </c>
      <c r="J413">
        <f t="shared" si="13"/>
        <v>70.5</v>
      </c>
      <c r="K413">
        <f>(J413 - VLOOKUP(F413,Desserts!A:D,4,FALSE)) * G413</f>
        <v>-25.5</v>
      </c>
    </row>
    <row r="414" spans="1:11" x14ac:dyDescent="0.3">
      <c r="A414" t="s">
        <v>1300</v>
      </c>
      <c r="B414" s="8">
        <v>45696</v>
      </c>
      <c r="C414" s="8">
        <f t="shared" si="12"/>
        <v>45696</v>
      </c>
      <c r="D414" t="s">
        <v>487</v>
      </c>
      <c r="E414" t="s">
        <v>124</v>
      </c>
      <c r="F414" t="s">
        <v>605</v>
      </c>
      <c r="G414">
        <v>4</v>
      </c>
      <c r="H414">
        <v>105</v>
      </c>
      <c r="I414" t="str">
        <f>IF(VLOOKUP(D414,Customers!A:E,5,FALSE)&gt;=1000,"YES","NO")</f>
        <v>NO</v>
      </c>
      <c r="J414">
        <f t="shared" si="13"/>
        <v>105</v>
      </c>
      <c r="K414">
        <f>(J414 - VLOOKUP(F414,Desserts!A:D,4,FALSE)) * G414</f>
        <v>172</v>
      </c>
    </row>
    <row r="415" spans="1:11" x14ac:dyDescent="0.3">
      <c r="A415" t="s">
        <v>1301</v>
      </c>
      <c r="B415" s="8">
        <v>45905</v>
      </c>
      <c r="C415" s="8">
        <f t="shared" si="12"/>
        <v>45905</v>
      </c>
      <c r="D415" t="s">
        <v>483</v>
      </c>
      <c r="E415" t="s">
        <v>247</v>
      </c>
      <c r="F415" t="s">
        <v>579</v>
      </c>
      <c r="G415">
        <v>5</v>
      </c>
      <c r="H415">
        <v>235</v>
      </c>
      <c r="I415" t="str">
        <f>IF(VLOOKUP(D415,Customers!A:E,5,FALSE)&gt;=1000,"YES","NO")</f>
        <v>YES</v>
      </c>
      <c r="J415">
        <f t="shared" si="13"/>
        <v>117.5</v>
      </c>
      <c r="K415">
        <f>(J415 - VLOOKUP(F415,Desserts!A:D,4,FALSE)) * G415</f>
        <v>277.5</v>
      </c>
    </row>
    <row r="416" spans="1:11" x14ac:dyDescent="0.3">
      <c r="A416" t="s">
        <v>1303</v>
      </c>
      <c r="B416" s="8">
        <v>45695</v>
      </c>
      <c r="C416" s="8">
        <f t="shared" si="12"/>
        <v>45695</v>
      </c>
      <c r="D416" t="s">
        <v>345</v>
      </c>
      <c r="E416" t="s">
        <v>298</v>
      </c>
      <c r="F416" t="s">
        <v>583</v>
      </c>
      <c r="G416">
        <v>5</v>
      </c>
      <c r="H416">
        <v>113</v>
      </c>
      <c r="I416" t="str">
        <f>IF(VLOOKUP(D416,Customers!A:E,5,FALSE)&gt;=1000,"YES","NO")</f>
        <v>YES</v>
      </c>
      <c r="J416">
        <f t="shared" si="13"/>
        <v>56.5</v>
      </c>
      <c r="K416">
        <f>(J416 - VLOOKUP(F416,Desserts!A:D,4,FALSE)) * G416</f>
        <v>-132.5</v>
      </c>
    </row>
    <row r="417" spans="1:11" x14ac:dyDescent="0.3">
      <c r="A417" t="s">
        <v>1304</v>
      </c>
      <c r="B417" s="8">
        <v>45891</v>
      </c>
      <c r="C417" s="8">
        <f t="shared" si="12"/>
        <v>45891</v>
      </c>
      <c r="D417" t="s">
        <v>435</v>
      </c>
      <c r="E417" t="s">
        <v>142</v>
      </c>
      <c r="F417" t="s">
        <v>613</v>
      </c>
      <c r="G417">
        <v>5</v>
      </c>
      <c r="H417">
        <v>176</v>
      </c>
      <c r="I417" t="str">
        <f>IF(VLOOKUP(D417,Customers!A:E,5,FALSE)&gt;=1000,"YES","NO")</f>
        <v>NO</v>
      </c>
      <c r="J417">
        <f t="shared" si="13"/>
        <v>176</v>
      </c>
      <c r="K417">
        <f>(J417 - VLOOKUP(F417,Desserts!A:D,4,FALSE)) * G417</f>
        <v>455</v>
      </c>
    </row>
    <row r="418" spans="1:11" x14ac:dyDescent="0.3">
      <c r="A418" t="s">
        <v>1306</v>
      </c>
      <c r="B418" s="8">
        <v>45820</v>
      </c>
      <c r="C418" s="8">
        <f t="shared" si="12"/>
        <v>45820</v>
      </c>
      <c r="D418" t="s">
        <v>377</v>
      </c>
      <c r="E418" t="s">
        <v>208</v>
      </c>
      <c r="F418" t="s">
        <v>609</v>
      </c>
      <c r="G418">
        <v>3</v>
      </c>
      <c r="H418">
        <v>225</v>
      </c>
      <c r="I418" t="str">
        <f>IF(VLOOKUP(D418,Customers!A:E,5,FALSE)&gt;=1000,"YES","NO")</f>
        <v>NO</v>
      </c>
      <c r="J418">
        <f t="shared" si="13"/>
        <v>225</v>
      </c>
      <c r="K418">
        <f>(J418 - VLOOKUP(F418,Desserts!A:D,4,FALSE)) * G418</f>
        <v>483</v>
      </c>
    </row>
    <row r="419" spans="1:11" x14ac:dyDescent="0.3">
      <c r="A419" t="s">
        <v>1307</v>
      </c>
      <c r="B419" s="8">
        <v>45708</v>
      </c>
      <c r="C419" s="8">
        <f t="shared" si="12"/>
        <v>45708</v>
      </c>
      <c r="D419" t="s">
        <v>377</v>
      </c>
      <c r="E419" t="s">
        <v>43</v>
      </c>
      <c r="F419" t="s">
        <v>581</v>
      </c>
      <c r="G419">
        <v>1</v>
      </c>
      <c r="H419">
        <v>183</v>
      </c>
      <c r="I419" t="str">
        <f>IF(VLOOKUP(D419,Customers!A:E,5,FALSE)&gt;=1000,"YES","NO")</f>
        <v>NO</v>
      </c>
      <c r="J419">
        <f t="shared" si="13"/>
        <v>183</v>
      </c>
      <c r="K419">
        <f>(J419 - VLOOKUP(F419,Desserts!A:D,4,FALSE)) * G419</f>
        <v>94</v>
      </c>
    </row>
    <row r="420" spans="1:11" x14ac:dyDescent="0.3">
      <c r="A420" t="s">
        <v>1309</v>
      </c>
      <c r="B420" s="8">
        <v>45990</v>
      </c>
      <c r="C420" s="8">
        <f t="shared" si="12"/>
        <v>45990</v>
      </c>
      <c r="D420" t="s">
        <v>371</v>
      </c>
      <c r="E420" t="s">
        <v>79</v>
      </c>
      <c r="F420" t="s">
        <v>557</v>
      </c>
      <c r="G420">
        <v>1</v>
      </c>
      <c r="H420">
        <v>217</v>
      </c>
      <c r="I420" t="str">
        <f>IF(VLOOKUP(D420,Customers!A:E,5,FALSE)&gt;=1000,"YES","NO")</f>
        <v>NO</v>
      </c>
      <c r="J420">
        <f t="shared" si="13"/>
        <v>217</v>
      </c>
      <c r="K420">
        <f>(J420 - VLOOKUP(F420,Desserts!A:D,4,FALSE)) * G420</f>
        <v>133</v>
      </c>
    </row>
    <row r="421" spans="1:11" x14ac:dyDescent="0.3">
      <c r="A421" t="s">
        <v>1311</v>
      </c>
      <c r="B421" s="8">
        <v>45819</v>
      </c>
      <c r="C421" s="8">
        <f t="shared" si="12"/>
        <v>45819</v>
      </c>
      <c r="D421" t="s">
        <v>345</v>
      </c>
      <c r="E421" t="s">
        <v>127</v>
      </c>
      <c r="F421" t="s">
        <v>569</v>
      </c>
      <c r="G421">
        <v>4</v>
      </c>
      <c r="H421">
        <v>233</v>
      </c>
      <c r="I421" t="str">
        <f>IF(VLOOKUP(D421,Customers!A:E,5,FALSE)&gt;=1000,"YES","NO")</f>
        <v>YES</v>
      </c>
      <c r="J421">
        <f t="shared" si="13"/>
        <v>116.5</v>
      </c>
      <c r="K421">
        <f>(J421 - VLOOKUP(F421,Desserts!A:D,4,FALSE)) * G421</f>
        <v>158</v>
      </c>
    </row>
    <row r="422" spans="1:11" x14ac:dyDescent="0.3">
      <c r="A422" t="s">
        <v>1312</v>
      </c>
      <c r="B422" s="8">
        <v>45981</v>
      </c>
      <c r="C422" s="8">
        <f t="shared" si="12"/>
        <v>45981</v>
      </c>
      <c r="D422" t="s">
        <v>507</v>
      </c>
      <c r="E422" t="s">
        <v>217</v>
      </c>
      <c r="F422" t="s">
        <v>527</v>
      </c>
      <c r="G422">
        <v>1</v>
      </c>
      <c r="H422">
        <v>134</v>
      </c>
      <c r="I422" t="str">
        <f>IF(VLOOKUP(D422,Customers!A:E,5,FALSE)&gt;=1000,"YES","NO")</f>
        <v>NO</v>
      </c>
      <c r="J422">
        <f t="shared" si="13"/>
        <v>134</v>
      </c>
      <c r="K422">
        <f>(J422 - VLOOKUP(F422,Desserts!A:D,4,FALSE)) * G422</f>
        <v>91</v>
      </c>
    </row>
    <row r="423" spans="1:11" x14ac:dyDescent="0.3">
      <c r="A423" t="s">
        <v>1313</v>
      </c>
      <c r="B423" s="8">
        <v>45985</v>
      </c>
      <c r="C423" s="8">
        <f t="shared" si="12"/>
        <v>45985</v>
      </c>
      <c r="D423" t="s">
        <v>447</v>
      </c>
      <c r="E423" t="s">
        <v>30</v>
      </c>
      <c r="F423" t="s">
        <v>529</v>
      </c>
      <c r="G423">
        <v>1</v>
      </c>
      <c r="H423">
        <v>220</v>
      </c>
      <c r="I423" t="str">
        <f>IF(VLOOKUP(D423,Customers!A:E,5,FALSE)&gt;=1000,"YES","NO")</f>
        <v>YES</v>
      </c>
      <c r="J423">
        <f t="shared" si="13"/>
        <v>110</v>
      </c>
      <c r="K423">
        <f>(J423 - VLOOKUP(F423,Desserts!A:D,4,FALSE)) * G423</f>
        <v>42</v>
      </c>
    </row>
    <row r="424" spans="1:11" x14ac:dyDescent="0.3">
      <c r="A424" t="s">
        <v>1315</v>
      </c>
      <c r="B424" s="8">
        <v>45922</v>
      </c>
      <c r="C424" s="8">
        <f t="shared" si="12"/>
        <v>45922</v>
      </c>
      <c r="D424" t="s">
        <v>393</v>
      </c>
      <c r="E424" t="s">
        <v>66</v>
      </c>
      <c r="F424" t="s">
        <v>583</v>
      </c>
      <c r="G424">
        <v>1</v>
      </c>
      <c r="H424">
        <v>102</v>
      </c>
      <c r="I424" t="str">
        <f>IF(VLOOKUP(D424,Customers!A:E,5,FALSE)&gt;=1000,"YES","NO")</f>
        <v>YES</v>
      </c>
      <c r="J424">
        <f t="shared" si="13"/>
        <v>51</v>
      </c>
      <c r="K424">
        <f>(J424 - VLOOKUP(F424,Desserts!A:D,4,FALSE)) * G424</f>
        <v>-32</v>
      </c>
    </row>
    <row r="425" spans="1:11" x14ac:dyDescent="0.3">
      <c r="A425" t="s">
        <v>1317</v>
      </c>
      <c r="B425" s="8">
        <v>45870</v>
      </c>
      <c r="C425" s="8">
        <f t="shared" si="12"/>
        <v>45870</v>
      </c>
      <c r="D425" t="s">
        <v>427</v>
      </c>
      <c r="E425" t="s">
        <v>157</v>
      </c>
      <c r="F425" t="s">
        <v>617</v>
      </c>
      <c r="G425">
        <v>1</v>
      </c>
      <c r="H425">
        <v>236</v>
      </c>
      <c r="I425" t="str">
        <f>IF(VLOOKUP(D425,Customers!A:E,5,FALSE)&gt;=1000,"YES","NO")</f>
        <v>NO</v>
      </c>
      <c r="J425">
        <f t="shared" si="13"/>
        <v>236</v>
      </c>
      <c r="K425">
        <f>(J425 - VLOOKUP(F425,Desserts!A:D,4,FALSE)) * G425</f>
        <v>195</v>
      </c>
    </row>
    <row r="426" spans="1:11" x14ac:dyDescent="0.3">
      <c r="A426" t="s">
        <v>1319</v>
      </c>
      <c r="B426" s="8">
        <v>46014</v>
      </c>
      <c r="C426" s="8">
        <f t="shared" si="12"/>
        <v>46014</v>
      </c>
      <c r="D426" t="s">
        <v>485</v>
      </c>
      <c r="E426" t="s">
        <v>51</v>
      </c>
      <c r="F426" t="s">
        <v>593</v>
      </c>
      <c r="G426">
        <v>4</v>
      </c>
      <c r="H426">
        <v>220</v>
      </c>
      <c r="I426" t="str">
        <f>IF(VLOOKUP(D426,Customers!A:E,5,FALSE)&gt;=1000,"YES","NO")</f>
        <v>YES</v>
      </c>
      <c r="J426">
        <f t="shared" si="13"/>
        <v>110</v>
      </c>
      <c r="K426">
        <f>(J426 - VLOOKUP(F426,Desserts!A:D,4,FALSE)) * G426</f>
        <v>224</v>
      </c>
    </row>
    <row r="427" spans="1:11" x14ac:dyDescent="0.3">
      <c r="A427" t="s">
        <v>1320</v>
      </c>
      <c r="B427" s="8">
        <v>45800</v>
      </c>
      <c r="C427" s="8">
        <f t="shared" si="12"/>
        <v>45800</v>
      </c>
      <c r="D427" t="s">
        <v>327</v>
      </c>
      <c r="E427" t="s">
        <v>88</v>
      </c>
      <c r="F427" t="s">
        <v>549</v>
      </c>
      <c r="G427">
        <v>4</v>
      </c>
      <c r="H427">
        <v>159</v>
      </c>
      <c r="I427" t="str">
        <f>IF(VLOOKUP(D427,Customers!A:E,5,FALSE)&gt;=1000,"YES","NO")</f>
        <v>YES</v>
      </c>
      <c r="J427">
        <f t="shared" si="13"/>
        <v>79.5</v>
      </c>
      <c r="K427">
        <f>(J427 - VLOOKUP(F427,Desserts!A:D,4,FALSE)) * G427</f>
        <v>2</v>
      </c>
    </row>
    <row r="428" spans="1:11" x14ac:dyDescent="0.3">
      <c r="A428" t="s">
        <v>1322</v>
      </c>
      <c r="B428" s="8">
        <v>45881</v>
      </c>
      <c r="C428" s="8">
        <f t="shared" si="12"/>
        <v>45881</v>
      </c>
      <c r="D428" t="s">
        <v>439</v>
      </c>
      <c r="E428" t="s">
        <v>94</v>
      </c>
      <c r="F428" t="s">
        <v>583</v>
      </c>
      <c r="G428">
        <v>5</v>
      </c>
      <c r="H428">
        <v>111</v>
      </c>
      <c r="I428" t="str">
        <f>IF(VLOOKUP(D428,Customers!A:E,5,FALSE)&gt;=1000,"YES","NO")</f>
        <v>YES</v>
      </c>
      <c r="J428">
        <f t="shared" si="13"/>
        <v>55.5</v>
      </c>
      <c r="K428">
        <f>(J428 - VLOOKUP(F428,Desserts!A:D,4,FALSE)) * G428</f>
        <v>-137.5</v>
      </c>
    </row>
    <row r="429" spans="1:11" x14ac:dyDescent="0.3">
      <c r="A429" t="s">
        <v>1323</v>
      </c>
      <c r="B429" s="8">
        <v>45689</v>
      </c>
      <c r="C429" s="8">
        <f t="shared" si="12"/>
        <v>45689</v>
      </c>
      <c r="D429" t="s">
        <v>335</v>
      </c>
      <c r="E429" t="s">
        <v>43</v>
      </c>
      <c r="F429" t="s">
        <v>539</v>
      </c>
      <c r="G429">
        <v>1</v>
      </c>
      <c r="H429">
        <v>137</v>
      </c>
      <c r="I429" t="str">
        <f>IF(VLOOKUP(D429,Customers!A:E,5,FALSE)&gt;=1000,"YES","NO")</f>
        <v>NO</v>
      </c>
      <c r="J429">
        <f t="shared" si="13"/>
        <v>137</v>
      </c>
      <c r="K429">
        <f>(J429 - VLOOKUP(F429,Desserts!A:D,4,FALSE)) * G429</f>
        <v>75</v>
      </c>
    </row>
    <row r="430" spans="1:11" x14ac:dyDescent="0.3">
      <c r="A430" t="s">
        <v>1325</v>
      </c>
      <c r="B430" s="8">
        <v>46037</v>
      </c>
      <c r="C430" s="8">
        <f t="shared" si="12"/>
        <v>46037</v>
      </c>
      <c r="D430" t="s">
        <v>329</v>
      </c>
      <c r="E430" t="s">
        <v>223</v>
      </c>
      <c r="F430" t="s">
        <v>559</v>
      </c>
      <c r="G430">
        <v>1</v>
      </c>
      <c r="H430">
        <v>241</v>
      </c>
      <c r="I430" t="str">
        <f>IF(VLOOKUP(D430,Customers!A:E,5,FALSE)&gt;=1000,"YES","NO")</f>
        <v>YES</v>
      </c>
      <c r="J430">
        <f t="shared" si="13"/>
        <v>120.5</v>
      </c>
      <c r="K430">
        <f>(J430 - VLOOKUP(F430,Desserts!A:D,4,FALSE)) * G430</f>
        <v>65.5</v>
      </c>
    </row>
    <row r="431" spans="1:11" x14ac:dyDescent="0.3">
      <c r="A431" t="s">
        <v>1327</v>
      </c>
      <c r="B431" s="8">
        <v>45869</v>
      </c>
      <c r="C431" s="8">
        <f t="shared" si="12"/>
        <v>45869</v>
      </c>
      <c r="D431" t="s">
        <v>363</v>
      </c>
      <c r="E431" t="s">
        <v>66</v>
      </c>
      <c r="F431" t="s">
        <v>563</v>
      </c>
      <c r="G431">
        <v>2</v>
      </c>
      <c r="H431">
        <v>151</v>
      </c>
      <c r="I431" t="str">
        <f>IF(VLOOKUP(D431,Customers!A:E,5,FALSE)&gt;=1000,"YES","NO")</f>
        <v>YES</v>
      </c>
      <c r="J431">
        <f t="shared" si="13"/>
        <v>75.5</v>
      </c>
      <c r="K431">
        <f>(J431 - VLOOKUP(F431,Desserts!A:D,4,FALSE)) * G431</f>
        <v>21</v>
      </c>
    </row>
    <row r="432" spans="1:11" x14ac:dyDescent="0.3">
      <c r="A432" t="s">
        <v>1329</v>
      </c>
      <c r="B432" s="8">
        <v>45806</v>
      </c>
      <c r="C432" s="8">
        <f t="shared" si="12"/>
        <v>45806</v>
      </c>
      <c r="D432" t="s">
        <v>417</v>
      </c>
      <c r="E432" t="s">
        <v>274</v>
      </c>
      <c r="F432" t="s">
        <v>589</v>
      </c>
      <c r="G432">
        <v>4</v>
      </c>
      <c r="H432">
        <v>140</v>
      </c>
      <c r="I432" t="str">
        <f>IF(VLOOKUP(D432,Customers!A:E,5,FALSE)&gt;=1000,"YES","NO")</f>
        <v>YES</v>
      </c>
      <c r="J432">
        <f t="shared" si="13"/>
        <v>70</v>
      </c>
      <c r="K432">
        <f>(J432 - VLOOKUP(F432,Desserts!A:D,4,FALSE)) * G432</f>
        <v>-4</v>
      </c>
    </row>
    <row r="433" spans="1:11" x14ac:dyDescent="0.3">
      <c r="A433" t="s">
        <v>1330</v>
      </c>
      <c r="B433" s="8">
        <v>46010</v>
      </c>
      <c r="C433" s="8">
        <f t="shared" si="12"/>
        <v>46010</v>
      </c>
      <c r="D433" t="s">
        <v>375</v>
      </c>
      <c r="E433" t="s">
        <v>268</v>
      </c>
      <c r="F433" t="s">
        <v>539</v>
      </c>
      <c r="G433">
        <v>1</v>
      </c>
      <c r="H433">
        <v>130</v>
      </c>
      <c r="I433" t="str">
        <f>IF(VLOOKUP(D433,Customers!A:E,5,FALSE)&gt;=1000,"YES","NO")</f>
        <v>NO</v>
      </c>
      <c r="J433">
        <f t="shared" si="13"/>
        <v>130</v>
      </c>
      <c r="K433">
        <f>(J433 - VLOOKUP(F433,Desserts!A:D,4,FALSE)) * G433</f>
        <v>68</v>
      </c>
    </row>
    <row r="434" spans="1:11" x14ac:dyDescent="0.3">
      <c r="A434" t="s">
        <v>1331</v>
      </c>
      <c r="B434" s="8">
        <v>45948</v>
      </c>
      <c r="C434" s="8">
        <f t="shared" si="12"/>
        <v>45948</v>
      </c>
      <c r="D434" t="s">
        <v>339</v>
      </c>
      <c r="E434" t="s">
        <v>172</v>
      </c>
      <c r="F434" t="s">
        <v>597</v>
      </c>
      <c r="G434">
        <v>2</v>
      </c>
      <c r="H434">
        <v>160</v>
      </c>
      <c r="I434" t="str">
        <f>IF(VLOOKUP(D434,Customers!A:E,5,FALSE)&gt;=1000,"YES","NO")</f>
        <v>NO</v>
      </c>
      <c r="J434">
        <f t="shared" si="13"/>
        <v>160</v>
      </c>
      <c r="K434">
        <f>(J434 - VLOOKUP(F434,Desserts!A:D,4,FALSE)) * G434</f>
        <v>230</v>
      </c>
    </row>
    <row r="435" spans="1:11" x14ac:dyDescent="0.3">
      <c r="A435" t="s">
        <v>1332</v>
      </c>
      <c r="B435" s="8">
        <v>45790</v>
      </c>
      <c r="C435" s="8">
        <f t="shared" si="12"/>
        <v>45790</v>
      </c>
      <c r="D435" t="s">
        <v>455</v>
      </c>
      <c r="E435" t="s">
        <v>63</v>
      </c>
      <c r="F435" t="s">
        <v>563</v>
      </c>
      <c r="G435">
        <v>2</v>
      </c>
      <c r="H435">
        <v>234</v>
      </c>
      <c r="I435" t="str">
        <f>IF(VLOOKUP(D435,Customers!A:E,5,FALSE)&gt;=1000,"YES","NO")</f>
        <v>YES</v>
      </c>
      <c r="J435">
        <f t="shared" si="13"/>
        <v>117</v>
      </c>
      <c r="K435">
        <f>(J435 - VLOOKUP(F435,Desserts!A:D,4,FALSE)) * G435</f>
        <v>104</v>
      </c>
    </row>
    <row r="436" spans="1:11" x14ac:dyDescent="0.3">
      <c r="A436" t="s">
        <v>1334</v>
      </c>
      <c r="B436" s="8">
        <v>45827</v>
      </c>
      <c r="C436" s="8">
        <f t="shared" si="12"/>
        <v>45827</v>
      </c>
      <c r="D436" t="s">
        <v>437</v>
      </c>
      <c r="E436" t="s">
        <v>57</v>
      </c>
      <c r="F436" t="s">
        <v>547</v>
      </c>
      <c r="G436">
        <v>3</v>
      </c>
      <c r="H436">
        <v>225</v>
      </c>
      <c r="I436" t="str">
        <f>IF(VLOOKUP(D436,Customers!A:E,5,FALSE)&gt;=1000,"YES","NO")</f>
        <v>NO</v>
      </c>
      <c r="J436">
        <f t="shared" si="13"/>
        <v>225</v>
      </c>
      <c r="K436">
        <f>(J436 - VLOOKUP(F436,Desserts!A:D,4,FALSE)) * G436</f>
        <v>525</v>
      </c>
    </row>
    <row r="437" spans="1:11" x14ac:dyDescent="0.3">
      <c r="A437" t="s">
        <v>1336</v>
      </c>
      <c r="B437" s="8">
        <v>45660</v>
      </c>
      <c r="C437" s="8">
        <f t="shared" si="12"/>
        <v>45660</v>
      </c>
      <c r="D437" t="s">
        <v>483</v>
      </c>
      <c r="E437" t="s">
        <v>109</v>
      </c>
      <c r="F437" t="s">
        <v>585</v>
      </c>
      <c r="G437">
        <v>2</v>
      </c>
      <c r="H437">
        <v>155</v>
      </c>
      <c r="I437" t="str">
        <f>IF(VLOOKUP(D437,Customers!A:E,5,FALSE)&gt;=1000,"YES","NO")</f>
        <v>YES</v>
      </c>
      <c r="J437">
        <f t="shared" si="13"/>
        <v>77.5</v>
      </c>
      <c r="K437">
        <f>(J437 - VLOOKUP(F437,Desserts!A:D,4,FALSE)) * G437</f>
        <v>61</v>
      </c>
    </row>
    <row r="438" spans="1:11" x14ac:dyDescent="0.3">
      <c r="A438" t="s">
        <v>1337</v>
      </c>
      <c r="B438" s="8">
        <v>46009</v>
      </c>
      <c r="C438" s="8">
        <f t="shared" si="12"/>
        <v>46009</v>
      </c>
      <c r="D438" t="s">
        <v>427</v>
      </c>
      <c r="E438" t="s">
        <v>142</v>
      </c>
      <c r="F438" t="s">
        <v>545</v>
      </c>
      <c r="G438">
        <v>2</v>
      </c>
      <c r="H438">
        <v>211</v>
      </c>
      <c r="I438" t="str">
        <f>IF(VLOOKUP(D438,Customers!A:E,5,FALSE)&gt;=1000,"YES","NO")</f>
        <v>NO</v>
      </c>
      <c r="J438">
        <f t="shared" si="13"/>
        <v>211</v>
      </c>
      <c r="K438">
        <f>(J438 - VLOOKUP(F438,Desserts!A:D,4,FALSE)) * G438</f>
        <v>332</v>
      </c>
    </row>
    <row r="439" spans="1:11" x14ac:dyDescent="0.3">
      <c r="A439" t="s">
        <v>1338</v>
      </c>
      <c r="B439" s="8">
        <v>45983</v>
      </c>
      <c r="C439" s="8">
        <f t="shared" si="12"/>
        <v>45983</v>
      </c>
      <c r="D439" t="s">
        <v>459</v>
      </c>
      <c r="E439" t="s">
        <v>217</v>
      </c>
      <c r="F439" t="s">
        <v>593</v>
      </c>
      <c r="G439">
        <v>5</v>
      </c>
      <c r="H439">
        <v>153</v>
      </c>
      <c r="I439" t="str">
        <f>IF(VLOOKUP(D439,Customers!A:E,5,FALSE)&gt;=1000,"YES","NO")</f>
        <v>NO</v>
      </c>
      <c r="J439">
        <f t="shared" si="13"/>
        <v>153</v>
      </c>
      <c r="K439">
        <f>(J439 - VLOOKUP(F439,Desserts!A:D,4,FALSE)) * G439</f>
        <v>495</v>
      </c>
    </row>
    <row r="440" spans="1:11" x14ac:dyDescent="0.3">
      <c r="A440" t="s">
        <v>1339</v>
      </c>
      <c r="B440" s="8">
        <v>45733</v>
      </c>
      <c r="C440" s="8">
        <f t="shared" si="12"/>
        <v>45733</v>
      </c>
      <c r="D440" t="s">
        <v>435</v>
      </c>
      <c r="E440" t="s">
        <v>40</v>
      </c>
      <c r="F440" t="s">
        <v>549</v>
      </c>
      <c r="G440">
        <v>2</v>
      </c>
      <c r="H440">
        <v>234</v>
      </c>
      <c r="I440" t="str">
        <f>IF(VLOOKUP(D440,Customers!A:E,5,FALSE)&gt;=1000,"YES","NO")</f>
        <v>NO</v>
      </c>
      <c r="J440">
        <f t="shared" si="13"/>
        <v>234</v>
      </c>
      <c r="K440">
        <f>(J440 - VLOOKUP(F440,Desserts!A:D,4,FALSE)) * G440</f>
        <v>310</v>
      </c>
    </row>
    <row r="441" spans="1:11" x14ac:dyDescent="0.3">
      <c r="A441" t="s">
        <v>1340</v>
      </c>
      <c r="B441" s="8">
        <v>45887</v>
      </c>
      <c r="C441" s="8">
        <f t="shared" si="12"/>
        <v>45887</v>
      </c>
      <c r="D441" t="s">
        <v>403</v>
      </c>
      <c r="E441" t="s">
        <v>47</v>
      </c>
      <c r="F441" t="s">
        <v>557</v>
      </c>
      <c r="G441">
        <v>3</v>
      </c>
      <c r="H441">
        <v>147</v>
      </c>
      <c r="I441" t="str">
        <f>IF(VLOOKUP(D441,Customers!A:E,5,FALSE)&gt;=1000,"YES","NO")</f>
        <v>NO</v>
      </c>
      <c r="J441">
        <f t="shared" si="13"/>
        <v>147</v>
      </c>
      <c r="K441">
        <f>(J441 - VLOOKUP(F441,Desserts!A:D,4,FALSE)) * G441</f>
        <v>189</v>
      </c>
    </row>
    <row r="442" spans="1:11" x14ac:dyDescent="0.3">
      <c r="A442" t="s">
        <v>1342</v>
      </c>
      <c r="B442" s="8">
        <v>46031</v>
      </c>
      <c r="C442" s="8">
        <f t="shared" si="12"/>
        <v>46031</v>
      </c>
      <c r="D442" t="s">
        <v>475</v>
      </c>
      <c r="E442" t="s">
        <v>283</v>
      </c>
      <c r="F442" t="s">
        <v>619</v>
      </c>
      <c r="G442">
        <v>3</v>
      </c>
      <c r="H442">
        <v>226</v>
      </c>
      <c r="I442" t="str">
        <f>IF(VLOOKUP(D442,Customers!A:E,5,FALSE)&gt;=1000,"YES","NO")</f>
        <v>NO</v>
      </c>
      <c r="J442">
        <f t="shared" si="13"/>
        <v>226</v>
      </c>
      <c r="K442">
        <f>(J442 - VLOOKUP(F442,Desserts!A:D,4,FALSE)) * G442</f>
        <v>435</v>
      </c>
    </row>
    <row r="443" spans="1:11" x14ac:dyDescent="0.3">
      <c r="A443" t="s">
        <v>1343</v>
      </c>
      <c r="B443" s="8">
        <v>45708</v>
      </c>
      <c r="C443" s="8">
        <f t="shared" si="12"/>
        <v>45708</v>
      </c>
      <c r="D443" t="s">
        <v>355</v>
      </c>
      <c r="E443" t="s">
        <v>54</v>
      </c>
      <c r="F443" t="s">
        <v>597</v>
      </c>
      <c r="G443">
        <v>4</v>
      </c>
      <c r="H443">
        <v>167</v>
      </c>
      <c r="I443" t="str">
        <f>IF(VLOOKUP(D443,Customers!A:E,5,FALSE)&gt;=1000,"YES","NO")</f>
        <v>YES</v>
      </c>
      <c r="J443">
        <f t="shared" si="13"/>
        <v>83.5</v>
      </c>
      <c r="K443">
        <f>(J443 - VLOOKUP(F443,Desserts!A:D,4,FALSE)) * G443</f>
        <v>154</v>
      </c>
    </row>
    <row r="444" spans="1:11" x14ac:dyDescent="0.3">
      <c r="A444" t="s">
        <v>1344</v>
      </c>
      <c r="B444" s="8">
        <v>45758</v>
      </c>
      <c r="C444" s="8">
        <f t="shared" si="12"/>
        <v>45758</v>
      </c>
      <c r="D444" t="s">
        <v>345</v>
      </c>
      <c r="E444" t="s">
        <v>127</v>
      </c>
      <c r="F444" t="s">
        <v>543</v>
      </c>
      <c r="G444">
        <v>2</v>
      </c>
      <c r="H444">
        <v>168</v>
      </c>
      <c r="I444" t="str">
        <f>IF(VLOOKUP(D444,Customers!A:E,5,FALSE)&gt;=1000,"YES","NO")</f>
        <v>YES</v>
      </c>
      <c r="J444">
        <f t="shared" si="13"/>
        <v>84</v>
      </c>
      <c r="K444">
        <f>(J444 - VLOOKUP(F444,Desserts!A:D,4,FALSE)) * G444</f>
        <v>22</v>
      </c>
    </row>
    <row r="445" spans="1:11" x14ac:dyDescent="0.3">
      <c r="A445" t="s">
        <v>1346</v>
      </c>
      <c r="B445" s="8">
        <v>45993</v>
      </c>
      <c r="C445" s="8">
        <f t="shared" si="12"/>
        <v>45993</v>
      </c>
      <c r="D445" t="s">
        <v>497</v>
      </c>
      <c r="E445" t="s">
        <v>142</v>
      </c>
      <c r="F445" t="s">
        <v>589</v>
      </c>
      <c r="G445">
        <v>1</v>
      </c>
      <c r="H445">
        <v>129</v>
      </c>
      <c r="I445" t="str">
        <f>IF(VLOOKUP(D445,Customers!A:E,5,FALSE)&gt;=1000,"YES","NO")</f>
        <v>NO</v>
      </c>
      <c r="J445">
        <f t="shared" si="13"/>
        <v>129</v>
      </c>
      <c r="K445">
        <f>(J445 - VLOOKUP(F445,Desserts!A:D,4,FALSE)) * G445</f>
        <v>58</v>
      </c>
    </row>
    <row r="446" spans="1:11" x14ac:dyDescent="0.3">
      <c r="A446" t="s">
        <v>1348</v>
      </c>
      <c r="B446" s="8">
        <v>45665</v>
      </c>
      <c r="C446" s="8">
        <f t="shared" si="12"/>
        <v>45665</v>
      </c>
      <c r="D446" t="s">
        <v>423</v>
      </c>
      <c r="E446" t="s">
        <v>235</v>
      </c>
      <c r="F446" t="s">
        <v>565</v>
      </c>
      <c r="G446">
        <v>4</v>
      </c>
      <c r="H446">
        <v>167</v>
      </c>
      <c r="I446" t="str">
        <f>IF(VLOOKUP(D446,Customers!A:E,5,FALSE)&gt;=1000,"YES","NO")</f>
        <v>NO</v>
      </c>
      <c r="J446">
        <f t="shared" si="13"/>
        <v>167</v>
      </c>
      <c r="K446">
        <f>(J446 - VLOOKUP(F446,Desserts!A:D,4,FALSE)) * G446</f>
        <v>504</v>
      </c>
    </row>
    <row r="447" spans="1:11" x14ac:dyDescent="0.3">
      <c r="A447" t="s">
        <v>1349</v>
      </c>
      <c r="B447" s="8">
        <v>45702</v>
      </c>
      <c r="C447" s="8">
        <f t="shared" si="12"/>
        <v>45702</v>
      </c>
      <c r="D447" t="s">
        <v>359</v>
      </c>
      <c r="E447" t="s">
        <v>100</v>
      </c>
      <c r="F447" t="s">
        <v>589</v>
      </c>
      <c r="G447">
        <v>2</v>
      </c>
      <c r="H447">
        <v>161</v>
      </c>
      <c r="I447" t="str">
        <f>IF(VLOOKUP(D447,Customers!A:E,5,FALSE)&gt;=1000,"YES","NO")</f>
        <v>YES</v>
      </c>
      <c r="J447">
        <f t="shared" si="13"/>
        <v>80.5</v>
      </c>
      <c r="K447">
        <f>(J447 - VLOOKUP(F447,Desserts!A:D,4,FALSE)) * G447</f>
        <v>19</v>
      </c>
    </row>
    <row r="448" spans="1:11" x14ac:dyDescent="0.3">
      <c r="A448" t="s">
        <v>1350</v>
      </c>
      <c r="B448" s="8">
        <v>46023</v>
      </c>
      <c r="C448" s="8">
        <f t="shared" si="12"/>
        <v>46023</v>
      </c>
      <c r="D448" t="s">
        <v>467</v>
      </c>
      <c r="E448" t="s">
        <v>40</v>
      </c>
      <c r="F448" t="s">
        <v>577</v>
      </c>
      <c r="G448">
        <v>4</v>
      </c>
      <c r="H448">
        <v>188</v>
      </c>
      <c r="I448" t="str">
        <f>IF(VLOOKUP(D448,Customers!A:E,5,FALSE)&gt;=1000,"YES","NO")</f>
        <v>YES</v>
      </c>
      <c r="J448">
        <f t="shared" si="13"/>
        <v>94</v>
      </c>
      <c r="K448">
        <f>(J448 - VLOOKUP(F448,Desserts!A:D,4,FALSE)) * G448</f>
        <v>96</v>
      </c>
    </row>
    <row r="449" spans="1:11" x14ac:dyDescent="0.3">
      <c r="A449" t="s">
        <v>1352</v>
      </c>
      <c r="B449" s="8">
        <v>45728</v>
      </c>
      <c r="C449" s="8">
        <f t="shared" si="12"/>
        <v>45728</v>
      </c>
      <c r="D449" t="s">
        <v>415</v>
      </c>
      <c r="E449" t="s">
        <v>163</v>
      </c>
      <c r="F449" t="s">
        <v>543</v>
      </c>
      <c r="G449">
        <v>5</v>
      </c>
      <c r="H449">
        <v>231</v>
      </c>
      <c r="I449" t="str">
        <f>IF(VLOOKUP(D449,Customers!A:E,5,FALSE)&gt;=1000,"YES","NO")</f>
        <v>YES</v>
      </c>
      <c r="J449">
        <f t="shared" si="13"/>
        <v>115.5</v>
      </c>
      <c r="K449">
        <f>(J449 - VLOOKUP(F449,Desserts!A:D,4,FALSE)) * G449</f>
        <v>212.5</v>
      </c>
    </row>
    <row r="450" spans="1:11" x14ac:dyDescent="0.3">
      <c r="A450" t="s">
        <v>1353</v>
      </c>
      <c r="B450" s="8">
        <v>45808</v>
      </c>
      <c r="C450" s="8">
        <f t="shared" ref="C450:C513" si="14">--B450</f>
        <v>45808</v>
      </c>
      <c r="D450" t="s">
        <v>339</v>
      </c>
      <c r="E450" t="s">
        <v>214</v>
      </c>
      <c r="F450" t="s">
        <v>553</v>
      </c>
      <c r="G450">
        <v>5</v>
      </c>
      <c r="H450">
        <v>101</v>
      </c>
      <c r="I450" t="str">
        <f>IF(VLOOKUP(D450,Customers!A:E,5,FALSE)&gt;=1000,"YES","NO")</f>
        <v>NO</v>
      </c>
      <c r="J450">
        <f t="shared" ref="J450:J501" si="15">IF(I450="YES",H450*0.5,H450)</f>
        <v>101</v>
      </c>
      <c r="K450">
        <f>(J450 - VLOOKUP(F450,Desserts!A:D,4,FALSE)) * G450</f>
        <v>205</v>
      </c>
    </row>
    <row r="451" spans="1:11" x14ac:dyDescent="0.3">
      <c r="A451" t="s">
        <v>1354</v>
      </c>
      <c r="B451" s="8">
        <v>45862</v>
      </c>
      <c r="C451" s="8">
        <f t="shared" si="14"/>
        <v>45862</v>
      </c>
      <c r="D451" t="s">
        <v>467</v>
      </c>
      <c r="E451" t="s">
        <v>220</v>
      </c>
      <c r="F451" t="s">
        <v>565</v>
      </c>
      <c r="G451">
        <v>3</v>
      </c>
      <c r="H451">
        <v>184</v>
      </c>
      <c r="I451" t="str">
        <f>IF(VLOOKUP(D451,Customers!A:E,5,FALSE)&gt;=1000,"YES","NO")</f>
        <v>YES</v>
      </c>
      <c r="J451">
        <f t="shared" si="15"/>
        <v>92</v>
      </c>
      <c r="K451">
        <f>(J451 - VLOOKUP(F451,Desserts!A:D,4,FALSE)) * G451</f>
        <v>153</v>
      </c>
    </row>
    <row r="452" spans="1:11" x14ac:dyDescent="0.3">
      <c r="A452" t="s">
        <v>1355</v>
      </c>
      <c r="B452" s="8">
        <v>45930</v>
      </c>
      <c r="C452" s="8">
        <f t="shared" si="14"/>
        <v>45930</v>
      </c>
      <c r="D452" t="s">
        <v>491</v>
      </c>
      <c r="E452" t="s">
        <v>139</v>
      </c>
      <c r="F452" t="s">
        <v>593</v>
      </c>
      <c r="G452">
        <v>1</v>
      </c>
      <c r="H452">
        <v>195</v>
      </c>
      <c r="I452" t="str">
        <f>IF(VLOOKUP(D452,Customers!A:E,5,FALSE)&gt;=1000,"YES","NO")</f>
        <v>NO</v>
      </c>
      <c r="J452">
        <f t="shared" si="15"/>
        <v>195</v>
      </c>
      <c r="K452">
        <f>(J452 - VLOOKUP(F452,Desserts!A:D,4,FALSE)) * G452</f>
        <v>141</v>
      </c>
    </row>
    <row r="453" spans="1:11" x14ac:dyDescent="0.3">
      <c r="A453" t="s">
        <v>1356</v>
      </c>
      <c r="B453" s="8">
        <v>45968</v>
      </c>
      <c r="C453" s="8">
        <f t="shared" si="14"/>
        <v>45968</v>
      </c>
      <c r="D453" t="s">
        <v>429</v>
      </c>
      <c r="E453" t="s">
        <v>205</v>
      </c>
      <c r="F453" t="s">
        <v>617</v>
      </c>
      <c r="G453">
        <v>4</v>
      </c>
      <c r="H453">
        <v>142</v>
      </c>
      <c r="I453" t="str">
        <f>IF(VLOOKUP(D453,Customers!A:E,5,FALSE)&gt;=1000,"YES","NO")</f>
        <v>YES</v>
      </c>
      <c r="J453">
        <f t="shared" si="15"/>
        <v>71</v>
      </c>
      <c r="K453">
        <f>(J453 - VLOOKUP(F453,Desserts!A:D,4,FALSE)) * G453</f>
        <v>120</v>
      </c>
    </row>
    <row r="454" spans="1:11" x14ac:dyDescent="0.3">
      <c r="A454" t="s">
        <v>1358</v>
      </c>
      <c r="B454" s="8">
        <v>45707</v>
      </c>
      <c r="C454" s="8">
        <f t="shared" si="14"/>
        <v>45707</v>
      </c>
      <c r="D454" t="s">
        <v>505</v>
      </c>
      <c r="E454" t="s">
        <v>115</v>
      </c>
      <c r="F454" t="s">
        <v>615</v>
      </c>
      <c r="G454">
        <v>2</v>
      </c>
      <c r="H454">
        <v>249</v>
      </c>
      <c r="I454" t="str">
        <f>IF(VLOOKUP(D454,Customers!A:E,5,FALSE)&gt;=1000,"YES","NO")</f>
        <v>YES</v>
      </c>
      <c r="J454">
        <f t="shared" si="15"/>
        <v>124.5</v>
      </c>
      <c r="K454">
        <f>(J454 - VLOOKUP(F454,Desserts!A:D,4,FALSE)) * G454</f>
        <v>165</v>
      </c>
    </row>
    <row r="455" spans="1:11" x14ac:dyDescent="0.3">
      <c r="A455" t="s">
        <v>1359</v>
      </c>
      <c r="B455" s="8">
        <v>45697</v>
      </c>
      <c r="C455" s="8">
        <f t="shared" si="14"/>
        <v>45697</v>
      </c>
      <c r="D455" t="s">
        <v>337</v>
      </c>
      <c r="E455" t="s">
        <v>20</v>
      </c>
      <c r="F455" t="s">
        <v>603</v>
      </c>
      <c r="G455">
        <v>3</v>
      </c>
      <c r="H455">
        <v>173</v>
      </c>
      <c r="I455" t="str">
        <f>IF(VLOOKUP(D455,Customers!A:E,5,FALSE)&gt;=1000,"YES","NO")</f>
        <v>NO</v>
      </c>
      <c r="J455">
        <f t="shared" si="15"/>
        <v>173</v>
      </c>
      <c r="K455">
        <f>(J455 - VLOOKUP(F455,Desserts!A:D,4,FALSE)) * G455</f>
        <v>252</v>
      </c>
    </row>
    <row r="456" spans="1:11" x14ac:dyDescent="0.3">
      <c r="A456" t="s">
        <v>1360</v>
      </c>
      <c r="B456" s="8">
        <v>45661</v>
      </c>
      <c r="C456" s="8">
        <f t="shared" si="14"/>
        <v>45661</v>
      </c>
      <c r="D456" t="s">
        <v>367</v>
      </c>
      <c r="E456" t="s">
        <v>181</v>
      </c>
      <c r="F456" t="s">
        <v>551</v>
      </c>
      <c r="G456">
        <v>4</v>
      </c>
      <c r="H456">
        <v>188</v>
      </c>
      <c r="I456" t="str">
        <f>IF(VLOOKUP(D456,Customers!A:E,5,FALSE)&gt;=1000,"YES","NO")</f>
        <v>NO</v>
      </c>
      <c r="J456">
        <f t="shared" si="15"/>
        <v>188</v>
      </c>
      <c r="K456">
        <f>(J456 - VLOOKUP(F456,Desserts!A:D,4,FALSE)) * G456</f>
        <v>476</v>
      </c>
    </row>
    <row r="457" spans="1:11" x14ac:dyDescent="0.3">
      <c r="A457" t="s">
        <v>1361</v>
      </c>
      <c r="B457" s="8">
        <v>45875</v>
      </c>
      <c r="C457" s="8">
        <f t="shared" si="14"/>
        <v>45875</v>
      </c>
      <c r="D457" t="s">
        <v>331</v>
      </c>
      <c r="E457" t="s">
        <v>223</v>
      </c>
      <c r="F457" t="s">
        <v>553</v>
      </c>
      <c r="G457">
        <v>4</v>
      </c>
      <c r="H457">
        <v>116</v>
      </c>
      <c r="I457" t="str">
        <f>IF(VLOOKUP(D457,Customers!A:E,5,FALSE)&gt;=1000,"YES","NO")</f>
        <v>YES</v>
      </c>
      <c r="J457">
        <f t="shared" si="15"/>
        <v>58</v>
      </c>
      <c r="K457">
        <f>(J457 - VLOOKUP(F457,Desserts!A:D,4,FALSE)) * G457</f>
        <v>-8</v>
      </c>
    </row>
    <row r="458" spans="1:11" x14ac:dyDescent="0.3">
      <c r="A458" t="s">
        <v>1362</v>
      </c>
      <c r="B458" s="8">
        <v>45666</v>
      </c>
      <c r="C458" s="8">
        <f t="shared" si="14"/>
        <v>45666</v>
      </c>
      <c r="D458" t="s">
        <v>441</v>
      </c>
      <c r="E458" t="s">
        <v>17</v>
      </c>
      <c r="F458" t="s">
        <v>597</v>
      </c>
      <c r="G458">
        <v>5</v>
      </c>
      <c r="H458">
        <v>124</v>
      </c>
      <c r="I458" t="str">
        <f>IF(VLOOKUP(D458,Customers!A:E,5,FALSE)&gt;=1000,"YES","NO")</f>
        <v>NO</v>
      </c>
      <c r="J458">
        <f t="shared" si="15"/>
        <v>124</v>
      </c>
      <c r="K458">
        <f>(J458 - VLOOKUP(F458,Desserts!A:D,4,FALSE)) * G458</f>
        <v>395</v>
      </c>
    </row>
    <row r="459" spans="1:11" x14ac:dyDescent="0.3">
      <c r="A459" t="s">
        <v>1363</v>
      </c>
      <c r="B459" s="8">
        <v>45782</v>
      </c>
      <c r="C459" s="8">
        <f t="shared" si="14"/>
        <v>45782</v>
      </c>
      <c r="D459" t="s">
        <v>325</v>
      </c>
      <c r="E459" t="s">
        <v>205</v>
      </c>
      <c r="F459" t="s">
        <v>521</v>
      </c>
      <c r="G459">
        <v>4</v>
      </c>
      <c r="H459">
        <v>242</v>
      </c>
      <c r="I459" t="str">
        <f>IF(VLOOKUP(D459,Customers!A:E,5,FALSE)&gt;=1000,"YES","NO")</f>
        <v>NO</v>
      </c>
      <c r="J459">
        <f t="shared" si="15"/>
        <v>242</v>
      </c>
      <c r="K459">
        <f>(J459 - VLOOKUP(F459,Desserts!A:D,4,FALSE)) * G459</f>
        <v>712</v>
      </c>
    </row>
    <row r="460" spans="1:11" x14ac:dyDescent="0.3">
      <c r="A460" t="s">
        <v>1364</v>
      </c>
      <c r="B460" s="8">
        <v>45967</v>
      </c>
      <c r="C460" s="8">
        <f t="shared" si="14"/>
        <v>45967</v>
      </c>
      <c r="D460" t="s">
        <v>373</v>
      </c>
      <c r="E460" t="s">
        <v>5</v>
      </c>
      <c r="F460" t="s">
        <v>613</v>
      </c>
      <c r="G460">
        <v>3</v>
      </c>
      <c r="H460">
        <v>136</v>
      </c>
      <c r="I460" t="str">
        <f>IF(VLOOKUP(D460,Customers!A:E,5,FALSE)&gt;=1000,"YES","NO")</f>
        <v>NO</v>
      </c>
      <c r="J460">
        <f t="shared" si="15"/>
        <v>136</v>
      </c>
      <c r="K460">
        <f>(J460 - VLOOKUP(F460,Desserts!A:D,4,FALSE)) * G460</f>
        <v>153</v>
      </c>
    </row>
    <row r="461" spans="1:11" x14ac:dyDescent="0.3">
      <c r="A461" t="s">
        <v>1365</v>
      </c>
      <c r="B461" s="8">
        <v>45686</v>
      </c>
      <c r="C461" s="8">
        <f t="shared" si="14"/>
        <v>45686</v>
      </c>
      <c r="D461" t="s">
        <v>407</v>
      </c>
      <c r="E461" t="s">
        <v>5</v>
      </c>
      <c r="F461" t="s">
        <v>585</v>
      </c>
      <c r="G461">
        <v>3</v>
      </c>
      <c r="H461">
        <v>246</v>
      </c>
      <c r="I461" t="str">
        <f>IF(VLOOKUP(D461,Customers!A:E,5,FALSE)&gt;=1000,"YES","NO")</f>
        <v>YES</v>
      </c>
      <c r="J461">
        <f t="shared" si="15"/>
        <v>123</v>
      </c>
      <c r="K461">
        <f>(J461 - VLOOKUP(F461,Desserts!A:D,4,FALSE)) * G461</f>
        <v>228</v>
      </c>
    </row>
    <row r="462" spans="1:11" x14ac:dyDescent="0.3">
      <c r="A462" t="s">
        <v>1366</v>
      </c>
      <c r="B462" s="8">
        <v>45852</v>
      </c>
      <c r="C462" s="8">
        <f t="shared" si="14"/>
        <v>45852</v>
      </c>
      <c r="D462" t="s">
        <v>425</v>
      </c>
      <c r="E462" t="s">
        <v>63</v>
      </c>
      <c r="F462" t="s">
        <v>563</v>
      </c>
      <c r="G462">
        <v>5</v>
      </c>
      <c r="H462">
        <v>108</v>
      </c>
      <c r="I462" t="str">
        <f>IF(VLOOKUP(D462,Customers!A:E,5,FALSE)&gt;=1000,"YES","NO")</f>
        <v>NO</v>
      </c>
      <c r="J462">
        <f t="shared" si="15"/>
        <v>108</v>
      </c>
      <c r="K462">
        <f>(J462 - VLOOKUP(F462,Desserts!A:D,4,FALSE)) * G462</f>
        <v>215</v>
      </c>
    </row>
    <row r="463" spans="1:11" x14ac:dyDescent="0.3">
      <c r="A463" t="s">
        <v>1368</v>
      </c>
      <c r="B463" s="8">
        <v>45709</v>
      </c>
      <c r="C463" s="8">
        <f t="shared" si="14"/>
        <v>45709</v>
      </c>
      <c r="D463" t="s">
        <v>395</v>
      </c>
      <c r="E463" t="s">
        <v>289</v>
      </c>
      <c r="F463" t="s">
        <v>599</v>
      </c>
      <c r="G463">
        <v>3</v>
      </c>
      <c r="H463">
        <v>168</v>
      </c>
      <c r="I463" t="str">
        <f>IF(VLOOKUP(D463,Customers!A:E,5,FALSE)&gt;=1000,"YES","NO")</f>
        <v>NO</v>
      </c>
      <c r="J463">
        <f t="shared" si="15"/>
        <v>168</v>
      </c>
      <c r="K463">
        <f>(J463 - VLOOKUP(F463,Desserts!A:D,4,FALSE)) * G463</f>
        <v>264</v>
      </c>
    </row>
    <row r="464" spans="1:11" x14ac:dyDescent="0.3">
      <c r="A464" t="s">
        <v>1370</v>
      </c>
      <c r="B464" s="8">
        <v>45956</v>
      </c>
      <c r="C464" s="8">
        <f t="shared" si="14"/>
        <v>45956</v>
      </c>
      <c r="D464" t="s">
        <v>471</v>
      </c>
      <c r="E464" t="s">
        <v>205</v>
      </c>
      <c r="F464" t="s">
        <v>555</v>
      </c>
      <c r="G464">
        <v>5</v>
      </c>
      <c r="H464">
        <v>249</v>
      </c>
      <c r="I464" t="str">
        <f>IF(VLOOKUP(D464,Customers!A:E,5,FALSE)&gt;=1000,"YES","NO")</f>
        <v>NO</v>
      </c>
      <c r="J464">
        <f t="shared" si="15"/>
        <v>249</v>
      </c>
      <c r="K464">
        <f>(J464 - VLOOKUP(F464,Desserts!A:D,4,FALSE)) * G464</f>
        <v>870</v>
      </c>
    </row>
    <row r="465" spans="1:11" x14ac:dyDescent="0.3">
      <c r="A465" t="s">
        <v>1371</v>
      </c>
      <c r="B465" s="8">
        <v>45782</v>
      </c>
      <c r="C465" s="8">
        <f t="shared" si="14"/>
        <v>45782</v>
      </c>
      <c r="D465" t="s">
        <v>445</v>
      </c>
      <c r="E465" t="s">
        <v>118</v>
      </c>
      <c r="F465" t="s">
        <v>537</v>
      </c>
      <c r="G465">
        <v>4</v>
      </c>
      <c r="H465">
        <v>221</v>
      </c>
      <c r="I465" t="str">
        <f>IF(VLOOKUP(D465,Customers!A:E,5,FALSE)&gt;=1000,"YES","NO")</f>
        <v>NO</v>
      </c>
      <c r="J465">
        <f t="shared" si="15"/>
        <v>221</v>
      </c>
      <c r="K465">
        <f>(J465 - VLOOKUP(F465,Desserts!A:D,4,FALSE)) * G465</f>
        <v>548</v>
      </c>
    </row>
    <row r="466" spans="1:11" x14ac:dyDescent="0.3">
      <c r="A466" t="s">
        <v>1372</v>
      </c>
      <c r="B466" s="8">
        <v>45716</v>
      </c>
      <c r="C466" s="8">
        <f t="shared" si="14"/>
        <v>45716</v>
      </c>
      <c r="D466" t="s">
        <v>433</v>
      </c>
      <c r="E466" t="s">
        <v>244</v>
      </c>
      <c r="F466" t="s">
        <v>595</v>
      </c>
      <c r="G466">
        <v>3</v>
      </c>
      <c r="H466">
        <v>199</v>
      </c>
      <c r="I466" t="str">
        <f>IF(VLOOKUP(D466,Customers!A:E,5,FALSE)&gt;=1000,"YES","NO")</f>
        <v>YES</v>
      </c>
      <c r="J466">
        <f t="shared" si="15"/>
        <v>99.5</v>
      </c>
      <c r="K466">
        <f>(J466 - VLOOKUP(F466,Desserts!A:D,4,FALSE)) * G466</f>
        <v>88.5</v>
      </c>
    </row>
    <row r="467" spans="1:11" x14ac:dyDescent="0.3">
      <c r="A467" t="s">
        <v>1374</v>
      </c>
      <c r="B467" s="8">
        <v>45754</v>
      </c>
      <c r="C467" s="8">
        <f t="shared" si="14"/>
        <v>45754</v>
      </c>
      <c r="D467" t="s">
        <v>339</v>
      </c>
      <c r="E467" t="s">
        <v>130</v>
      </c>
      <c r="F467" t="s">
        <v>589</v>
      </c>
      <c r="G467">
        <v>4</v>
      </c>
      <c r="H467">
        <v>135</v>
      </c>
      <c r="I467" t="str">
        <f>IF(VLOOKUP(D467,Customers!A:E,5,FALSE)&gt;=1000,"YES","NO")</f>
        <v>NO</v>
      </c>
      <c r="J467">
        <f t="shared" si="15"/>
        <v>135</v>
      </c>
      <c r="K467">
        <f>(J467 - VLOOKUP(F467,Desserts!A:D,4,FALSE)) * G467</f>
        <v>256</v>
      </c>
    </row>
    <row r="468" spans="1:11" x14ac:dyDescent="0.3">
      <c r="A468" t="s">
        <v>1375</v>
      </c>
      <c r="B468" s="8">
        <v>45800</v>
      </c>
      <c r="C468" s="8">
        <f t="shared" si="14"/>
        <v>45800</v>
      </c>
      <c r="D468" t="s">
        <v>405</v>
      </c>
      <c r="E468" t="s">
        <v>163</v>
      </c>
      <c r="F468" t="s">
        <v>547</v>
      </c>
      <c r="G468">
        <v>3</v>
      </c>
      <c r="H468">
        <v>190</v>
      </c>
      <c r="I468" t="str">
        <f>IF(VLOOKUP(D468,Customers!A:E,5,FALSE)&gt;=1000,"YES","NO")</f>
        <v>YES</v>
      </c>
      <c r="J468">
        <f t="shared" si="15"/>
        <v>95</v>
      </c>
      <c r="K468">
        <f>(J468 - VLOOKUP(F468,Desserts!A:D,4,FALSE)) * G468</f>
        <v>135</v>
      </c>
    </row>
    <row r="469" spans="1:11" x14ac:dyDescent="0.3">
      <c r="A469" t="s">
        <v>1376</v>
      </c>
      <c r="B469" s="8">
        <v>45661</v>
      </c>
      <c r="C469" s="8">
        <f t="shared" si="14"/>
        <v>45661</v>
      </c>
      <c r="D469" t="s">
        <v>397</v>
      </c>
      <c r="E469" t="s">
        <v>148</v>
      </c>
      <c r="F469" t="s">
        <v>617</v>
      </c>
      <c r="G469">
        <v>2</v>
      </c>
      <c r="H469">
        <v>172</v>
      </c>
      <c r="I469" t="str">
        <f>IF(VLOOKUP(D469,Customers!A:E,5,FALSE)&gt;=1000,"YES","NO")</f>
        <v>NO</v>
      </c>
      <c r="J469">
        <f t="shared" si="15"/>
        <v>172</v>
      </c>
      <c r="K469">
        <f>(J469 - VLOOKUP(F469,Desserts!A:D,4,FALSE)) * G469</f>
        <v>262</v>
      </c>
    </row>
    <row r="470" spans="1:11" x14ac:dyDescent="0.3">
      <c r="A470" t="s">
        <v>1377</v>
      </c>
      <c r="B470" s="8">
        <v>45833</v>
      </c>
      <c r="C470" s="8">
        <f t="shared" si="14"/>
        <v>45833</v>
      </c>
      <c r="D470" t="s">
        <v>407</v>
      </c>
      <c r="E470" t="s">
        <v>211</v>
      </c>
      <c r="F470" t="s">
        <v>541</v>
      </c>
      <c r="G470">
        <v>2</v>
      </c>
      <c r="H470">
        <v>239</v>
      </c>
      <c r="I470" t="str">
        <f>IF(VLOOKUP(D470,Customers!A:E,5,FALSE)&gt;=1000,"YES","NO")</f>
        <v>YES</v>
      </c>
      <c r="J470">
        <f t="shared" si="15"/>
        <v>119.5</v>
      </c>
      <c r="K470">
        <f>(J470 - VLOOKUP(F470,Desserts!A:D,4,FALSE)) * G470</f>
        <v>125</v>
      </c>
    </row>
    <row r="471" spans="1:11" x14ac:dyDescent="0.3">
      <c r="A471" t="s">
        <v>1378</v>
      </c>
      <c r="B471" s="8">
        <v>45788</v>
      </c>
      <c r="C471" s="8">
        <f t="shared" si="14"/>
        <v>45788</v>
      </c>
      <c r="D471" t="s">
        <v>343</v>
      </c>
      <c r="E471" t="s">
        <v>193</v>
      </c>
      <c r="F471" t="s">
        <v>537</v>
      </c>
      <c r="G471">
        <v>1</v>
      </c>
      <c r="H471">
        <v>221</v>
      </c>
      <c r="I471" t="str">
        <f>IF(VLOOKUP(D471,Customers!A:E,5,FALSE)&gt;=1000,"YES","NO")</f>
        <v>YES</v>
      </c>
      <c r="J471">
        <f t="shared" si="15"/>
        <v>110.5</v>
      </c>
      <c r="K471">
        <f>(J471 - VLOOKUP(F471,Desserts!A:D,4,FALSE)) * G471</f>
        <v>26.5</v>
      </c>
    </row>
    <row r="472" spans="1:11" x14ac:dyDescent="0.3">
      <c r="A472" t="s">
        <v>1379</v>
      </c>
      <c r="B472" s="8">
        <v>45902</v>
      </c>
      <c r="C472" s="8">
        <f t="shared" si="14"/>
        <v>45902</v>
      </c>
      <c r="D472" t="s">
        <v>503</v>
      </c>
      <c r="E472" t="s">
        <v>91</v>
      </c>
      <c r="F472" t="s">
        <v>525</v>
      </c>
      <c r="G472">
        <v>1</v>
      </c>
      <c r="H472">
        <v>207</v>
      </c>
      <c r="I472" t="str">
        <f>IF(VLOOKUP(D472,Customers!A:E,5,FALSE)&gt;=1000,"YES","NO")</f>
        <v>NO</v>
      </c>
      <c r="J472">
        <f t="shared" si="15"/>
        <v>207</v>
      </c>
      <c r="K472">
        <f>(J472 - VLOOKUP(F472,Desserts!A:D,4,FALSE)) * G472</f>
        <v>123</v>
      </c>
    </row>
    <row r="473" spans="1:11" x14ac:dyDescent="0.3">
      <c r="A473" t="s">
        <v>1380</v>
      </c>
      <c r="B473" s="8">
        <v>46033</v>
      </c>
      <c r="C473" s="8">
        <f t="shared" si="14"/>
        <v>46033</v>
      </c>
      <c r="D473" t="s">
        <v>387</v>
      </c>
      <c r="E473" t="s">
        <v>310</v>
      </c>
      <c r="F473" t="s">
        <v>569</v>
      </c>
      <c r="G473">
        <v>5</v>
      </c>
      <c r="H473">
        <v>137</v>
      </c>
      <c r="I473" t="str">
        <f>IF(VLOOKUP(D473,Customers!A:E,5,FALSE)&gt;=1000,"YES","NO")</f>
        <v>NO</v>
      </c>
      <c r="J473">
        <f t="shared" si="15"/>
        <v>137</v>
      </c>
      <c r="K473">
        <f>(J473 - VLOOKUP(F473,Desserts!A:D,4,FALSE)) * G473</f>
        <v>300</v>
      </c>
    </row>
    <row r="474" spans="1:11" x14ac:dyDescent="0.3">
      <c r="A474" t="s">
        <v>1381</v>
      </c>
      <c r="B474" s="8">
        <v>45942</v>
      </c>
      <c r="C474" s="8">
        <f t="shared" si="14"/>
        <v>45942</v>
      </c>
      <c r="D474" t="s">
        <v>337</v>
      </c>
      <c r="E474" t="s">
        <v>66</v>
      </c>
      <c r="F474" t="s">
        <v>617</v>
      </c>
      <c r="G474">
        <v>2</v>
      </c>
      <c r="H474">
        <v>185</v>
      </c>
      <c r="I474" t="str">
        <f>IF(VLOOKUP(D474,Customers!A:E,5,FALSE)&gt;=1000,"YES","NO")</f>
        <v>NO</v>
      </c>
      <c r="J474">
        <f t="shared" si="15"/>
        <v>185</v>
      </c>
      <c r="K474">
        <f>(J474 - VLOOKUP(F474,Desserts!A:D,4,FALSE)) * G474</f>
        <v>288</v>
      </c>
    </row>
    <row r="475" spans="1:11" x14ac:dyDescent="0.3">
      <c r="A475" t="s">
        <v>1383</v>
      </c>
      <c r="B475" s="8">
        <v>46041</v>
      </c>
      <c r="C475" s="8">
        <f t="shared" si="14"/>
        <v>46041</v>
      </c>
      <c r="D475" t="s">
        <v>333</v>
      </c>
      <c r="E475" t="s">
        <v>112</v>
      </c>
      <c r="F475" t="s">
        <v>569</v>
      </c>
      <c r="G475">
        <v>3</v>
      </c>
      <c r="H475">
        <v>146</v>
      </c>
      <c r="I475" t="str">
        <f>IF(VLOOKUP(D475,Customers!A:E,5,FALSE)&gt;=1000,"YES","NO")</f>
        <v>YES</v>
      </c>
      <c r="J475">
        <f t="shared" si="15"/>
        <v>73</v>
      </c>
      <c r="K475">
        <f>(J475 - VLOOKUP(F475,Desserts!A:D,4,FALSE)) * G475</f>
        <v>-12</v>
      </c>
    </row>
    <row r="476" spans="1:11" x14ac:dyDescent="0.3">
      <c r="A476" t="s">
        <v>1385</v>
      </c>
      <c r="B476" s="8">
        <v>46051</v>
      </c>
      <c r="C476" s="8">
        <f t="shared" si="14"/>
        <v>46051</v>
      </c>
      <c r="D476" t="s">
        <v>387</v>
      </c>
      <c r="E476" t="s">
        <v>157</v>
      </c>
      <c r="F476" t="s">
        <v>543</v>
      </c>
      <c r="G476">
        <v>1</v>
      </c>
      <c r="H476">
        <v>192</v>
      </c>
      <c r="I476" t="str">
        <f>IF(VLOOKUP(D476,Customers!A:E,5,FALSE)&gt;=1000,"YES","NO")</f>
        <v>NO</v>
      </c>
      <c r="J476">
        <f t="shared" si="15"/>
        <v>192</v>
      </c>
      <c r="K476">
        <f>(J476 - VLOOKUP(F476,Desserts!A:D,4,FALSE)) * G476</f>
        <v>119</v>
      </c>
    </row>
    <row r="477" spans="1:11" x14ac:dyDescent="0.3">
      <c r="A477" t="s">
        <v>1387</v>
      </c>
      <c r="B477" s="8">
        <v>45776</v>
      </c>
      <c r="C477" s="8">
        <f t="shared" si="14"/>
        <v>45776</v>
      </c>
      <c r="D477" t="s">
        <v>347</v>
      </c>
      <c r="E477" t="s">
        <v>72</v>
      </c>
      <c r="F477" t="s">
        <v>555</v>
      </c>
      <c r="G477">
        <v>3</v>
      </c>
      <c r="H477">
        <v>193</v>
      </c>
      <c r="I477" t="str">
        <f>IF(VLOOKUP(D477,Customers!A:E,5,FALSE)&gt;=1000,"YES","NO")</f>
        <v>YES</v>
      </c>
      <c r="J477">
        <f t="shared" si="15"/>
        <v>96.5</v>
      </c>
      <c r="K477">
        <f>(J477 - VLOOKUP(F477,Desserts!A:D,4,FALSE)) * G477</f>
        <v>64.5</v>
      </c>
    </row>
    <row r="478" spans="1:11" x14ac:dyDescent="0.3">
      <c r="A478" t="s">
        <v>1388</v>
      </c>
      <c r="B478" s="8">
        <v>45935</v>
      </c>
      <c r="C478" s="8">
        <f t="shared" si="14"/>
        <v>45935</v>
      </c>
      <c r="D478" t="s">
        <v>343</v>
      </c>
      <c r="E478" t="s">
        <v>103</v>
      </c>
      <c r="F478" t="s">
        <v>597</v>
      </c>
      <c r="G478">
        <v>3</v>
      </c>
      <c r="H478">
        <v>188</v>
      </c>
      <c r="I478" t="str">
        <f>IF(VLOOKUP(D478,Customers!A:E,5,FALSE)&gt;=1000,"YES","NO")</f>
        <v>YES</v>
      </c>
      <c r="J478">
        <f t="shared" si="15"/>
        <v>94</v>
      </c>
      <c r="K478">
        <f>(J478 - VLOOKUP(F478,Desserts!A:D,4,FALSE)) * G478</f>
        <v>147</v>
      </c>
    </row>
    <row r="479" spans="1:11" x14ac:dyDescent="0.3">
      <c r="A479" t="s">
        <v>1389</v>
      </c>
      <c r="B479" s="8">
        <v>45917</v>
      </c>
      <c r="C479" s="8">
        <f t="shared" si="14"/>
        <v>45917</v>
      </c>
      <c r="D479" t="s">
        <v>423</v>
      </c>
      <c r="E479" t="s">
        <v>79</v>
      </c>
      <c r="F479" t="s">
        <v>543</v>
      </c>
      <c r="G479">
        <v>3</v>
      </c>
      <c r="H479">
        <v>227</v>
      </c>
      <c r="I479" t="str">
        <f>IF(VLOOKUP(D479,Customers!A:E,5,FALSE)&gt;=1000,"YES","NO")</f>
        <v>NO</v>
      </c>
      <c r="J479">
        <f t="shared" si="15"/>
        <v>227</v>
      </c>
      <c r="K479">
        <f>(J479 - VLOOKUP(F479,Desserts!A:D,4,FALSE)) * G479</f>
        <v>462</v>
      </c>
    </row>
    <row r="480" spans="1:11" x14ac:dyDescent="0.3">
      <c r="A480" t="s">
        <v>1390</v>
      </c>
      <c r="B480" s="8">
        <v>45802</v>
      </c>
      <c r="C480" s="8">
        <f t="shared" si="14"/>
        <v>45802</v>
      </c>
      <c r="D480" t="s">
        <v>369</v>
      </c>
      <c r="E480" t="s">
        <v>247</v>
      </c>
      <c r="F480" t="s">
        <v>541</v>
      </c>
      <c r="G480">
        <v>3</v>
      </c>
      <c r="H480">
        <v>110</v>
      </c>
      <c r="I480" t="str">
        <f>IF(VLOOKUP(D480,Customers!A:E,5,FALSE)&gt;=1000,"YES","NO")</f>
        <v>YES</v>
      </c>
      <c r="J480">
        <f t="shared" si="15"/>
        <v>55</v>
      </c>
      <c r="K480">
        <f>(J480 - VLOOKUP(F480,Desserts!A:D,4,FALSE)) * G480</f>
        <v>-6</v>
      </c>
    </row>
    <row r="481" spans="1:11" x14ac:dyDescent="0.3">
      <c r="A481" t="s">
        <v>1391</v>
      </c>
      <c r="B481" s="8">
        <v>45826</v>
      </c>
      <c r="C481" s="8">
        <f t="shared" si="14"/>
        <v>45826</v>
      </c>
      <c r="D481" t="s">
        <v>485</v>
      </c>
      <c r="E481" t="s">
        <v>274</v>
      </c>
      <c r="F481" t="s">
        <v>611</v>
      </c>
      <c r="G481">
        <v>4</v>
      </c>
      <c r="H481">
        <v>101</v>
      </c>
      <c r="I481" t="str">
        <f>IF(VLOOKUP(D481,Customers!A:E,5,FALSE)&gt;=1000,"YES","NO")</f>
        <v>YES</v>
      </c>
      <c r="J481">
        <f t="shared" si="15"/>
        <v>50.5</v>
      </c>
      <c r="K481">
        <f>(J481 - VLOOKUP(F481,Desserts!A:D,4,FALSE)) * G481</f>
        <v>30</v>
      </c>
    </row>
    <row r="482" spans="1:11" x14ac:dyDescent="0.3">
      <c r="A482" t="s">
        <v>1392</v>
      </c>
      <c r="B482" s="8">
        <v>45946</v>
      </c>
      <c r="C482" s="8">
        <f t="shared" si="14"/>
        <v>45946</v>
      </c>
      <c r="D482" t="s">
        <v>419</v>
      </c>
      <c r="E482" t="s">
        <v>54</v>
      </c>
      <c r="F482" t="s">
        <v>573</v>
      </c>
      <c r="G482">
        <v>4</v>
      </c>
      <c r="H482">
        <v>162</v>
      </c>
      <c r="I482" t="str">
        <f>IF(VLOOKUP(D482,Customers!A:E,5,FALSE)&gt;=1000,"YES","NO")</f>
        <v>NO</v>
      </c>
      <c r="J482">
        <f t="shared" si="15"/>
        <v>162</v>
      </c>
      <c r="K482">
        <f>(J482 - VLOOKUP(F482,Desserts!A:D,4,FALSE)) * G482</f>
        <v>448</v>
      </c>
    </row>
    <row r="483" spans="1:11" x14ac:dyDescent="0.3">
      <c r="A483" t="s">
        <v>1393</v>
      </c>
      <c r="B483" s="8">
        <v>46019</v>
      </c>
      <c r="C483" s="8">
        <f t="shared" si="14"/>
        <v>46019</v>
      </c>
      <c r="D483" t="s">
        <v>363</v>
      </c>
      <c r="E483" t="s">
        <v>268</v>
      </c>
      <c r="F483" t="s">
        <v>535</v>
      </c>
      <c r="G483">
        <v>2</v>
      </c>
      <c r="H483">
        <v>168</v>
      </c>
      <c r="I483" t="str">
        <f>IF(VLOOKUP(D483,Customers!A:E,5,FALSE)&gt;=1000,"YES","NO")</f>
        <v>YES</v>
      </c>
      <c r="J483">
        <f t="shared" si="15"/>
        <v>84</v>
      </c>
      <c r="K483">
        <f>(J483 - VLOOKUP(F483,Desserts!A:D,4,FALSE)) * G483</f>
        <v>20</v>
      </c>
    </row>
    <row r="484" spans="1:11" x14ac:dyDescent="0.3">
      <c r="A484" t="s">
        <v>1394</v>
      </c>
      <c r="B484" s="8">
        <v>45965</v>
      </c>
      <c r="C484" s="8">
        <f t="shared" si="14"/>
        <v>45965</v>
      </c>
      <c r="D484" t="s">
        <v>421</v>
      </c>
      <c r="E484" t="s">
        <v>57</v>
      </c>
      <c r="F484" t="s">
        <v>545</v>
      </c>
      <c r="G484">
        <v>4</v>
      </c>
      <c r="H484">
        <v>123</v>
      </c>
      <c r="I484" t="str">
        <f>IF(VLOOKUP(D484,Customers!A:E,5,FALSE)&gt;=1000,"YES","NO")</f>
        <v>YES</v>
      </c>
      <c r="J484">
        <f t="shared" si="15"/>
        <v>61.5</v>
      </c>
      <c r="K484">
        <f>(J484 - VLOOKUP(F484,Desserts!A:D,4,FALSE)) * G484</f>
        <v>66</v>
      </c>
    </row>
    <row r="485" spans="1:11" x14ac:dyDescent="0.3">
      <c r="A485" t="s">
        <v>1395</v>
      </c>
      <c r="B485" s="8">
        <v>45784</v>
      </c>
      <c r="C485" s="8">
        <f t="shared" si="14"/>
        <v>45784</v>
      </c>
      <c r="D485" t="s">
        <v>365</v>
      </c>
      <c r="E485" t="s">
        <v>193</v>
      </c>
      <c r="F485" t="s">
        <v>607</v>
      </c>
      <c r="G485">
        <v>5</v>
      </c>
      <c r="H485">
        <v>232</v>
      </c>
      <c r="I485" t="str">
        <f>IF(VLOOKUP(D485,Customers!A:E,5,FALSE)&gt;=1000,"YES","NO")</f>
        <v>NO</v>
      </c>
      <c r="J485">
        <f t="shared" si="15"/>
        <v>232</v>
      </c>
      <c r="K485">
        <f>(J485 - VLOOKUP(F485,Desserts!A:D,4,FALSE)) * G485</f>
        <v>810</v>
      </c>
    </row>
    <row r="486" spans="1:11" x14ac:dyDescent="0.3">
      <c r="A486" t="s">
        <v>1396</v>
      </c>
      <c r="B486" s="8">
        <v>45956</v>
      </c>
      <c r="C486" s="8">
        <f t="shared" si="14"/>
        <v>45956</v>
      </c>
      <c r="D486" t="s">
        <v>349</v>
      </c>
      <c r="E486" t="s">
        <v>37</v>
      </c>
      <c r="F486" t="s">
        <v>619</v>
      </c>
      <c r="G486">
        <v>2</v>
      </c>
      <c r="H486">
        <v>199</v>
      </c>
      <c r="I486" t="str">
        <f>IF(VLOOKUP(D486,Customers!A:E,5,FALSE)&gt;=1000,"YES","NO")</f>
        <v>NO</v>
      </c>
      <c r="J486">
        <f t="shared" si="15"/>
        <v>199</v>
      </c>
      <c r="K486">
        <f>(J486 - VLOOKUP(F486,Desserts!A:D,4,FALSE)) * G486</f>
        <v>236</v>
      </c>
    </row>
    <row r="487" spans="1:11" x14ac:dyDescent="0.3">
      <c r="A487" t="s">
        <v>1397</v>
      </c>
      <c r="B487" s="8">
        <v>45914</v>
      </c>
      <c r="C487" s="8">
        <f t="shared" si="14"/>
        <v>45914</v>
      </c>
      <c r="D487" t="s">
        <v>481</v>
      </c>
      <c r="E487" t="s">
        <v>265</v>
      </c>
      <c r="F487" t="s">
        <v>565</v>
      </c>
      <c r="G487">
        <v>1</v>
      </c>
      <c r="H487">
        <v>172</v>
      </c>
      <c r="I487" t="str">
        <f>IF(VLOOKUP(D487,Customers!A:E,5,FALSE)&gt;=1000,"YES","NO")</f>
        <v>YES</v>
      </c>
      <c r="J487">
        <f t="shared" si="15"/>
        <v>86</v>
      </c>
      <c r="K487">
        <f>(J487 - VLOOKUP(F487,Desserts!A:D,4,FALSE)) * G487</f>
        <v>45</v>
      </c>
    </row>
    <row r="488" spans="1:11" x14ac:dyDescent="0.3">
      <c r="A488" t="s">
        <v>1399</v>
      </c>
      <c r="B488" s="8">
        <v>45756</v>
      </c>
      <c r="C488" s="8">
        <f t="shared" si="14"/>
        <v>45756</v>
      </c>
      <c r="D488" t="s">
        <v>347</v>
      </c>
      <c r="E488" t="s">
        <v>250</v>
      </c>
      <c r="F488" t="s">
        <v>523</v>
      </c>
      <c r="G488">
        <v>3</v>
      </c>
      <c r="H488">
        <v>191</v>
      </c>
      <c r="I488" t="str">
        <f>IF(VLOOKUP(D488,Customers!A:E,5,FALSE)&gt;=1000,"YES","NO")</f>
        <v>YES</v>
      </c>
      <c r="J488">
        <f t="shared" si="15"/>
        <v>95.5</v>
      </c>
      <c r="K488">
        <f>(J488 - VLOOKUP(F488,Desserts!A:D,4,FALSE)) * G488</f>
        <v>82.5</v>
      </c>
    </row>
    <row r="489" spans="1:11" x14ac:dyDescent="0.3">
      <c r="A489" t="s">
        <v>1400</v>
      </c>
      <c r="B489" s="8">
        <v>45712</v>
      </c>
      <c r="C489" s="8">
        <f t="shared" si="14"/>
        <v>45712</v>
      </c>
      <c r="D489" t="s">
        <v>503</v>
      </c>
      <c r="E489" t="s">
        <v>63</v>
      </c>
      <c r="F489" t="s">
        <v>569</v>
      </c>
      <c r="G489">
        <v>1</v>
      </c>
      <c r="H489">
        <v>102</v>
      </c>
      <c r="I489" t="str">
        <f>IF(VLOOKUP(D489,Customers!A:E,5,FALSE)&gt;=1000,"YES","NO")</f>
        <v>NO</v>
      </c>
      <c r="J489">
        <f t="shared" si="15"/>
        <v>102</v>
      </c>
      <c r="K489">
        <f>(J489 - VLOOKUP(F489,Desserts!A:D,4,FALSE)) * G489</f>
        <v>25</v>
      </c>
    </row>
    <row r="490" spans="1:11" x14ac:dyDescent="0.3">
      <c r="A490" t="s">
        <v>1401</v>
      </c>
      <c r="B490" s="8">
        <v>45670</v>
      </c>
      <c r="C490" s="8">
        <f t="shared" si="14"/>
        <v>45670</v>
      </c>
      <c r="D490" t="s">
        <v>413</v>
      </c>
      <c r="E490" t="s">
        <v>301</v>
      </c>
      <c r="F490" t="s">
        <v>583</v>
      </c>
      <c r="G490">
        <v>4</v>
      </c>
      <c r="H490">
        <v>152</v>
      </c>
      <c r="I490" t="str">
        <f>IF(VLOOKUP(D490,Customers!A:E,5,FALSE)&gt;=1000,"YES","NO")</f>
        <v>YES</v>
      </c>
      <c r="J490">
        <f t="shared" si="15"/>
        <v>76</v>
      </c>
      <c r="K490">
        <f>(J490 - VLOOKUP(F490,Desserts!A:D,4,FALSE)) * G490</f>
        <v>-28</v>
      </c>
    </row>
    <row r="491" spans="1:11" x14ac:dyDescent="0.3">
      <c r="A491" t="s">
        <v>1402</v>
      </c>
      <c r="B491" s="8">
        <v>45975</v>
      </c>
      <c r="C491" s="8">
        <f t="shared" si="14"/>
        <v>45975</v>
      </c>
      <c r="D491" t="s">
        <v>389</v>
      </c>
      <c r="E491" t="s">
        <v>100</v>
      </c>
      <c r="F491" t="s">
        <v>587</v>
      </c>
      <c r="G491">
        <v>1</v>
      </c>
      <c r="H491">
        <v>145</v>
      </c>
      <c r="I491" t="str">
        <f>IF(VLOOKUP(D491,Customers!A:E,5,FALSE)&gt;=1000,"YES","NO")</f>
        <v>YES</v>
      </c>
      <c r="J491">
        <f t="shared" si="15"/>
        <v>72.5</v>
      </c>
      <c r="K491">
        <f>(J491 - VLOOKUP(F491,Desserts!A:D,4,FALSE)) * G491</f>
        <v>0.5</v>
      </c>
    </row>
    <row r="492" spans="1:11" x14ac:dyDescent="0.3">
      <c r="A492" t="s">
        <v>1404</v>
      </c>
      <c r="B492" s="8">
        <v>45791</v>
      </c>
      <c r="C492" s="8">
        <f t="shared" si="14"/>
        <v>45791</v>
      </c>
      <c r="D492" t="s">
        <v>383</v>
      </c>
      <c r="E492" t="s">
        <v>172</v>
      </c>
      <c r="F492" t="s">
        <v>567</v>
      </c>
      <c r="G492">
        <v>5</v>
      </c>
      <c r="H492">
        <v>135</v>
      </c>
      <c r="I492" t="str">
        <f>IF(VLOOKUP(D492,Customers!A:E,5,FALSE)&gt;=1000,"YES","NO")</f>
        <v>NO</v>
      </c>
      <c r="J492">
        <f t="shared" si="15"/>
        <v>135</v>
      </c>
      <c r="K492">
        <f>(J492 - VLOOKUP(F492,Desserts!A:D,4,FALSE)) * G492</f>
        <v>395</v>
      </c>
    </row>
    <row r="493" spans="1:11" x14ac:dyDescent="0.3">
      <c r="A493" t="s">
        <v>1406</v>
      </c>
      <c r="B493" s="8">
        <v>46025</v>
      </c>
      <c r="C493" s="8">
        <f t="shared" si="14"/>
        <v>46025</v>
      </c>
      <c r="D493" t="s">
        <v>453</v>
      </c>
      <c r="E493" t="s">
        <v>304</v>
      </c>
      <c r="F493" t="s">
        <v>549</v>
      </c>
      <c r="G493">
        <v>1</v>
      </c>
      <c r="H493">
        <v>135</v>
      </c>
      <c r="I493" t="str">
        <f>IF(VLOOKUP(D493,Customers!A:E,5,FALSE)&gt;=1000,"YES","NO")</f>
        <v>YES</v>
      </c>
      <c r="J493">
        <f t="shared" si="15"/>
        <v>67.5</v>
      </c>
      <c r="K493">
        <f>(J493 - VLOOKUP(F493,Desserts!A:D,4,FALSE)) * G493</f>
        <v>-11.5</v>
      </c>
    </row>
    <row r="494" spans="1:11" x14ac:dyDescent="0.3">
      <c r="A494" t="s">
        <v>1408</v>
      </c>
      <c r="B494" s="8">
        <v>45768</v>
      </c>
      <c r="C494" s="8">
        <f t="shared" si="14"/>
        <v>45768</v>
      </c>
      <c r="D494" t="s">
        <v>341</v>
      </c>
      <c r="E494" t="s">
        <v>226</v>
      </c>
      <c r="F494" t="s">
        <v>523</v>
      </c>
      <c r="G494">
        <v>3</v>
      </c>
      <c r="H494">
        <v>158</v>
      </c>
      <c r="I494" t="str">
        <f>IF(VLOOKUP(D494,Customers!A:E,5,FALSE)&gt;=1000,"YES","NO")</f>
        <v>YES</v>
      </c>
      <c r="J494">
        <f t="shared" si="15"/>
        <v>79</v>
      </c>
      <c r="K494">
        <f>(J494 - VLOOKUP(F494,Desserts!A:D,4,FALSE)) * G494</f>
        <v>33</v>
      </c>
    </row>
    <row r="495" spans="1:11" x14ac:dyDescent="0.3">
      <c r="A495" t="s">
        <v>1409</v>
      </c>
      <c r="B495" s="8">
        <v>45888</v>
      </c>
      <c r="C495" s="8">
        <f t="shared" si="14"/>
        <v>45888</v>
      </c>
      <c r="D495" t="s">
        <v>463</v>
      </c>
      <c r="E495" t="s">
        <v>289</v>
      </c>
      <c r="F495" t="s">
        <v>565</v>
      </c>
      <c r="G495">
        <v>3</v>
      </c>
      <c r="H495">
        <v>104</v>
      </c>
      <c r="I495" t="str">
        <f>IF(VLOOKUP(D495,Customers!A:E,5,FALSE)&gt;=1000,"YES","NO")</f>
        <v>NO</v>
      </c>
      <c r="J495">
        <f t="shared" si="15"/>
        <v>104</v>
      </c>
      <c r="K495">
        <f>(J495 - VLOOKUP(F495,Desserts!A:D,4,FALSE)) * G495</f>
        <v>189</v>
      </c>
    </row>
    <row r="496" spans="1:11" x14ac:dyDescent="0.3">
      <c r="A496" t="s">
        <v>1410</v>
      </c>
      <c r="B496" s="8">
        <v>45773</v>
      </c>
      <c r="C496" s="8">
        <f t="shared" si="14"/>
        <v>45773</v>
      </c>
      <c r="D496" t="s">
        <v>379</v>
      </c>
      <c r="E496" t="s">
        <v>181</v>
      </c>
      <c r="F496" t="s">
        <v>617</v>
      </c>
      <c r="G496">
        <v>1</v>
      </c>
      <c r="H496">
        <v>130</v>
      </c>
      <c r="I496" t="str">
        <f>IF(VLOOKUP(D496,Customers!A:E,5,FALSE)&gt;=1000,"YES","NO")</f>
        <v>NO</v>
      </c>
      <c r="J496">
        <f t="shared" si="15"/>
        <v>130</v>
      </c>
      <c r="K496">
        <f>(J496 - VLOOKUP(F496,Desserts!A:D,4,FALSE)) * G496</f>
        <v>89</v>
      </c>
    </row>
    <row r="497" spans="1:11" x14ac:dyDescent="0.3">
      <c r="A497" t="s">
        <v>1412</v>
      </c>
      <c r="B497" s="8">
        <v>45722</v>
      </c>
      <c r="C497" s="8">
        <f t="shared" si="14"/>
        <v>45722</v>
      </c>
      <c r="D497" t="s">
        <v>477</v>
      </c>
      <c r="E497" t="s">
        <v>304</v>
      </c>
      <c r="F497" t="s">
        <v>539</v>
      </c>
      <c r="G497">
        <v>3</v>
      </c>
      <c r="H497">
        <v>155</v>
      </c>
      <c r="I497" t="str">
        <f>IF(VLOOKUP(D497,Customers!A:E,5,FALSE)&gt;=1000,"YES","NO")</f>
        <v>YES</v>
      </c>
      <c r="J497">
        <f t="shared" si="15"/>
        <v>77.5</v>
      </c>
      <c r="K497">
        <f>(J497 - VLOOKUP(F497,Desserts!A:D,4,FALSE)) * G497</f>
        <v>46.5</v>
      </c>
    </row>
    <row r="498" spans="1:11" x14ac:dyDescent="0.3">
      <c r="A498" t="s">
        <v>1414</v>
      </c>
      <c r="B498" s="8">
        <v>45784</v>
      </c>
      <c r="C498" s="8">
        <f t="shared" si="14"/>
        <v>45784</v>
      </c>
      <c r="D498" t="s">
        <v>505</v>
      </c>
      <c r="E498" t="s">
        <v>172</v>
      </c>
      <c r="F498" t="s">
        <v>613</v>
      </c>
      <c r="G498">
        <v>4</v>
      </c>
      <c r="H498">
        <v>114</v>
      </c>
      <c r="I498" t="str">
        <f>IF(VLOOKUP(D498,Customers!A:E,5,FALSE)&gt;=1000,"YES","NO")</f>
        <v>YES</v>
      </c>
      <c r="J498">
        <f t="shared" si="15"/>
        <v>57</v>
      </c>
      <c r="K498">
        <f>(J498 - VLOOKUP(F498,Desserts!A:D,4,FALSE)) * G498</f>
        <v>-112</v>
      </c>
    </row>
    <row r="499" spans="1:11" x14ac:dyDescent="0.3">
      <c r="A499" t="s">
        <v>1415</v>
      </c>
      <c r="B499" s="8">
        <v>45714</v>
      </c>
      <c r="C499" s="8">
        <f t="shared" si="14"/>
        <v>45714</v>
      </c>
      <c r="D499" t="s">
        <v>481</v>
      </c>
      <c r="E499" t="s">
        <v>292</v>
      </c>
      <c r="F499" t="s">
        <v>609</v>
      </c>
      <c r="G499">
        <v>3</v>
      </c>
      <c r="H499">
        <v>122</v>
      </c>
      <c r="I499" t="str">
        <f>IF(VLOOKUP(D499,Customers!A:E,5,FALSE)&gt;=1000,"YES","NO")</f>
        <v>YES</v>
      </c>
      <c r="J499">
        <f t="shared" si="15"/>
        <v>61</v>
      </c>
      <c r="K499">
        <f>(J499 - VLOOKUP(F499,Desserts!A:D,4,FALSE)) * G499</f>
        <v>-9</v>
      </c>
    </row>
    <row r="500" spans="1:11" x14ac:dyDescent="0.3">
      <c r="A500" t="s">
        <v>1416</v>
      </c>
      <c r="B500" s="8">
        <v>46004</v>
      </c>
      <c r="C500" s="8">
        <f t="shared" si="14"/>
        <v>46004</v>
      </c>
      <c r="D500" t="s">
        <v>331</v>
      </c>
      <c r="E500" t="s">
        <v>166</v>
      </c>
      <c r="F500" t="s">
        <v>585</v>
      </c>
      <c r="G500">
        <v>2</v>
      </c>
      <c r="H500">
        <v>236</v>
      </c>
      <c r="I500" t="str">
        <f>IF(VLOOKUP(D500,Customers!A:E,5,FALSE)&gt;=1000,"YES","NO")</f>
        <v>YES</v>
      </c>
      <c r="J500">
        <f t="shared" si="15"/>
        <v>118</v>
      </c>
      <c r="K500">
        <f>(J500 - VLOOKUP(F500,Desserts!A:D,4,FALSE)) * G500</f>
        <v>142</v>
      </c>
    </row>
    <row r="501" spans="1:11" x14ac:dyDescent="0.3">
      <c r="A501" t="s">
        <v>1418</v>
      </c>
      <c r="B501" s="8">
        <v>45971</v>
      </c>
      <c r="C501" s="8">
        <f t="shared" si="14"/>
        <v>45971</v>
      </c>
      <c r="D501" t="s">
        <v>385</v>
      </c>
      <c r="E501" t="s">
        <v>298</v>
      </c>
      <c r="F501" t="s">
        <v>525</v>
      </c>
      <c r="G501">
        <v>2</v>
      </c>
      <c r="H501">
        <v>159</v>
      </c>
      <c r="I501" t="str">
        <f>IF(VLOOKUP(D501,Customers!A:E,5,FALSE)&gt;=1000,"YES","NO")</f>
        <v>YES</v>
      </c>
      <c r="J501">
        <f t="shared" si="15"/>
        <v>79.5</v>
      </c>
      <c r="K501">
        <f>(J501 - VLOOKUP(F501,Desserts!A:D,4,FALSE)) * G501</f>
        <v>-9</v>
      </c>
    </row>
  </sheetData>
  <mergeCells count="1">
    <mergeCell ref="N2:O2"/>
  </mergeCells>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Restaurants</vt:lpstr>
      <vt:lpstr>Customers</vt:lpstr>
      <vt:lpstr>Desserts</vt:lpstr>
      <vt:lpstr>Orders</vt:lpstr>
      <vt:lpstr>Dashboard</vt:lpstr>
      <vt:lpstr>TotalProfit_Restaurent</vt:lpstr>
      <vt:lpstr>Discount_Eligible</vt:lpstr>
      <vt:lpstr>Monthly Profit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 Madhavi _sec_C_18</cp:lastModifiedBy>
  <dcterms:created xsi:type="dcterms:W3CDTF">2026-02-16T01:19:40Z</dcterms:created>
  <dcterms:modified xsi:type="dcterms:W3CDTF">2026-02-16T04:07:14Z</dcterms:modified>
</cp:coreProperties>
</file>